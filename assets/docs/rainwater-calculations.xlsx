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mc:AlternateContent xmlns:mc="http://schemas.openxmlformats.org/markup-compatibility/2006">
    <mc:Choice Requires="x15">
      <x15ac:absPath xmlns:x15ac="http://schemas.microsoft.com/office/spreadsheetml/2010/11/ac" url="https://d.docs.live.net/560a9a9dd8df0c60/"/>
    </mc:Choice>
  </mc:AlternateContent>
  <xr:revisionPtr revIDLastSave="0" documentId="8_{30E8011A-67AB-499E-82FA-C951A3751FFB}" xr6:coauthVersionLast="47" xr6:coauthVersionMax="47" xr10:uidLastSave="{00000000-0000-0000-0000-000000000000}"/>
  <bookViews>
    <workbookView xWindow="-110" yWindow="-110" windowWidth="25820" windowHeight="15500" firstSheet="4" activeTab="3" xr2:uid="{9AA9AC2E-74FF-40A5-AD33-AACDB8F2A054}"/>
  </bookViews>
  <sheets>
    <sheet name="Organized Input Output" sheetId="6" r:id="rId1"/>
    <sheet name="Stakeholder Satisfaction" sheetId="7" r:id="rId2"/>
    <sheet name="Costs" sheetId="10" r:id="rId3"/>
    <sheet name="Flow Rate" sheetId="5" r:id="rId4"/>
    <sheet name="Solar Energy Model" sheetId="14" r:id="rId5"/>
    <sheet name="Maintainance" sheetId="16" r:id="rId6"/>
    <sheet name="Greenhouse Gases" sheetId="15" r:id="rId7"/>
    <sheet name="Weather Data" sheetId="1" r:id="rId8"/>
    <sheet name="Studio Rain System" sheetId="2" r:id="rId9"/>
    <sheet name="Ozone-Energy" sheetId="4" r:id="rId10"/>
    <sheet name="Health &amp; Environment" sheetId="8" r:id="rId11"/>
    <sheet name="Week 11 Prototyping" sheetId="11" r:id="rId12"/>
    <sheet name="CODE" sheetId="3" r:id="rId13"/>
  </sheets>
  <definedNames>
    <definedName name="_xlnm._FilterDatabase" localSheetId="8" hidden="1">'Studio Rain System'!$G$12:$G$12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18" i="5" l="1"/>
  <c r="F18" i="5"/>
  <c r="J7" i="6"/>
  <c r="D12" i="7"/>
  <c r="I14" i="6"/>
  <c r="H14" i="6"/>
  <c r="B54" i="10"/>
  <c r="E6" i="14"/>
  <c r="E5" i="14"/>
  <c r="H386" i="14"/>
  <c r="AD9" i="6"/>
  <c r="E21" i="14"/>
  <c r="B47" i="10"/>
  <c r="H19" i="5"/>
  <c r="K9" i="6"/>
  <c r="N11" i="6"/>
  <c r="N9" i="6"/>
  <c r="I12" i="7"/>
  <c r="J12" i="7"/>
  <c r="D3" i="15"/>
  <c r="B10" i="15" s="1"/>
  <c r="C10" i="15" s="1"/>
  <c r="V34" i="5"/>
  <c r="V35" i="5" s="1"/>
  <c r="L11" i="6"/>
  <c r="J7" i="7"/>
  <c r="J13" i="7"/>
  <c r="J10" i="7"/>
  <c r="J11" i="7"/>
  <c r="J14" i="7"/>
  <c r="J9" i="7"/>
  <c r="J8" i="7"/>
  <c r="Z18" i="6"/>
  <c r="B49" i="10"/>
  <c r="B48" i="10"/>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11" i="4"/>
  <c r="U19" i="5"/>
  <c r="U20" i="5"/>
  <c r="U21" i="5"/>
  <c r="U22" i="5"/>
  <c r="U23" i="5" s="1"/>
  <c r="J15" i="7" l="1"/>
  <c r="U24" i="5"/>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23" i="2"/>
  <c r="L11" i="4"/>
  <c r="O11" i="4"/>
  <c r="J23" i="2"/>
  <c r="J24" i="2"/>
  <c r="E9" i="14"/>
  <c r="J21" i="14" s="1"/>
  <c r="K21" i="14" s="1"/>
  <c r="W4" i="4"/>
  <c r="I17" i="16"/>
  <c r="J17" i="16"/>
  <c r="G8" i="7"/>
  <c r="F8" i="7"/>
  <c r="I16" i="11"/>
  <c r="K12" i="7"/>
  <c r="B8" i="2"/>
  <c r="D19" i="5"/>
  <c r="S8" i="6"/>
  <c r="S9" i="6"/>
  <c r="AX24" i="2"/>
  <c r="AX25" i="2"/>
  <c r="AX26" i="2"/>
  <c r="AX27" i="2"/>
  <c r="AX28" i="2"/>
  <c r="AX29" i="2"/>
  <c r="AX30" i="2"/>
  <c r="AX31" i="2"/>
  <c r="AX32" i="2"/>
  <c r="AX33" i="2"/>
  <c r="AX34" i="2"/>
  <c r="AX35" i="2"/>
  <c r="AX36" i="2"/>
  <c r="AX37" i="2"/>
  <c r="AX38" i="2"/>
  <c r="AX39" i="2"/>
  <c r="AX40" i="2"/>
  <c r="AX41" i="2"/>
  <c r="AX42" i="2"/>
  <c r="AX43" i="2"/>
  <c r="AX44" i="2"/>
  <c r="AX45" i="2"/>
  <c r="AX46" i="2"/>
  <c r="AX47" i="2"/>
  <c r="AX48" i="2"/>
  <c r="AX49" i="2"/>
  <c r="AX50" i="2"/>
  <c r="AX51" i="2"/>
  <c r="AX52" i="2"/>
  <c r="AX53" i="2"/>
  <c r="AX23" i="2"/>
  <c r="AL23" i="2"/>
  <c r="AL24" i="2"/>
  <c r="AL25" i="2"/>
  <c r="AL26" i="2"/>
  <c r="AL27" i="2"/>
  <c r="AL28" i="2"/>
  <c r="AL29" i="2"/>
  <c r="AL30" i="2"/>
  <c r="AL31" i="2"/>
  <c r="AL32" i="2"/>
  <c r="AL33" i="2"/>
  <c r="AL34" i="2"/>
  <c r="AL35" i="2"/>
  <c r="AL36" i="2"/>
  <c r="AL37" i="2"/>
  <c r="AL38" i="2"/>
  <c r="AL39" i="2"/>
  <c r="AL40" i="2"/>
  <c r="AL41" i="2"/>
  <c r="AL42" i="2"/>
  <c r="AL43" i="2"/>
  <c r="AL44" i="2"/>
  <c r="AL45" i="2"/>
  <c r="AL46" i="2"/>
  <c r="AL47" i="2"/>
  <c r="AL48" i="2"/>
  <c r="AL49" i="2"/>
  <c r="AL50" i="2"/>
  <c r="AL51" i="2"/>
  <c r="AL52" i="2"/>
  <c r="AL5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23" i="2"/>
  <c r="B3" i="16"/>
  <c r="C17" i="16" s="1"/>
  <c r="I9" i="16"/>
  <c r="I8" i="16"/>
  <c r="H8" i="16"/>
  <c r="G10" i="16"/>
  <c r="G9" i="16"/>
  <c r="G8" i="16"/>
  <c r="E10" i="16"/>
  <c r="E9" i="16"/>
  <c r="D10" i="16"/>
  <c r="D9" i="16"/>
  <c r="D8" i="16"/>
  <c r="AB9" i="6"/>
  <c r="E7" i="14" s="1"/>
  <c r="F21" i="14" s="1"/>
  <c r="B14" i="5"/>
  <c r="S7" i="6"/>
  <c r="D8" i="6"/>
  <c r="B11" i="5" s="1"/>
  <c r="B5" i="5"/>
  <c r="B6" i="5"/>
  <c r="B10" i="5"/>
  <c r="B12" i="5"/>
  <c r="E77" i="6"/>
  <c r="B38" i="10"/>
  <c r="B37" i="10"/>
  <c r="B36" i="10"/>
  <c r="N3" i="4"/>
  <c r="N83" i="4" s="1"/>
  <c r="O83" i="4" s="1"/>
  <c r="B27" i="10"/>
  <c r="D27" i="10" s="1"/>
  <c r="B26" i="10"/>
  <c r="D26" i="10" s="1"/>
  <c r="B25" i="10"/>
  <c r="D25" i="10" s="1"/>
  <c r="B33" i="10"/>
  <c r="AB10" i="6"/>
  <c r="AC10" i="6" s="1"/>
  <c r="B55" i="10" s="1"/>
  <c r="D55" i="10" s="1"/>
  <c r="B31" i="10"/>
  <c r="D54" i="10"/>
  <c r="B51" i="10"/>
  <c r="D51" i="10" s="1"/>
  <c r="D47" i="10"/>
  <c r="D48" i="10"/>
  <c r="B41" i="10"/>
  <c r="D41" i="10" s="1"/>
  <c r="D49" i="10"/>
  <c r="B42" i="10"/>
  <c r="D42" i="10" s="1"/>
  <c r="B43" i="10"/>
  <c r="D43" i="10" s="1"/>
  <c r="B21" i="10"/>
  <c r="D21" i="10" s="1"/>
  <c r="B19" i="10"/>
  <c r="B9" i="10"/>
  <c r="B8" i="10"/>
  <c r="T7" i="6"/>
  <c r="F8" i="16" s="1"/>
  <c r="E10" i="14"/>
  <c r="I11" i="6"/>
  <c r="B7" i="5" s="1"/>
  <c r="B4" i="5"/>
  <c r="L16" i="8"/>
  <c r="E16" i="8"/>
  <c r="K4" i="4"/>
  <c r="T9" i="6"/>
  <c r="F10" i="16" s="1"/>
  <c r="T8" i="6"/>
  <c r="F9" i="16" s="1"/>
  <c r="K17" i="8"/>
  <c r="K18" i="8" s="1"/>
  <c r="K19" i="8" s="1"/>
  <c r="K20" i="8" s="1"/>
  <c r="K21" i="8" s="1"/>
  <c r="K22" i="8" s="1"/>
  <c r="K23" i="8" s="1"/>
  <c r="K24" i="8" s="1"/>
  <c r="K25" i="8" s="1"/>
  <c r="K26" i="8" s="1"/>
  <c r="K27" i="8" s="1"/>
  <c r="K28" i="8" s="1"/>
  <c r="K29" i="8" s="1"/>
  <c r="K30" i="8" s="1"/>
  <c r="K31" i="8" s="1"/>
  <c r="K32" i="8" s="1"/>
  <c r="K33" i="8" s="1"/>
  <c r="K34" i="8" s="1"/>
  <c r="K35" i="8" s="1"/>
  <c r="K36" i="8" s="1"/>
  <c r="K37" i="8" s="1"/>
  <c r="K38" i="8" s="1"/>
  <c r="K39" i="8" s="1"/>
  <c r="K40" i="8" s="1"/>
  <c r="K41" i="8" s="1"/>
  <c r="K42" i="8" s="1"/>
  <c r="K43" i="8" s="1"/>
  <c r="K44" i="8" s="1"/>
  <c r="K45" i="8" s="1"/>
  <c r="K46" i="8" s="1"/>
  <c r="K47" i="8" s="1"/>
  <c r="K48" i="8" s="1"/>
  <c r="K49" i="8" s="1"/>
  <c r="K50" i="8" s="1"/>
  <c r="K51" i="8" s="1"/>
  <c r="K52" i="8" s="1"/>
  <c r="K53" i="8" s="1"/>
  <c r="K54" i="8" s="1"/>
  <c r="K55" i="8" s="1"/>
  <c r="K56" i="8" s="1"/>
  <c r="K57" i="8" s="1"/>
  <c r="K58" i="8" s="1"/>
  <c r="K59" i="8" s="1"/>
  <c r="K60" i="8" s="1"/>
  <c r="K61" i="8" s="1"/>
  <c r="K62" i="8" s="1"/>
  <c r="K63" i="8" s="1"/>
  <c r="K64" i="8" s="1"/>
  <c r="K65" i="8" s="1"/>
  <c r="K66" i="8" s="1"/>
  <c r="K67" i="8" s="1"/>
  <c r="K68" i="8" s="1"/>
  <c r="K69" i="8" s="1"/>
  <c r="K70" i="8" s="1"/>
  <c r="K71" i="8" s="1"/>
  <c r="K72" i="8" s="1"/>
  <c r="K73" i="8" s="1"/>
  <c r="K74" i="8" s="1"/>
  <c r="K75" i="8" s="1"/>
  <c r="D17" i="8"/>
  <c r="D22" i="14"/>
  <c r="D23" i="14"/>
  <c r="D24" i="14"/>
  <c r="D25" i="14"/>
  <c r="D26" i="14"/>
  <c r="D27" i="14"/>
  <c r="D28" i="14"/>
  <c r="D29" i="14"/>
  <c r="D30" i="14"/>
  <c r="D31" i="14"/>
  <c r="D32" i="14"/>
  <c r="D33" i="14"/>
  <c r="D34" i="14"/>
  <c r="D35" i="14"/>
  <c r="D36" i="14"/>
  <c r="D37" i="14"/>
  <c r="D38" i="14"/>
  <c r="D39" i="14"/>
  <c r="D40" i="14"/>
  <c r="D41" i="14"/>
  <c r="D42" i="14"/>
  <c r="D43" i="14"/>
  <c r="D44" i="14"/>
  <c r="D45" i="14"/>
  <c r="D46" i="14"/>
  <c r="D47" i="14"/>
  <c r="D48" i="14"/>
  <c r="D49" i="14"/>
  <c r="D50" i="14"/>
  <c r="D51" i="14"/>
  <c r="D21" i="14"/>
  <c r="G21" i="14" s="1"/>
  <c r="J25" i="2"/>
  <c r="C13" i="4" s="1"/>
  <c r="J26" i="2"/>
  <c r="C14" i="4" s="1"/>
  <c r="J27" i="2"/>
  <c r="C15" i="4" s="1"/>
  <c r="J28" i="2"/>
  <c r="J29" i="2"/>
  <c r="J30" i="2"/>
  <c r="J31" i="2"/>
  <c r="C19" i="4" s="1"/>
  <c r="J32" i="2"/>
  <c r="J33" i="2"/>
  <c r="C21" i="4" s="1"/>
  <c r="J34" i="2"/>
  <c r="J35" i="2"/>
  <c r="J36" i="2"/>
  <c r="J37" i="2"/>
  <c r="J38" i="2"/>
  <c r="C26" i="4" s="1"/>
  <c r="J39" i="2"/>
  <c r="C27" i="4" s="1"/>
  <c r="J40" i="2"/>
  <c r="C28" i="4" s="1"/>
  <c r="J41" i="2"/>
  <c r="C29" i="4" s="1"/>
  <c r="J42" i="2"/>
  <c r="J43" i="2"/>
  <c r="J44" i="2"/>
  <c r="C32" i="4" s="1"/>
  <c r="J45" i="2"/>
  <c r="C33" i="4" s="1"/>
  <c r="J46" i="2"/>
  <c r="J47" i="2"/>
  <c r="J48" i="2"/>
  <c r="J49" i="2"/>
  <c r="J50" i="2"/>
  <c r="C38" i="4" s="1"/>
  <c r="J51" i="2"/>
  <c r="C39" i="4" s="1"/>
  <c r="J52" i="2"/>
  <c r="C40" i="4" s="1"/>
  <c r="J53" i="2"/>
  <c r="J54" i="2"/>
  <c r="C42" i="4" s="1"/>
  <c r="J55" i="2"/>
  <c r="J56" i="2"/>
  <c r="J57" i="2"/>
  <c r="J58" i="2"/>
  <c r="J59" i="2"/>
  <c r="C47" i="4" s="1"/>
  <c r="J60" i="2"/>
  <c r="C48" i="4" s="1"/>
  <c r="J61" i="2"/>
  <c r="C49" i="4" s="1"/>
  <c r="J62" i="2"/>
  <c r="C50" i="4" s="1"/>
  <c r="J63" i="2"/>
  <c r="C51" i="4" s="1"/>
  <c r="J64" i="2"/>
  <c r="C52" i="4" s="1"/>
  <c r="J65" i="2"/>
  <c r="C53" i="4" s="1"/>
  <c r="J66" i="2"/>
  <c r="C54" i="4" s="1"/>
  <c r="J67" i="2"/>
  <c r="C55" i="4" s="1"/>
  <c r="J68" i="2"/>
  <c r="J69" i="2"/>
  <c r="J70" i="2"/>
  <c r="J71" i="2"/>
  <c r="C59" i="4" s="1"/>
  <c r="J72" i="2"/>
  <c r="C60" i="4" s="1"/>
  <c r="J73" i="2"/>
  <c r="J74" i="2"/>
  <c r="J75" i="2"/>
  <c r="J76" i="2"/>
  <c r="J77" i="2"/>
  <c r="J78" i="2"/>
  <c r="J79" i="2"/>
  <c r="J80" i="2"/>
  <c r="J81" i="2"/>
  <c r="J82" i="2"/>
  <c r="C70" i="4" s="1"/>
  <c r="J83" i="2"/>
  <c r="C71" i="4" s="1"/>
  <c r="J84" i="2"/>
  <c r="J85" i="2"/>
  <c r="C73" i="4" s="1"/>
  <c r="J86" i="2"/>
  <c r="C74" i="4" s="1"/>
  <c r="J87" i="2"/>
  <c r="J88" i="2"/>
  <c r="J89" i="2"/>
  <c r="C77" i="4" s="1"/>
  <c r="J90" i="2"/>
  <c r="C78" i="4" s="1"/>
  <c r="J91" i="2"/>
  <c r="C79" i="4" s="1"/>
  <c r="J92" i="2"/>
  <c r="C80" i="4" s="1"/>
  <c r="J93" i="2"/>
  <c r="J94" i="2"/>
  <c r="J95" i="2"/>
  <c r="J96" i="2"/>
  <c r="J97" i="2"/>
  <c r="J98" i="2"/>
  <c r="J99" i="2"/>
  <c r="J100" i="2"/>
  <c r="J101" i="2"/>
  <c r="J102" i="2"/>
  <c r="J103" i="2"/>
  <c r="J104" i="2"/>
  <c r="C92" i="4" s="1"/>
  <c r="J105" i="2"/>
  <c r="J106" i="2"/>
  <c r="J107" i="2"/>
  <c r="J108" i="2"/>
  <c r="J109" i="2"/>
  <c r="C97" i="4" s="1"/>
  <c r="J110" i="2"/>
  <c r="C98" i="4" s="1"/>
  <c r="J111" i="2"/>
  <c r="C99" i="4" s="1"/>
  <c r="J112" i="2"/>
  <c r="C100" i="4" s="1"/>
  <c r="J113" i="2"/>
  <c r="C101" i="4" s="1"/>
  <c r="J114" i="2"/>
  <c r="C102" i="4" s="1"/>
  <c r="J115" i="2"/>
  <c r="C103" i="4" s="1"/>
  <c r="J116" i="2"/>
  <c r="J117" i="2"/>
  <c r="C105" i="4" s="1"/>
  <c r="J118" i="2"/>
  <c r="J119" i="2"/>
  <c r="J120" i="2"/>
  <c r="J121" i="2"/>
  <c r="J122" i="2"/>
  <c r="J123" i="2"/>
  <c r="J124" i="2"/>
  <c r="J125" i="2"/>
  <c r="J126" i="2"/>
  <c r="J127" i="2"/>
  <c r="C115" i="4" s="1"/>
  <c r="J128" i="2"/>
  <c r="J129" i="2"/>
  <c r="C117" i="4" s="1"/>
  <c r="J130" i="2"/>
  <c r="C118" i="4" s="1"/>
  <c r="J131" i="2"/>
  <c r="C119" i="4" s="1"/>
  <c r="J132" i="2"/>
  <c r="C120" i="4" s="1"/>
  <c r="J133" i="2"/>
  <c r="J134" i="2"/>
  <c r="J135" i="2"/>
  <c r="J136" i="2"/>
  <c r="J137" i="2"/>
  <c r="C125" i="4" s="1"/>
  <c r="J138" i="2"/>
  <c r="C126" i="4" s="1"/>
  <c r="J139" i="2"/>
  <c r="J140" i="2"/>
  <c r="J141" i="2"/>
  <c r="J142" i="2"/>
  <c r="J143" i="2"/>
  <c r="J144" i="2"/>
  <c r="J145" i="2"/>
  <c r="C133" i="4" s="1"/>
  <c r="J146" i="2"/>
  <c r="C134" i="4" s="1"/>
  <c r="J147" i="2"/>
  <c r="C135" i="4" s="1"/>
  <c r="J148" i="2"/>
  <c r="J149" i="2"/>
  <c r="J150" i="2"/>
  <c r="J151" i="2"/>
  <c r="J152" i="2"/>
  <c r="C140" i="4" s="1"/>
  <c r="J153" i="2"/>
  <c r="J154" i="2"/>
  <c r="C142" i="4" s="1"/>
  <c r="J155" i="2"/>
  <c r="C143" i="4" s="1"/>
  <c r="J156" i="2"/>
  <c r="C144" i="4" s="1"/>
  <c r="J157" i="2"/>
  <c r="J158" i="2"/>
  <c r="C146" i="4" s="1"/>
  <c r="J159" i="2"/>
  <c r="C147" i="4" s="1"/>
  <c r="J160" i="2"/>
  <c r="J161" i="2"/>
  <c r="J162" i="2"/>
  <c r="J163" i="2"/>
  <c r="J164" i="2"/>
  <c r="C152" i="4" s="1"/>
  <c r="J165" i="2"/>
  <c r="C153" i="4" s="1"/>
  <c r="J166" i="2"/>
  <c r="J167" i="2"/>
  <c r="J168" i="2"/>
  <c r="J169" i="2"/>
  <c r="J170" i="2"/>
  <c r="J171" i="2"/>
  <c r="J172" i="2"/>
  <c r="C160" i="4" s="1"/>
  <c r="J173" i="2"/>
  <c r="J174" i="2"/>
  <c r="J175" i="2"/>
  <c r="C163" i="4" s="1"/>
  <c r="J176" i="2"/>
  <c r="J177" i="2"/>
  <c r="J178" i="2"/>
  <c r="J179" i="2"/>
  <c r="J180" i="2"/>
  <c r="J181" i="2"/>
  <c r="J182" i="2"/>
  <c r="J183" i="2"/>
  <c r="J184" i="2"/>
  <c r="J185" i="2"/>
  <c r="J186" i="2"/>
  <c r="J187" i="2"/>
  <c r="J188" i="2"/>
  <c r="J189" i="2"/>
  <c r="C177" i="4" s="1"/>
  <c r="J190" i="2"/>
  <c r="C178" i="4" s="1"/>
  <c r="J191" i="2"/>
  <c r="C179" i="4" s="1"/>
  <c r="J192" i="2"/>
  <c r="C180" i="4" s="1"/>
  <c r="J193" i="2"/>
  <c r="C181" i="4" s="1"/>
  <c r="J194" i="2"/>
  <c r="C182" i="4" s="1"/>
  <c r="J195" i="2"/>
  <c r="J196" i="2"/>
  <c r="J197" i="2"/>
  <c r="J198" i="2"/>
  <c r="J199" i="2"/>
  <c r="J200" i="2"/>
  <c r="J201" i="2"/>
  <c r="J202" i="2"/>
  <c r="J203" i="2"/>
  <c r="J204" i="2"/>
  <c r="J205" i="2"/>
  <c r="J206" i="2"/>
  <c r="J207" i="2"/>
  <c r="J208" i="2"/>
  <c r="J209" i="2"/>
  <c r="J210" i="2"/>
  <c r="J211" i="2"/>
  <c r="J212" i="2"/>
  <c r="J213" i="2"/>
  <c r="J214" i="2"/>
  <c r="J215" i="2"/>
  <c r="J216" i="2"/>
  <c r="J217" i="2"/>
  <c r="C205" i="4" s="1"/>
  <c r="J218" i="2"/>
  <c r="C206" i="4" s="1"/>
  <c r="J219" i="2"/>
  <c r="C207" i="4" s="1"/>
  <c r="J220" i="2"/>
  <c r="J221" i="2"/>
  <c r="J222" i="2"/>
  <c r="J223" i="2"/>
  <c r="J224" i="2"/>
  <c r="J225" i="2"/>
  <c r="J226" i="2"/>
  <c r="J227" i="2"/>
  <c r="C215" i="4" s="1"/>
  <c r="J228" i="2"/>
  <c r="J229" i="2"/>
  <c r="J230" i="2"/>
  <c r="C218" i="4" s="1"/>
  <c r="J231" i="2"/>
  <c r="C219" i="4" s="1"/>
  <c r="J232" i="2"/>
  <c r="C220" i="4" s="1"/>
  <c r="J233" i="2"/>
  <c r="J234" i="2"/>
  <c r="C222" i="4" s="1"/>
  <c r="J235" i="2"/>
  <c r="C223" i="4" s="1"/>
  <c r="J236" i="2"/>
  <c r="C224" i="4" s="1"/>
  <c r="J237" i="2"/>
  <c r="C225" i="4" s="1"/>
  <c r="J238" i="2"/>
  <c r="C226" i="4" s="1"/>
  <c r="J239" i="2"/>
  <c r="C227" i="4" s="1"/>
  <c r="J240" i="2"/>
  <c r="C228" i="4" s="1"/>
  <c r="J241" i="2"/>
  <c r="C229" i="4" s="1"/>
  <c r="J242" i="2"/>
  <c r="J243" i="2"/>
  <c r="J244" i="2"/>
  <c r="J245" i="2"/>
  <c r="C233" i="4" s="1"/>
  <c r="J246" i="2"/>
  <c r="C234" i="4" s="1"/>
  <c r="J247" i="2"/>
  <c r="C235" i="4" s="1"/>
  <c r="J248" i="2"/>
  <c r="J249" i="2"/>
  <c r="C237" i="4" s="1"/>
  <c r="J250" i="2"/>
  <c r="J251" i="2"/>
  <c r="C239" i="4" s="1"/>
  <c r="J252" i="2"/>
  <c r="C240" i="4" s="1"/>
  <c r="J253" i="2"/>
  <c r="J254" i="2"/>
  <c r="J255" i="2"/>
  <c r="J256" i="2"/>
  <c r="C244" i="4" s="1"/>
  <c r="J257" i="2"/>
  <c r="C245" i="4" s="1"/>
  <c r="J258" i="2"/>
  <c r="J259" i="2"/>
  <c r="J260" i="2"/>
  <c r="J261" i="2"/>
  <c r="J262" i="2"/>
  <c r="J263" i="2"/>
  <c r="J264" i="2"/>
  <c r="J265" i="2"/>
  <c r="J266" i="2"/>
  <c r="C254" i="4" s="1"/>
  <c r="J267" i="2"/>
  <c r="C255" i="4" s="1"/>
  <c r="J268" i="2"/>
  <c r="J269" i="2"/>
  <c r="J270" i="2"/>
  <c r="C258" i="4" s="1"/>
  <c r="J271" i="2"/>
  <c r="C259" i="4" s="1"/>
  <c r="J272" i="2"/>
  <c r="C260" i="4" s="1"/>
  <c r="J273" i="2"/>
  <c r="C261" i="4" s="1"/>
  <c r="J274" i="2"/>
  <c r="C262" i="4" s="1"/>
  <c r="J275" i="2"/>
  <c r="C263" i="4" s="1"/>
  <c r="J276" i="2"/>
  <c r="C264" i="4" s="1"/>
  <c r="J277" i="2"/>
  <c r="J278" i="2"/>
  <c r="C266" i="4" s="1"/>
  <c r="J279" i="2"/>
  <c r="C267" i="4" s="1"/>
  <c r="J280" i="2"/>
  <c r="C268" i="4" s="1"/>
  <c r="J281" i="2"/>
  <c r="C269" i="4" s="1"/>
  <c r="J282" i="2"/>
  <c r="C270" i="4" s="1"/>
  <c r="J283" i="2"/>
  <c r="C271" i="4" s="1"/>
  <c r="J284" i="2"/>
  <c r="J285" i="2"/>
  <c r="J286" i="2"/>
  <c r="J287" i="2"/>
  <c r="C275" i="4" s="1"/>
  <c r="J288" i="2"/>
  <c r="J289" i="2"/>
  <c r="J290" i="2"/>
  <c r="C278" i="4" s="1"/>
  <c r="J291" i="2"/>
  <c r="J292" i="2"/>
  <c r="C280" i="4" s="1"/>
  <c r="J293" i="2"/>
  <c r="J294" i="2"/>
  <c r="J295" i="2"/>
  <c r="J296" i="2"/>
  <c r="C284" i="4" s="1"/>
  <c r="J297" i="2"/>
  <c r="J298" i="2"/>
  <c r="J299" i="2"/>
  <c r="J300" i="2"/>
  <c r="J301" i="2"/>
  <c r="J302" i="2"/>
  <c r="J303" i="2"/>
  <c r="C291" i="4" s="1"/>
  <c r="J304" i="2"/>
  <c r="J305" i="2"/>
  <c r="C293" i="4" s="1"/>
  <c r="J306" i="2"/>
  <c r="C294" i="4" s="1"/>
  <c r="J307" i="2"/>
  <c r="J308" i="2"/>
  <c r="J309" i="2"/>
  <c r="J310" i="2"/>
  <c r="J311" i="2"/>
  <c r="C299" i="4" s="1"/>
  <c r="J312" i="2"/>
  <c r="C300" i="4" s="1"/>
  <c r="J313" i="2"/>
  <c r="C301" i="4" s="1"/>
  <c r="J314" i="2"/>
  <c r="C302" i="4" s="1"/>
  <c r="J315" i="2"/>
  <c r="C303" i="4" s="1"/>
  <c r="J316" i="2"/>
  <c r="J317" i="2"/>
  <c r="J318" i="2"/>
  <c r="J319" i="2"/>
  <c r="J320" i="2"/>
  <c r="J321" i="2"/>
  <c r="J322" i="2"/>
  <c r="J323" i="2"/>
  <c r="J324" i="2"/>
  <c r="C312" i="4" s="1"/>
  <c r="J325" i="2"/>
  <c r="J326" i="2"/>
  <c r="J327" i="2"/>
  <c r="J328" i="2"/>
  <c r="J329" i="2"/>
  <c r="J330" i="2"/>
  <c r="J331" i="2"/>
  <c r="J332" i="2"/>
  <c r="J333" i="2"/>
  <c r="J334" i="2"/>
  <c r="J335" i="2"/>
  <c r="C323" i="4" s="1"/>
  <c r="J336" i="2"/>
  <c r="C324" i="4" s="1"/>
  <c r="J337" i="2"/>
  <c r="C325" i="4" s="1"/>
  <c r="J338" i="2"/>
  <c r="C326" i="4" s="1"/>
  <c r="J339" i="2"/>
  <c r="C327" i="4" s="1"/>
  <c r="J340" i="2"/>
  <c r="J341" i="2"/>
  <c r="J342" i="2"/>
  <c r="J343" i="2"/>
  <c r="J344" i="2"/>
  <c r="C332" i="4" s="1"/>
  <c r="J345" i="2"/>
  <c r="J346" i="2"/>
  <c r="J347" i="2"/>
  <c r="J348" i="2"/>
  <c r="J349" i="2"/>
  <c r="C337" i="4" s="1"/>
  <c r="J350" i="2"/>
  <c r="J351" i="2"/>
  <c r="J352" i="2"/>
  <c r="J353" i="2"/>
  <c r="J354" i="2"/>
  <c r="J355" i="2"/>
  <c r="J356" i="2"/>
  <c r="J357" i="2"/>
  <c r="J358" i="2"/>
  <c r="C346" i="4" s="1"/>
  <c r="J359" i="2"/>
  <c r="C347" i="4" s="1"/>
  <c r="J360" i="2"/>
  <c r="C348" i="4" s="1"/>
  <c r="J361" i="2"/>
  <c r="C349" i="4" s="1"/>
  <c r="J362" i="2"/>
  <c r="C350" i="4" s="1"/>
  <c r="J363" i="2"/>
  <c r="C351" i="4" s="1"/>
  <c r="J364" i="2"/>
  <c r="J365" i="2"/>
  <c r="J366" i="2"/>
  <c r="J367" i="2"/>
  <c r="J368" i="2"/>
  <c r="J369" i="2"/>
  <c r="J370" i="2"/>
  <c r="J371" i="2"/>
  <c r="J372" i="2"/>
  <c r="J373" i="2"/>
  <c r="J374" i="2"/>
  <c r="J375" i="2"/>
  <c r="J376" i="2"/>
  <c r="J377" i="2"/>
  <c r="J378" i="2"/>
  <c r="J379" i="2"/>
  <c r="J380" i="2"/>
  <c r="J381" i="2"/>
  <c r="J382" i="2"/>
  <c r="J383" i="2"/>
  <c r="C371" i="4" s="1"/>
  <c r="J384" i="2"/>
  <c r="J385" i="2"/>
  <c r="J386" i="2"/>
  <c r="J387" i="2"/>
  <c r="B11" i="2"/>
  <c r="J11" i="11"/>
  <c r="B16" i="10"/>
  <c r="B15" i="10"/>
  <c r="B14" i="10"/>
  <c r="B13" i="10"/>
  <c r="D13" i="10" s="1"/>
  <c r="C6" i="4"/>
  <c r="B12" i="10"/>
  <c r="C5" i="4"/>
  <c r="I12" i="11"/>
  <c r="I13" i="11"/>
  <c r="J13" i="11" s="1"/>
  <c r="I14" i="11"/>
  <c r="J14" i="11" s="1"/>
  <c r="I15" i="11"/>
  <c r="J15" i="11" s="1"/>
  <c r="I11" i="11"/>
  <c r="J12" i="11"/>
  <c r="F17" i="11"/>
  <c r="F18" i="11"/>
  <c r="I17" i="11"/>
  <c r="J17" i="11" s="1"/>
  <c r="I18" i="11"/>
  <c r="J18" i="11" s="1"/>
  <c r="E12" i="11"/>
  <c r="F12" i="11" s="1"/>
  <c r="K12" i="11" s="1"/>
  <c r="E13" i="11"/>
  <c r="F13" i="11" s="1"/>
  <c r="K13" i="11" s="1"/>
  <c r="E14" i="11"/>
  <c r="F14" i="11" s="1"/>
  <c r="K14" i="11" s="1"/>
  <c r="E15" i="11"/>
  <c r="F15" i="11" s="1"/>
  <c r="K15" i="11" s="1"/>
  <c r="E16" i="11"/>
  <c r="E17" i="11"/>
  <c r="E18" i="11"/>
  <c r="E11" i="11"/>
  <c r="F11" i="11" s="1"/>
  <c r="K11" i="11" s="1"/>
  <c r="K11" i="6"/>
  <c r="B9" i="5" s="1"/>
  <c r="J11" i="6"/>
  <c r="B8" i="5" s="1"/>
  <c r="E16" i="3"/>
  <c r="D16" i="3"/>
  <c r="C16" i="3"/>
  <c r="B16" i="3"/>
  <c r="A16" i="3"/>
  <c r="D7" i="7" l="1"/>
  <c r="I7" i="7" s="1"/>
  <c r="K7" i="7" s="1"/>
  <c r="X19" i="5"/>
  <c r="X18" i="5"/>
  <c r="L17" i="8"/>
  <c r="E17" i="8"/>
  <c r="X34" i="5"/>
  <c r="Y34" i="5"/>
  <c r="F34" i="5"/>
  <c r="F19" i="5"/>
  <c r="F20" i="5"/>
  <c r="F21" i="5"/>
  <c r="F22" i="5"/>
  <c r="F23" i="5"/>
  <c r="F24" i="5"/>
  <c r="F25" i="5"/>
  <c r="F26" i="5"/>
  <c r="F27" i="5"/>
  <c r="F28" i="5"/>
  <c r="F29" i="5"/>
  <c r="F30" i="5"/>
  <c r="F31" i="5"/>
  <c r="F32" i="5"/>
  <c r="F33" i="5"/>
  <c r="E34" i="5"/>
  <c r="H34" i="5" s="1"/>
  <c r="V21" i="5"/>
  <c r="N151" i="4"/>
  <c r="O151" i="4" s="1"/>
  <c r="N216" i="4"/>
  <c r="O216" i="4" s="1"/>
  <c r="N152" i="4"/>
  <c r="O152" i="4" s="1"/>
  <c r="N84" i="4"/>
  <c r="O84" i="4" s="1"/>
  <c r="E32" i="14"/>
  <c r="E52" i="14"/>
  <c r="F52" i="14" s="1"/>
  <c r="G52" i="14" s="1"/>
  <c r="E72" i="14"/>
  <c r="E92" i="14"/>
  <c r="E112" i="14"/>
  <c r="E132" i="14"/>
  <c r="F132" i="14" s="1"/>
  <c r="G132" i="14" s="1"/>
  <c r="E152" i="14"/>
  <c r="F152" i="14" s="1"/>
  <c r="G152" i="14" s="1"/>
  <c r="E172" i="14"/>
  <c r="F172" i="14" s="1"/>
  <c r="G172" i="14" s="1"/>
  <c r="E192" i="14"/>
  <c r="F192" i="14" s="1"/>
  <c r="G192" i="14" s="1"/>
  <c r="E212" i="14"/>
  <c r="F212" i="14" s="1"/>
  <c r="G212" i="14" s="1"/>
  <c r="E232" i="14"/>
  <c r="F232" i="14" s="1"/>
  <c r="G232" i="14" s="1"/>
  <c r="E252" i="14"/>
  <c r="F252" i="14" s="1"/>
  <c r="G252" i="14" s="1"/>
  <c r="E272" i="14"/>
  <c r="F272" i="14" s="1"/>
  <c r="G272" i="14" s="1"/>
  <c r="E292" i="14"/>
  <c r="F292" i="14" s="1"/>
  <c r="G292" i="14" s="1"/>
  <c r="E312" i="14"/>
  <c r="F312" i="14" s="1"/>
  <c r="G312" i="14" s="1"/>
  <c r="E332" i="14"/>
  <c r="F332" i="14" s="1"/>
  <c r="G332" i="14" s="1"/>
  <c r="E352" i="14"/>
  <c r="F352" i="14" s="1"/>
  <c r="G352" i="14" s="1"/>
  <c r="E372" i="14"/>
  <c r="F372" i="14" s="1"/>
  <c r="G372" i="14" s="1"/>
  <c r="E33" i="14"/>
  <c r="F33" i="14" s="1"/>
  <c r="G33" i="14" s="1"/>
  <c r="E53" i="14"/>
  <c r="F53" i="14" s="1"/>
  <c r="G53" i="14" s="1"/>
  <c r="E73" i="14"/>
  <c r="E93" i="14"/>
  <c r="F93" i="14" s="1"/>
  <c r="G93" i="14" s="1"/>
  <c r="E113" i="14"/>
  <c r="F113" i="14" s="1"/>
  <c r="G113" i="14" s="1"/>
  <c r="E133" i="14"/>
  <c r="F133" i="14" s="1"/>
  <c r="G133" i="14" s="1"/>
  <c r="E153" i="14"/>
  <c r="F153" i="14" s="1"/>
  <c r="G153" i="14" s="1"/>
  <c r="E173" i="14"/>
  <c r="F173" i="14" s="1"/>
  <c r="G173" i="14" s="1"/>
  <c r="E193" i="14"/>
  <c r="F193" i="14" s="1"/>
  <c r="G193" i="14" s="1"/>
  <c r="E213" i="14"/>
  <c r="F213" i="14" s="1"/>
  <c r="G213" i="14" s="1"/>
  <c r="E233" i="14"/>
  <c r="F233" i="14" s="1"/>
  <c r="G233" i="14" s="1"/>
  <c r="E253" i="14"/>
  <c r="F253" i="14" s="1"/>
  <c r="G253" i="14" s="1"/>
  <c r="E273" i="14"/>
  <c r="F273" i="14" s="1"/>
  <c r="G273" i="14" s="1"/>
  <c r="E293" i="14"/>
  <c r="F293" i="14" s="1"/>
  <c r="G293" i="14" s="1"/>
  <c r="E313" i="14"/>
  <c r="F313" i="14" s="1"/>
  <c r="G313" i="14" s="1"/>
  <c r="E333" i="14"/>
  <c r="F333" i="14" s="1"/>
  <c r="G333" i="14" s="1"/>
  <c r="E353" i="14"/>
  <c r="F353" i="14" s="1"/>
  <c r="G353" i="14" s="1"/>
  <c r="E373" i="14"/>
  <c r="F373" i="14" s="1"/>
  <c r="G373" i="14" s="1"/>
  <c r="E34" i="14"/>
  <c r="F34" i="14" s="1"/>
  <c r="G34" i="14" s="1"/>
  <c r="E54" i="14"/>
  <c r="F54" i="14" s="1"/>
  <c r="G54" i="14" s="1"/>
  <c r="E74" i="14"/>
  <c r="F74" i="14" s="1"/>
  <c r="G74" i="14" s="1"/>
  <c r="E94" i="14"/>
  <c r="F94" i="14" s="1"/>
  <c r="G94" i="14" s="1"/>
  <c r="E114" i="14"/>
  <c r="F114" i="14" s="1"/>
  <c r="G114" i="14" s="1"/>
  <c r="E134" i="14"/>
  <c r="F134" i="14" s="1"/>
  <c r="G134" i="14" s="1"/>
  <c r="E154" i="14"/>
  <c r="F154" i="14" s="1"/>
  <c r="G154" i="14" s="1"/>
  <c r="E174" i="14"/>
  <c r="F174" i="14" s="1"/>
  <c r="G174" i="14" s="1"/>
  <c r="E194" i="14"/>
  <c r="F194" i="14" s="1"/>
  <c r="G194" i="14" s="1"/>
  <c r="E214" i="14"/>
  <c r="F214" i="14" s="1"/>
  <c r="G214" i="14" s="1"/>
  <c r="E234" i="14"/>
  <c r="E254" i="14"/>
  <c r="F254" i="14" s="1"/>
  <c r="G254" i="14" s="1"/>
  <c r="E274" i="14"/>
  <c r="F274" i="14" s="1"/>
  <c r="G274" i="14" s="1"/>
  <c r="E294" i="14"/>
  <c r="F294" i="14" s="1"/>
  <c r="G294" i="14" s="1"/>
  <c r="E314" i="14"/>
  <c r="F314" i="14" s="1"/>
  <c r="G314" i="14" s="1"/>
  <c r="E334" i="14"/>
  <c r="F334" i="14" s="1"/>
  <c r="G334" i="14" s="1"/>
  <c r="E354" i="14"/>
  <c r="F354" i="14" s="1"/>
  <c r="G354" i="14" s="1"/>
  <c r="E374" i="14"/>
  <c r="F374" i="14" s="1"/>
  <c r="G374" i="14" s="1"/>
  <c r="E35" i="14"/>
  <c r="F35" i="14" s="1"/>
  <c r="G35" i="14" s="1"/>
  <c r="E55" i="14"/>
  <c r="F55" i="14" s="1"/>
  <c r="G55" i="14" s="1"/>
  <c r="E75" i="14"/>
  <c r="F75" i="14" s="1"/>
  <c r="G75" i="14" s="1"/>
  <c r="E95" i="14"/>
  <c r="F95" i="14" s="1"/>
  <c r="G95" i="14" s="1"/>
  <c r="E115" i="14"/>
  <c r="F115" i="14" s="1"/>
  <c r="G115" i="14" s="1"/>
  <c r="E135" i="14"/>
  <c r="F135" i="14" s="1"/>
  <c r="G135" i="14" s="1"/>
  <c r="E155" i="14"/>
  <c r="F155" i="14" s="1"/>
  <c r="G155" i="14" s="1"/>
  <c r="E175" i="14"/>
  <c r="E195" i="14"/>
  <c r="F195" i="14" s="1"/>
  <c r="G195" i="14" s="1"/>
  <c r="E215" i="14"/>
  <c r="F215" i="14" s="1"/>
  <c r="G215" i="14" s="1"/>
  <c r="E235" i="14"/>
  <c r="F235" i="14" s="1"/>
  <c r="G235" i="14" s="1"/>
  <c r="E255" i="14"/>
  <c r="F255" i="14" s="1"/>
  <c r="G255" i="14" s="1"/>
  <c r="E275" i="14"/>
  <c r="E295" i="14"/>
  <c r="F295" i="14" s="1"/>
  <c r="G295" i="14" s="1"/>
  <c r="E315" i="14"/>
  <c r="F315" i="14" s="1"/>
  <c r="G315" i="14" s="1"/>
  <c r="E335" i="14"/>
  <c r="F335" i="14" s="1"/>
  <c r="G335" i="14" s="1"/>
  <c r="E355" i="14"/>
  <c r="F355" i="14" s="1"/>
  <c r="G355" i="14" s="1"/>
  <c r="E375" i="14"/>
  <c r="F375" i="14" s="1"/>
  <c r="G375" i="14" s="1"/>
  <c r="E36" i="14"/>
  <c r="F36" i="14" s="1"/>
  <c r="G36" i="14" s="1"/>
  <c r="E56" i="14"/>
  <c r="F56" i="14" s="1"/>
  <c r="G56" i="14" s="1"/>
  <c r="E76" i="14"/>
  <c r="F76" i="14" s="1"/>
  <c r="G76" i="14" s="1"/>
  <c r="E96" i="14"/>
  <c r="F96" i="14" s="1"/>
  <c r="G96" i="14" s="1"/>
  <c r="E116" i="14"/>
  <c r="F116" i="14" s="1"/>
  <c r="G116" i="14" s="1"/>
  <c r="E136" i="14"/>
  <c r="F136" i="14" s="1"/>
  <c r="G136" i="14" s="1"/>
  <c r="E156" i="14"/>
  <c r="F156" i="14" s="1"/>
  <c r="G156" i="14" s="1"/>
  <c r="E176" i="14"/>
  <c r="F176" i="14" s="1"/>
  <c r="G176" i="14" s="1"/>
  <c r="E196" i="14"/>
  <c r="F196" i="14" s="1"/>
  <c r="G196" i="14" s="1"/>
  <c r="E216" i="14"/>
  <c r="E236" i="14"/>
  <c r="F236" i="14" s="1"/>
  <c r="G236" i="14" s="1"/>
  <c r="E256" i="14"/>
  <c r="F256" i="14" s="1"/>
  <c r="G256" i="14" s="1"/>
  <c r="E276" i="14"/>
  <c r="E26" i="14"/>
  <c r="F26" i="14" s="1"/>
  <c r="G26" i="14" s="1"/>
  <c r="E51" i="14"/>
  <c r="F51" i="14" s="1"/>
  <c r="G51" i="14" s="1"/>
  <c r="E81" i="14"/>
  <c r="F81" i="14" s="1"/>
  <c r="G81" i="14" s="1"/>
  <c r="E106" i="14"/>
  <c r="F106" i="14" s="1"/>
  <c r="G106" i="14" s="1"/>
  <c r="E131" i="14"/>
  <c r="F131" i="14" s="1"/>
  <c r="G131" i="14" s="1"/>
  <c r="E161" i="14"/>
  <c r="F161" i="14" s="1"/>
  <c r="G161" i="14" s="1"/>
  <c r="E186" i="14"/>
  <c r="F186" i="14" s="1"/>
  <c r="G186" i="14" s="1"/>
  <c r="E211" i="14"/>
  <c r="F211" i="14" s="1"/>
  <c r="G211" i="14" s="1"/>
  <c r="E241" i="14"/>
  <c r="F241" i="14" s="1"/>
  <c r="G241" i="14" s="1"/>
  <c r="E266" i="14"/>
  <c r="F266" i="14" s="1"/>
  <c r="G266" i="14" s="1"/>
  <c r="E291" i="14"/>
  <c r="F291" i="14" s="1"/>
  <c r="G291" i="14" s="1"/>
  <c r="E319" i="14"/>
  <c r="F319" i="14" s="1"/>
  <c r="G319" i="14" s="1"/>
  <c r="E343" i="14"/>
  <c r="F343" i="14" s="1"/>
  <c r="G343" i="14" s="1"/>
  <c r="E367" i="14"/>
  <c r="F367" i="14" s="1"/>
  <c r="G367" i="14" s="1"/>
  <c r="E27" i="14"/>
  <c r="F27" i="14" s="1"/>
  <c r="G27" i="14" s="1"/>
  <c r="E57" i="14"/>
  <c r="E82" i="14"/>
  <c r="E107" i="14"/>
  <c r="F107" i="14" s="1"/>
  <c r="G107" i="14" s="1"/>
  <c r="E137" i="14"/>
  <c r="F137" i="14" s="1"/>
  <c r="G137" i="14" s="1"/>
  <c r="E162" i="14"/>
  <c r="F162" i="14" s="1"/>
  <c r="G162" i="14" s="1"/>
  <c r="E187" i="14"/>
  <c r="F187" i="14" s="1"/>
  <c r="G187" i="14" s="1"/>
  <c r="E217" i="14"/>
  <c r="F217" i="14" s="1"/>
  <c r="G217" i="14" s="1"/>
  <c r="E242" i="14"/>
  <c r="F242" i="14" s="1"/>
  <c r="G242" i="14" s="1"/>
  <c r="E267" i="14"/>
  <c r="F267" i="14" s="1"/>
  <c r="G267" i="14" s="1"/>
  <c r="E296" i="14"/>
  <c r="F296" i="14" s="1"/>
  <c r="G296" i="14" s="1"/>
  <c r="E320" i="14"/>
  <c r="F320" i="14" s="1"/>
  <c r="G320" i="14" s="1"/>
  <c r="E344" i="14"/>
  <c r="F344" i="14" s="1"/>
  <c r="G344" i="14" s="1"/>
  <c r="E368" i="14"/>
  <c r="F368" i="14" s="1"/>
  <c r="G368" i="14" s="1"/>
  <c r="E28" i="14"/>
  <c r="F28" i="14" s="1"/>
  <c r="G28" i="14" s="1"/>
  <c r="E58" i="14"/>
  <c r="F58" i="14" s="1"/>
  <c r="G58" i="14" s="1"/>
  <c r="E83" i="14"/>
  <c r="F83" i="14" s="1"/>
  <c r="G83" i="14" s="1"/>
  <c r="E108" i="14"/>
  <c r="F108" i="14" s="1"/>
  <c r="G108" i="14" s="1"/>
  <c r="E138" i="14"/>
  <c r="F138" i="14" s="1"/>
  <c r="G138" i="14" s="1"/>
  <c r="E163" i="14"/>
  <c r="F163" i="14" s="1"/>
  <c r="G163" i="14" s="1"/>
  <c r="E188" i="14"/>
  <c r="F188" i="14" s="1"/>
  <c r="G188" i="14" s="1"/>
  <c r="E218" i="14"/>
  <c r="F218" i="14" s="1"/>
  <c r="G218" i="14" s="1"/>
  <c r="E243" i="14"/>
  <c r="F243" i="14" s="1"/>
  <c r="G243" i="14" s="1"/>
  <c r="E268" i="14"/>
  <c r="F268" i="14" s="1"/>
  <c r="G268" i="14" s="1"/>
  <c r="E297" i="14"/>
  <c r="F297" i="14" s="1"/>
  <c r="G297" i="14" s="1"/>
  <c r="E321" i="14"/>
  <c r="F321" i="14" s="1"/>
  <c r="G321" i="14" s="1"/>
  <c r="E345" i="14"/>
  <c r="F345" i="14" s="1"/>
  <c r="G345" i="14" s="1"/>
  <c r="E369" i="14"/>
  <c r="E29" i="14"/>
  <c r="E59" i="14"/>
  <c r="F59" i="14" s="1"/>
  <c r="G59" i="14" s="1"/>
  <c r="E84" i="14"/>
  <c r="F84" i="14" s="1"/>
  <c r="G84" i="14" s="1"/>
  <c r="E109" i="14"/>
  <c r="F109" i="14" s="1"/>
  <c r="G109" i="14" s="1"/>
  <c r="E139" i="14"/>
  <c r="F139" i="14" s="1"/>
  <c r="G139" i="14" s="1"/>
  <c r="E164" i="14"/>
  <c r="F164" i="14" s="1"/>
  <c r="G164" i="14" s="1"/>
  <c r="E189" i="14"/>
  <c r="F189" i="14" s="1"/>
  <c r="G189" i="14" s="1"/>
  <c r="E219" i="14"/>
  <c r="F219" i="14" s="1"/>
  <c r="G219" i="14" s="1"/>
  <c r="E244" i="14"/>
  <c r="F244" i="14" s="1"/>
  <c r="G244" i="14" s="1"/>
  <c r="E269" i="14"/>
  <c r="F269" i="14" s="1"/>
  <c r="G269" i="14" s="1"/>
  <c r="E298" i="14"/>
  <c r="F298" i="14" s="1"/>
  <c r="G298" i="14" s="1"/>
  <c r="E322" i="14"/>
  <c r="F322" i="14" s="1"/>
  <c r="G322" i="14" s="1"/>
  <c r="E346" i="14"/>
  <c r="F346" i="14" s="1"/>
  <c r="G346" i="14" s="1"/>
  <c r="E370" i="14"/>
  <c r="F370" i="14" s="1"/>
  <c r="G370" i="14" s="1"/>
  <c r="E30" i="14"/>
  <c r="F30" i="14" s="1"/>
  <c r="G30" i="14" s="1"/>
  <c r="E60" i="14"/>
  <c r="F60" i="14" s="1"/>
  <c r="G60" i="14" s="1"/>
  <c r="E85" i="14"/>
  <c r="F85" i="14" s="1"/>
  <c r="G85" i="14" s="1"/>
  <c r="E110" i="14"/>
  <c r="F110" i="14" s="1"/>
  <c r="G110" i="14" s="1"/>
  <c r="E140" i="14"/>
  <c r="F140" i="14" s="1"/>
  <c r="G140" i="14" s="1"/>
  <c r="E165" i="14"/>
  <c r="E190" i="14"/>
  <c r="F190" i="14" s="1"/>
  <c r="G190" i="14" s="1"/>
  <c r="E220" i="14"/>
  <c r="F220" i="14" s="1"/>
  <c r="G220" i="14" s="1"/>
  <c r="E245" i="14"/>
  <c r="F245" i="14" s="1"/>
  <c r="G245" i="14" s="1"/>
  <c r="E270" i="14"/>
  <c r="F270" i="14" s="1"/>
  <c r="G270" i="14" s="1"/>
  <c r="E299" i="14"/>
  <c r="F299" i="14" s="1"/>
  <c r="G299" i="14" s="1"/>
  <c r="E323" i="14"/>
  <c r="F323" i="14" s="1"/>
  <c r="G323" i="14" s="1"/>
  <c r="E347" i="14"/>
  <c r="F347" i="14" s="1"/>
  <c r="G347" i="14" s="1"/>
  <c r="E371" i="14"/>
  <c r="F371" i="14" s="1"/>
  <c r="G371" i="14" s="1"/>
  <c r="E31" i="14"/>
  <c r="F31" i="14" s="1"/>
  <c r="G31" i="14" s="1"/>
  <c r="E61" i="14"/>
  <c r="F61" i="14" s="1"/>
  <c r="G61" i="14" s="1"/>
  <c r="E86" i="14"/>
  <c r="F86" i="14" s="1"/>
  <c r="G86" i="14" s="1"/>
  <c r="E111" i="14"/>
  <c r="F111" i="14" s="1"/>
  <c r="G111" i="14" s="1"/>
  <c r="E141" i="14"/>
  <c r="F141" i="14" s="1"/>
  <c r="G141" i="14" s="1"/>
  <c r="E166" i="14"/>
  <c r="F166" i="14" s="1"/>
  <c r="G166" i="14" s="1"/>
  <c r="E191" i="14"/>
  <c r="F191" i="14" s="1"/>
  <c r="G191" i="14" s="1"/>
  <c r="E221" i="14"/>
  <c r="F221" i="14" s="1"/>
  <c r="G221" i="14" s="1"/>
  <c r="E246" i="14"/>
  <c r="F246" i="14" s="1"/>
  <c r="G246" i="14" s="1"/>
  <c r="E271" i="14"/>
  <c r="F271" i="14" s="1"/>
  <c r="G271" i="14" s="1"/>
  <c r="E300" i="14"/>
  <c r="F300" i="14" s="1"/>
  <c r="G300" i="14" s="1"/>
  <c r="E324" i="14"/>
  <c r="E348" i="14"/>
  <c r="F348" i="14" s="1"/>
  <c r="G348" i="14" s="1"/>
  <c r="E376" i="14"/>
  <c r="F376" i="14" s="1"/>
  <c r="G376" i="14" s="1"/>
  <c r="E123" i="14"/>
  <c r="F123" i="14" s="1"/>
  <c r="G123" i="14" s="1"/>
  <c r="E37" i="14"/>
  <c r="F37" i="14" s="1"/>
  <c r="G37" i="14" s="1"/>
  <c r="E62" i="14"/>
  <c r="F62" i="14" s="1"/>
  <c r="G62" i="14" s="1"/>
  <c r="E87" i="14"/>
  <c r="F87" i="14" s="1"/>
  <c r="G87" i="14" s="1"/>
  <c r="E117" i="14"/>
  <c r="F117" i="14" s="1"/>
  <c r="G117" i="14" s="1"/>
  <c r="E142" i="14"/>
  <c r="F142" i="14" s="1"/>
  <c r="G142" i="14" s="1"/>
  <c r="E167" i="14"/>
  <c r="F167" i="14" s="1"/>
  <c r="G167" i="14" s="1"/>
  <c r="E197" i="14"/>
  <c r="F197" i="14" s="1"/>
  <c r="G197" i="14" s="1"/>
  <c r="E222" i="14"/>
  <c r="F222" i="14" s="1"/>
  <c r="G222" i="14" s="1"/>
  <c r="E247" i="14"/>
  <c r="F247" i="14" s="1"/>
  <c r="G247" i="14" s="1"/>
  <c r="E277" i="14"/>
  <c r="F277" i="14" s="1"/>
  <c r="G277" i="14" s="1"/>
  <c r="E301" i="14"/>
  <c r="F301" i="14" s="1"/>
  <c r="G301" i="14" s="1"/>
  <c r="E325" i="14"/>
  <c r="F325" i="14" s="1"/>
  <c r="G325" i="14" s="1"/>
  <c r="E349" i="14"/>
  <c r="F349" i="14" s="1"/>
  <c r="G349" i="14" s="1"/>
  <c r="E377" i="14"/>
  <c r="F377" i="14" s="1"/>
  <c r="G377" i="14" s="1"/>
  <c r="E38" i="14"/>
  <c r="F38" i="14" s="1"/>
  <c r="G38" i="14" s="1"/>
  <c r="E63" i="14"/>
  <c r="F63" i="14" s="1"/>
  <c r="G63" i="14" s="1"/>
  <c r="E88" i="14"/>
  <c r="E118" i="14"/>
  <c r="F118" i="14" s="1"/>
  <c r="G118" i="14" s="1"/>
  <c r="E143" i="14"/>
  <c r="F143" i="14" s="1"/>
  <c r="G143" i="14" s="1"/>
  <c r="E168" i="14"/>
  <c r="F168" i="14" s="1"/>
  <c r="G168" i="14" s="1"/>
  <c r="E198" i="14"/>
  <c r="F198" i="14" s="1"/>
  <c r="G198" i="14" s="1"/>
  <c r="E223" i="14"/>
  <c r="F223" i="14" s="1"/>
  <c r="G223" i="14" s="1"/>
  <c r="E248" i="14"/>
  <c r="F248" i="14" s="1"/>
  <c r="G248" i="14" s="1"/>
  <c r="E278" i="14"/>
  <c r="F278" i="14" s="1"/>
  <c r="G278" i="14" s="1"/>
  <c r="E302" i="14"/>
  <c r="F302" i="14" s="1"/>
  <c r="G302" i="14" s="1"/>
  <c r="E326" i="14"/>
  <c r="F326" i="14" s="1"/>
  <c r="G326" i="14" s="1"/>
  <c r="E350" i="14"/>
  <c r="F350" i="14" s="1"/>
  <c r="G350" i="14" s="1"/>
  <c r="E378" i="14"/>
  <c r="F378" i="14" s="1"/>
  <c r="G378" i="14" s="1"/>
  <c r="E39" i="14"/>
  <c r="F39" i="14" s="1"/>
  <c r="G39" i="14" s="1"/>
  <c r="E64" i="14"/>
  <c r="F64" i="14" s="1"/>
  <c r="G64" i="14" s="1"/>
  <c r="E89" i="14"/>
  <c r="E119" i="14"/>
  <c r="E144" i="14"/>
  <c r="F144" i="14" s="1"/>
  <c r="G144" i="14" s="1"/>
  <c r="E169" i="14"/>
  <c r="E199" i="14"/>
  <c r="F199" i="14" s="1"/>
  <c r="G199" i="14" s="1"/>
  <c r="E224" i="14"/>
  <c r="F224" i="14" s="1"/>
  <c r="G224" i="14" s="1"/>
  <c r="E249" i="14"/>
  <c r="E279" i="14"/>
  <c r="F279" i="14" s="1"/>
  <c r="G279" i="14" s="1"/>
  <c r="E303" i="14"/>
  <c r="F303" i="14" s="1"/>
  <c r="G303" i="14" s="1"/>
  <c r="E327" i="14"/>
  <c r="F327" i="14" s="1"/>
  <c r="G327" i="14" s="1"/>
  <c r="E351" i="14"/>
  <c r="F351" i="14" s="1"/>
  <c r="G351" i="14" s="1"/>
  <c r="E379" i="14"/>
  <c r="F379" i="14" s="1"/>
  <c r="G379" i="14" s="1"/>
  <c r="E40" i="14"/>
  <c r="F40" i="14" s="1"/>
  <c r="G40" i="14" s="1"/>
  <c r="E65" i="14"/>
  <c r="F65" i="14" s="1"/>
  <c r="G65" i="14" s="1"/>
  <c r="E90" i="14"/>
  <c r="F90" i="14" s="1"/>
  <c r="G90" i="14" s="1"/>
  <c r="E120" i="14"/>
  <c r="F120" i="14" s="1"/>
  <c r="G120" i="14" s="1"/>
  <c r="E145" i="14"/>
  <c r="F145" i="14" s="1"/>
  <c r="G145" i="14" s="1"/>
  <c r="E170" i="14"/>
  <c r="F170" i="14" s="1"/>
  <c r="G170" i="14" s="1"/>
  <c r="E200" i="14"/>
  <c r="F200" i="14" s="1"/>
  <c r="G200" i="14" s="1"/>
  <c r="E225" i="14"/>
  <c r="F225" i="14" s="1"/>
  <c r="G225" i="14" s="1"/>
  <c r="E250" i="14"/>
  <c r="F250" i="14" s="1"/>
  <c r="G250" i="14" s="1"/>
  <c r="E280" i="14"/>
  <c r="F280" i="14" s="1"/>
  <c r="G280" i="14" s="1"/>
  <c r="E304" i="14"/>
  <c r="F304" i="14" s="1"/>
  <c r="G304" i="14" s="1"/>
  <c r="E328" i="14"/>
  <c r="F328" i="14" s="1"/>
  <c r="G328" i="14" s="1"/>
  <c r="E356" i="14"/>
  <c r="F356" i="14" s="1"/>
  <c r="G356" i="14" s="1"/>
  <c r="E380" i="14"/>
  <c r="F380" i="14" s="1"/>
  <c r="G380" i="14" s="1"/>
  <c r="E41" i="14"/>
  <c r="F41" i="14" s="1"/>
  <c r="G41" i="14" s="1"/>
  <c r="E66" i="14"/>
  <c r="F66" i="14" s="1"/>
  <c r="G66" i="14" s="1"/>
  <c r="E91" i="14"/>
  <c r="F91" i="14" s="1"/>
  <c r="G91" i="14" s="1"/>
  <c r="E121" i="14"/>
  <c r="F121" i="14" s="1"/>
  <c r="G121" i="14" s="1"/>
  <c r="E146" i="14"/>
  <c r="F146" i="14" s="1"/>
  <c r="G146" i="14" s="1"/>
  <c r="E171" i="14"/>
  <c r="F171" i="14" s="1"/>
  <c r="G171" i="14" s="1"/>
  <c r="E201" i="14"/>
  <c r="F201" i="14" s="1"/>
  <c r="G201" i="14" s="1"/>
  <c r="E226" i="14"/>
  <c r="F226" i="14" s="1"/>
  <c r="G226" i="14" s="1"/>
  <c r="E251" i="14"/>
  <c r="F251" i="14" s="1"/>
  <c r="G251" i="14" s="1"/>
  <c r="E281" i="14"/>
  <c r="F281" i="14" s="1"/>
  <c r="G281" i="14" s="1"/>
  <c r="E305" i="14"/>
  <c r="F305" i="14" s="1"/>
  <c r="G305" i="14" s="1"/>
  <c r="E329" i="14"/>
  <c r="F329" i="14" s="1"/>
  <c r="G329" i="14" s="1"/>
  <c r="E357" i="14"/>
  <c r="F357" i="14" s="1"/>
  <c r="G357" i="14" s="1"/>
  <c r="E381" i="14"/>
  <c r="F381" i="14" s="1"/>
  <c r="G381" i="14" s="1"/>
  <c r="E42" i="14"/>
  <c r="F42" i="14" s="1"/>
  <c r="G42" i="14" s="1"/>
  <c r="E67" i="14"/>
  <c r="F67" i="14" s="1"/>
  <c r="G67" i="14" s="1"/>
  <c r="E97" i="14"/>
  <c r="F97" i="14" s="1"/>
  <c r="G97" i="14" s="1"/>
  <c r="E122" i="14"/>
  <c r="F122" i="14" s="1"/>
  <c r="G122" i="14" s="1"/>
  <c r="E147" i="14"/>
  <c r="F147" i="14" s="1"/>
  <c r="G147" i="14" s="1"/>
  <c r="E177" i="14"/>
  <c r="F177" i="14" s="1"/>
  <c r="G177" i="14" s="1"/>
  <c r="E202" i="14"/>
  <c r="F202" i="14" s="1"/>
  <c r="G202" i="14" s="1"/>
  <c r="E227" i="14"/>
  <c r="F227" i="14" s="1"/>
  <c r="G227" i="14" s="1"/>
  <c r="E257" i="14"/>
  <c r="F257" i="14" s="1"/>
  <c r="G257" i="14" s="1"/>
  <c r="E282" i="14"/>
  <c r="F282" i="14" s="1"/>
  <c r="G282" i="14" s="1"/>
  <c r="E306" i="14"/>
  <c r="F306" i="14" s="1"/>
  <c r="G306" i="14" s="1"/>
  <c r="E330" i="14"/>
  <c r="F330" i="14" s="1"/>
  <c r="G330" i="14" s="1"/>
  <c r="E358" i="14"/>
  <c r="F358" i="14" s="1"/>
  <c r="G358" i="14" s="1"/>
  <c r="E382" i="14"/>
  <c r="F382" i="14" s="1"/>
  <c r="G382" i="14" s="1"/>
  <c r="E43" i="14"/>
  <c r="F43" i="14" s="1"/>
  <c r="G43" i="14" s="1"/>
  <c r="E68" i="14"/>
  <c r="F68" i="14" s="1"/>
  <c r="G68" i="14" s="1"/>
  <c r="E98" i="14"/>
  <c r="F98" i="14" s="1"/>
  <c r="G98" i="14" s="1"/>
  <c r="E148" i="14"/>
  <c r="F148" i="14" s="1"/>
  <c r="G148" i="14" s="1"/>
  <c r="E178" i="14"/>
  <c r="F178" i="14" s="1"/>
  <c r="G178" i="14" s="1"/>
  <c r="E203" i="14"/>
  <c r="F203" i="14" s="1"/>
  <c r="G203" i="14" s="1"/>
  <c r="E228" i="14"/>
  <c r="F228" i="14" s="1"/>
  <c r="G228" i="14" s="1"/>
  <c r="E258" i="14"/>
  <c r="F258" i="14" s="1"/>
  <c r="G258" i="14" s="1"/>
  <c r="E283" i="14"/>
  <c r="F283" i="14" s="1"/>
  <c r="G283" i="14" s="1"/>
  <c r="E307" i="14"/>
  <c r="F307" i="14" s="1"/>
  <c r="G307" i="14" s="1"/>
  <c r="E331" i="14"/>
  <c r="F331" i="14" s="1"/>
  <c r="G331" i="14" s="1"/>
  <c r="E359" i="14"/>
  <c r="F359" i="14" s="1"/>
  <c r="G359" i="14" s="1"/>
  <c r="E44" i="14"/>
  <c r="F44" i="14" s="1"/>
  <c r="G44" i="14" s="1"/>
  <c r="E105" i="14"/>
  <c r="E184" i="14"/>
  <c r="F184" i="14" s="1"/>
  <c r="G184" i="14" s="1"/>
  <c r="E263" i="14"/>
  <c r="F263" i="14" s="1"/>
  <c r="G263" i="14" s="1"/>
  <c r="E339" i="14"/>
  <c r="F339" i="14" s="1"/>
  <c r="G339" i="14" s="1"/>
  <c r="E45" i="14"/>
  <c r="F45" i="14" s="1"/>
  <c r="G45" i="14" s="1"/>
  <c r="E124" i="14"/>
  <c r="F124" i="14" s="1"/>
  <c r="G124" i="14" s="1"/>
  <c r="E185" i="14"/>
  <c r="F185" i="14" s="1"/>
  <c r="G185" i="14" s="1"/>
  <c r="E264" i="14"/>
  <c r="F264" i="14" s="1"/>
  <c r="G264" i="14" s="1"/>
  <c r="E340" i="14"/>
  <c r="F340" i="14" s="1"/>
  <c r="G340" i="14" s="1"/>
  <c r="E46" i="14"/>
  <c r="F46" i="14" s="1"/>
  <c r="G46" i="14" s="1"/>
  <c r="E125" i="14"/>
  <c r="F125" i="14" s="1"/>
  <c r="G125" i="14" s="1"/>
  <c r="E204" i="14"/>
  <c r="F204" i="14" s="1"/>
  <c r="G204" i="14" s="1"/>
  <c r="E265" i="14"/>
  <c r="F265" i="14" s="1"/>
  <c r="G265" i="14" s="1"/>
  <c r="E341" i="14"/>
  <c r="F341" i="14" s="1"/>
  <c r="G341" i="14" s="1"/>
  <c r="E47" i="14"/>
  <c r="F47" i="14" s="1"/>
  <c r="G47" i="14" s="1"/>
  <c r="E126" i="14"/>
  <c r="F126" i="14" s="1"/>
  <c r="G126" i="14" s="1"/>
  <c r="E205" i="14"/>
  <c r="F205" i="14" s="1"/>
  <c r="G205" i="14" s="1"/>
  <c r="E284" i="14"/>
  <c r="F284" i="14" s="1"/>
  <c r="G284" i="14" s="1"/>
  <c r="E342" i="14"/>
  <c r="F342" i="14" s="1"/>
  <c r="G342" i="14" s="1"/>
  <c r="E48" i="14"/>
  <c r="E127" i="14"/>
  <c r="F127" i="14" s="1"/>
  <c r="G127" i="14" s="1"/>
  <c r="E206" i="14"/>
  <c r="F206" i="14" s="1"/>
  <c r="G206" i="14" s="1"/>
  <c r="E285" i="14"/>
  <c r="F285" i="14" s="1"/>
  <c r="G285" i="14" s="1"/>
  <c r="E360" i="14"/>
  <c r="F360" i="14" s="1"/>
  <c r="G360" i="14" s="1"/>
  <c r="E49" i="14"/>
  <c r="F49" i="14" s="1"/>
  <c r="G49" i="14" s="1"/>
  <c r="E128" i="14"/>
  <c r="F128" i="14" s="1"/>
  <c r="G128" i="14" s="1"/>
  <c r="E207" i="14"/>
  <c r="F207" i="14" s="1"/>
  <c r="G207" i="14" s="1"/>
  <c r="E286" i="14"/>
  <c r="F286" i="14" s="1"/>
  <c r="G286" i="14" s="1"/>
  <c r="E361" i="14"/>
  <c r="F361" i="14" s="1"/>
  <c r="G361" i="14" s="1"/>
  <c r="E78" i="14"/>
  <c r="F78" i="14" s="1"/>
  <c r="G78" i="14" s="1"/>
  <c r="E231" i="14"/>
  <c r="F231" i="14" s="1"/>
  <c r="G231" i="14" s="1"/>
  <c r="E383" i="14"/>
  <c r="F383" i="14" s="1"/>
  <c r="G383" i="14" s="1"/>
  <c r="E79" i="14"/>
  <c r="F79" i="14" s="1"/>
  <c r="G79" i="14" s="1"/>
  <c r="E237" i="14"/>
  <c r="F237" i="14" s="1"/>
  <c r="G237" i="14" s="1"/>
  <c r="E384" i="14"/>
  <c r="F384" i="14" s="1"/>
  <c r="G384" i="14" s="1"/>
  <c r="E80" i="14"/>
  <c r="F80" i="14" s="1"/>
  <c r="G80" i="14" s="1"/>
  <c r="E238" i="14"/>
  <c r="E385" i="14"/>
  <c r="F385" i="14" s="1"/>
  <c r="G385" i="14" s="1"/>
  <c r="E160" i="14"/>
  <c r="F160" i="14" s="1"/>
  <c r="G160" i="14" s="1"/>
  <c r="E316" i="14"/>
  <c r="E100" i="14"/>
  <c r="F100" i="14" s="1"/>
  <c r="G100" i="14" s="1"/>
  <c r="E240" i="14"/>
  <c r="F240" i="14" s="1"/>
  <c r="G240" i="14" s="1"/>
  <c r="E22" i="14"/>
  <c r="F22" i="14" s="1"/>
  <c r="G22" i="14" s="1"/>
  <c r="E180" i="14"/>
  <c r="F180" i="14" s="1"/>
  <c r="G180" i="14" s="1"/>
  <c r="E318" i="14"/>
  <c r="F318" i="14" s="1"/>
  <c r="G318" i="14" s="1"/>
  <c r="E23" i="14"/>
  <c r="F23" i="14" s="1"/>
  <c r="G23" i="14" s="1"/>
  <c r="E181" i="14"/>
  <c r="F181" i="14" s="1"/>
  <c r="G181" i="14" s="1"/>
  <c r="E336" i="14"/>
  <c r="F336" i="14" s="1"/>
  <c r="G336" i="14" s="1"/>
  <c r="E337" i="14"/>
  <c r="F337" i="14" s="1"/>
  <c r="G337" i="14" s="1"/>
  <c r="E25" i="14"/>
  <c r="F25" i="14" s="1"/>
  <c r="G25" i="14" s="1"/>
  <c r="E183" i="14"/>
  <c r="F183" i="14" s="1"/>
  <c r="G183" i="14" s="1"/>
  <c r="E262" i="14"/>
  <c r="F262" i="14" s="1"/>
  <c r="G262" i="14" s="1"/>
  <c r="E338" i="14"/>
  <c r="E50" i="14"/>
  <c r="F50" i="14" s="1"/>
  <c r="G50" i="14" s="1"/>
  <c r="E129" i="14"/>
  <c r="F129" i="14" s="1"/>
  <c r="G129" i="14" s="1"/>
  <c r="E208" i="14"/>
  <c r="F208" i="14" s="1"/>
  <c r="G208" i="14" s="1"/>
  <c r="E287" i="14"/>
  <c r="F287" i="14" s="1"/>
  <c r="G287" i="14" s="1"/>
  <c r="E362" i="14"/>
  <c r="F362" i="14" s="1"/>
  <c r="G362" i="14" s="1"/>
  <c r="E69" i="14"/>
  <c r="E130" i="14"/>
  <c r="F130" i="14" s="1"/>
  <c r="G130" i="14" s="1"/>
  <c r="E209" i="14"/>
  <c r="F209" i="14" s="1"/>
  <c r="G209" i="14" s="1"/>
  <c r="E288" i="14"/>
  <c r="F288" i="14" s="1"/>
  <c r="G288" i="14" s="1"/>
  <c r="E363" i="14"/>
  <c r="F363" i="14" s="1"/>
  <c r="G363" i="14" s="1"/>
  <c r="E70" i="14"/>
  <c r="F70" i="14" s="1"/>
  <c r="G70" i="14" s="1"/>
  <c r="E149" i="14"/>
  <c r="F149" i="14" s="1"/>
  <c r="G149" i="14" s="1"/>
  <c r="E210" i="14"/>
  <c r="F210" i="14" s="1"/>
  <c r="G210" i="14" s="1"/>
  <c r="E289" i="14"/>
  <c r="F289" i="14" s="1"/>
  <c r="G289" i="14" s="1"/>
  <c r="E364" i="14"/>
  <c r="F364" i="14" s="1"/>
  <c r="G364" i="14" s="1"/>
  <c r="E71" i="14"/>
  <c r="F71" i="14" s="1"/>
  <c r="G71" i="14" s="1"/>
  <c r="E150" i="14"/>
  <c r="F150" i="14" s="1"/>
  <c r="G150" i="14" s="1"/>
  <c r="E229" i="14"/>
  <c r="F229" i="14" s="1"/>
  <c r="G229" i="14" s="1"/>
  <c r="E290" i="14"/>
  <c r="F290" i="14" s="1"/>
  <c r="G290" i="14" s="1"/>
  <c r="E365" i="14"/>
  <c r="F365" i="14" s="1"/>
  <c r="G365" i="14" s="1"/>
  <c r="E77" i="14"/>
  <c r="F77" i="14" s="1"/>
  <c r="G77" i="14" s="1"/>
  <c r="E151" i="14"/>
  <c r="F151" i="14" s="1"/>
  <c r="G151" i="14" s="1"/>
  <c r="E230" i="14"/>
  <c r="F230" i="14" s="1"/>
  <c r="G230" i="14" s="1"/>
  <c r="E308" i="14"/>
  <c r="F308" i="14" s="1"/>
  <c r="G308" i="14" s="1"/>
  <c r="E366" i="14"/>
  <c r="F366" i="14" s="1"/>
  <c r="G366" i="14" s="1"/>
  <c r="E157" i="14"/>
  <c r="F157" i="14" s="1"/>
  <c r="G157" i="14" s="1"/>
  <c r="E309" i="14"/>
  <c r="F309" i="14" s="1"/>
  <c r="G309" i="14" s="1"/>
  <c r="E158" i="14"/>
  <c r="F158" i="14" s="1"/>
  <c r="G158" i="14" s="1"/>
  <c r="E310" i="14"/>
  <c r="F310" i="14" s="1"/>
  <c r="G310" i="14" s="1"/>
  <c r="E159" i="14"/>
  <c r="F159" i="14" s="1"/>
  <c r="G159" i="14" s="1"/>
  <c r="E311" i="14"/>
  <c r="F311" i="14" s="1"/>
  <c r="G311" i="14" s="1"/>
  <c r="E99" i="14"/>
  <c r="F99" i="14" s="1"/>
  <c r="G99" i="14" s="1"/>
  <c r="E239" i="14"/>
  <c r="F239" i="14" s="1"/>
  <c r="G239" i="14" s="1"/>
  <c r="E386" i="14"/>
  <c r="F386" i="14" s="1"/>
  <c r="G386" i="14" s="1"/>
  <c r="E179" i="14"/>
  <c r="F179" i="14" s="1"/>
  <c r="G179" i="14" s="1"/>
  <c r="E317" i="14"/>
  <c r="F317" i="14" s="1"/>
  <c r="G317" i="14" s="1"/>
  <c r="E101" i="14"/>
  <c r="F101" i="14" s="1"/>
  <c r="G101" i="14" s="1"/>
  <c r="E259" i="14"/>
  <c r="F259" i="14" s="1"/>
  <c r="G259" i="14" s="1"/>
  <c r="E102" i="14"/>
  <c r="F102" i="14" s="1"/>
  <c r="G102" i="14" s="1"/>
  <c r="E260" i="14"/>
  <c r="F260" i="14" s="1"/>
  <c r="G260" i="14" s="1"/>
  <c r="E24" i="14"/>
  <c r="F24" i="14" s="1"/>
  <c r="G24" i="14" s="1"/>
  <c r="E103" i="14"/>
  <c r="F103" i="14" s="1"/>
  <c r="G103" i="14" s="1"/>
  <c r="E182" i="14"/>
  <c r="F182" i="14" s="1"/>
  <c r="G182" i="14" s="1"/>
  <c r="E261" i="14"/>
  <c r="F261" i="14" s="1"/>
  <c r="G261" i="14" s="1"/>
  <c r="E104" i="14"/>
  <c r="F104" i="14" s="1"/>
  <c r="G104" i="14" s="1"/>
  <c r="F324" i="14"/>
  <c r="G324" i="14" s="1"/>
  <c r="F105" i="14"/>
  <c r="G105" i="14" s="1"/>
  <c r="F165" i="14"/>
  <c r="G165" i="14" s="1"/>
  <c r="F89" i="14"/>
  <c r="G89" i="14" s="1"/>
  <c r="F169" i="14"/>
  <c r="G169" i="14" s="1"/>
  <c r="F249" i="14"/>
  <c r="G249" i="14" s="1"/>
  <c r="F369" i="14"/>
  <c r="G369" i="14" s="1"/>
  <c r="F48" i="14"/>
  <c r="G48" i="14" s="1"/>
  <c r="F88" i="14"/>
  <c r="G88" i="14" s="1"/>
  <c r="F29" i="14"/>
  <c r="G29" i="14" s="1"/>
  <c r="F69" i="14"/>
  <c r="G69" i="14" s="1"/>
  <c r="F32" i="14"/>
  <c r="G32" i="14" s="1"/>
  <c r="F72" i="14"/>
  <c r="G72" i="14" s="1"/>
  <c r="F92" i="14"/>
  <c r="G92" i="14" s="1"/>
  <c r="F112" i="14"/>
  <c r="G112" i="14" s="1"/>
  <c r="F73" i="14"/>
  <c r="G73" i="14" s="1"/>
  <c r="F119" i="14"/>
  <c r="G119" i="14" s="1"/>
  <c r="F338" i="14"/>
  <c r="G338" i="14" s="1"/>
  <c r="F82" i="14"/>
  <c r="G82" i="14" s="1"/>
  <c r="F234" i="14"/>
  <c r="G234" i="14" s="1"/>
  <c r="F275" i="14"/>
  <c r="G275" i="14" s="1"/>
  <c r="F57" i="14"/>
  <c r="G57" i="14" s="1"/>
  <c r="F238" i="14"/>
  <c r="G238" i="14" s="1"/>
  <c r="F276" i="14"/>
  <c r="G276" i="14" s="1"/>
  <c r="F175" i="14"/>
  <c r="G175" i="14" s="1"/>
  <c r="F216" i="14"/>
  <c r="G216" i="14" s="1"/>
  <c r="F316" i="14"/>
  <c r="G316" i="14" s="1"/>
  <c r="C112" i="4"/>
  <c r="D17" i="16"/>
  <c r="D18" i="16" s="1"/>
  <c r="G18" i="16" s="1"/>
  <c r="E17" i="16"/>
  <c r="E18" i="16" s="1"/>
  <c r="C199" i="4"/>
  <c r="C159" i="4"/>
  <c r="C238" i="4"/>
  <c r="C18" i="4"/>
  <c r="C58" i="4"/>
  <c r="C217" i="4"/>
  <c r="C197" i="4"/>
  <c r="N26" i="4"/>
  <c r="N217" i="4"/>
  <c r="O217" i="4" s="1"/>
  <c r="N279" i="4"/>
  <c r="O279" i="4" s="1"/>
  <c r="N345" i="4"/>
  <c r="O345" i="4" s="1"/>
  <c r="N283" i="4"/>
  <c r="O283" i="4" s="1"/>
  <c r="N365" i="4"/>
  <c r="O365" i="4" s="1"/>
  <c r="C114" i="4"/>
  <c r="C200" i="4"/>
  <c r="C20" i="4"/>
  <c r="C198" i="4"/>
  <c r="C158" i="4"/>
  <c r="C17" i="4"/>
  <c r="C57" i="4"/>
  <c r="C372" i="4"/>
  <c r="C113" i="4"/>
  <c r="C279" i="4"/>
  <c r="E18" i="5"/>
  <c r="V22" i="5"/>
  <c r="E19" i="5"/>
  <c r="V18" i="5"/>
  <c r="V19" i="5"/>
  <c r="V20" i="5"/>
  <c r="C104" i="4"/>
  <c r="V23" i="5"/>
  <c r="V24" i="5"/>
  <c r="N338" i="4"/>
  <c r="O338" i="4" s="1"/>
  <c r="N252" i="4"/>
  <c r="O252" i="4" s="1"/>
  <c r="N184" i="4"/>
  <c r="O184" i="4" s="1"/>
  <c r="N121" i="4"/>
  <c r="O121" i="4" s="1"/>
  <c r="N52" i="4"/>
  <c r="O52" i="4" s="1"/>
  <c r="N335" i="4"/>
  <c r="O335" i="4" s="1"/>
  <c r="N251" i="4"/>
  <c r="O251" i="4" s="1"/>
  <c r="N183" i="4"/>
  <c r="O183" i="4" s="1"/>
  <c r="N120" i="4"/>
  <c r="O120" i="4" s="1"/>
  <c r="N51" i="4"/>
  <c r="N317" i="4"/>
  <c r="O317" i="4" s="1"/>
  <c r="N250" i="4"/>
  <c r="O250" i="4" s="1"/>
  <c r="N182" i="4"/>
  <c r="O182" i="4" s="1"/>
  <c r="N119" i="4"/>
  <c r="O119" i="4" s="1"/>
  <c r="N50" i="4"/>
  <c r="O50" i="4" s="1"/>
  <c r="N316" i="4"/>
  <c r="O316" i="4" s="1"/>
  <c r="N249" i="4"/>
  <c r="O249" i="4" s="1"/>
  <c r="N181" i="4"/>
  <c r="O181" i="4" s="1"/>
  <c r="N115" i="4"/>
  <c r="O115" i="4" s="1"/>
  <c r="N29" i="4"/>
  <c r="N315" i="4"/>
  <c r="O315" i="4" s="1"/>
  <c r="N246" i="4"/>
  <c r="O246" i="4" s="1"/>
  <c r="N180" i="4"/>
  <c r="O180" i="4" s="1"/>
  <c r="N113" i="4"/>
  <c r="O113" i="4" s="1"/>
  <c r="N27" i="4"/>
  <c r="N47" i="4"/>
  <c r="O47" i="4" s="1"/>
  <c r="N67" i="4"/>
  <c r="O67" i="4" s="1"/>
  <c r="N87" i="4"/>
  <c r="O87" i="4" s="1"/>
  <c r="N107" i="4"/>
  <c r="O107" i="4" s="1"/>
  <c r="N127" i="4"/>
  <c r="O127" i="4" s="1"/>
  <c r="N147" i="4"/>
  <c r="O147" i="4" s="1"/>
  <c r="N167" i="4"/>
  <c r="O167" i="4" s="1"/>
  <c r="N187" i="4"/>
  <c r="O187" i="4" s="1"/>
  <c r="N207" i="4"/>
  <c r="O207" i="4" s="1"/>
  <c r="N227" i="4"/>
  <c r="O227" i="4" s="1"/>
  <c r="N247" i="4"/>
  <c r="O247" i="4" s="1"/>
  <c r="N267" i="4"/>
  <c r="O267" i="4" s="1"/>
  <c r="N287" i="4"/>
  <c r="O287" i="4" s="1"/>
  <c r="N307" i="4"/>
  <c r="O307" i="4" s="1"/>
  <c r="N327" i="4"/>
  <c r="O327" i="4" s="1"/>
  <c r="N347" i="4"/>
  <c r="O347" i="4" s="1"/>
  <c r="N367" i="4"/>
  <c r="O367" i="4" s="1"/>
  <c r="N28" i="4"/>
  <c r="N48" i="4"/>
  <c r="O48" i="4" s="1"/>
  <c r="N68" i="4"/>
  <c r="O68" i="4" s="1"/>
  <c r="N88" i="4"/>
  <c r="O88" i="4" s="1"/>
  <c r="N108" i="4"/>
  <c r="O108" i="4" s="1"/>
  <c r="N128" i="4"/>
  <c r="O128" i="4" s="1"/>
  <c r="N148" i="4"/>
  <c r="O148" i="4" s="1"/>
  <c r="N168" i="4"/>
  <c r="O168" i="4" s="1"/>
  <c r="N188" i="4"/>
  <c r="O188" i="4" s="1"/>
  <c r="N208" i="4"/>
  <c r="O208" i="4" s="1"/>
  <c r="N228" i="4"/>
  <c r="O228" i="4" s="1"/>
  <c r="N248" i="4"/>
  <c r="O248" i="4" s="1"/>
  <c r="N268" i="4"/>
  <c r="O268" i="4" s="1"/>
  <c r="N288" i="4"/>
  <c r="O288" i="4" s="1"/>
  <c r="N308" i="4"/>
  <c r="O308" i="4" s="1"/>
  <c r="N328" i="4"/>
  <c r="O328" i="4" s="1"/>
  <c r="N348" i="4"/>
  <c r="O348" i="4" s="1"/>
  <c r="N368" i="4"/>
  <c r="O368" i="4" s="1"/>
  <c r="N14" i="4"/>
  <c r="N34" i="4"/>
  <c r="N54" i="4"/>
  <c r="O54" i="4" s="1"/>
  <c r="N74" i="4"/>
  <c r="O74" i="4" s="1"/>
  <c r="N94" i="4"/>
  <c r="O94" i="4" s="1"/>
  <c r="N114" i="4"/>
  <c r="O114" i="4" s="1"/>
  <c r="N134" i="4"/>
  <c r="O134" i="4" s="1"/>
  <c r="N154" i="4"/>
  <c r="O154" i="4" s="1"/>
  <c r="N174" i="4"/>
  <c r="O174" i="4" s="1"/>
  <c r="N194" i="4"/>
  <c r="O194" i="4" s="1"/>
  <c r="N214" i="4"/>
  <c r="O214" i="4" s="1"/>
  <c r="N234" i="4"/>
  <c r="O234" i="4" s="1"/>
  <c r="N254" i="4"/>
  <c r="O254" i="4" s="1"/>
  <c r="N274" i="4"/>
  <c r="O274" i="4" s="1"/>
  <c r="N294" i="4"/>
  <c r="O294" i="4" s="1"/>
  <c r="N314" i="4"/>
  <c r="O314" i="4" s="1"/>
  <c r="N334" i="4"/>
  <c r="O334" i="4" s="1"/>
  <c r="N354" i="4"/>
  <c r="O354" i="4" s="1"/>
  <c r="N374" i="4"/>
  <c r="O374" i="4" s="1"/>
  <c r="N21" i="4"/>
  <c r="N44" i="4"/>
  <c r="O44" i="4" s="1"/>
  <c r="N69" i="4"/>
  <c r="O69" i="4" s="1"/>
  <c r="N92" i="4"/>
  <c r="O92" i="4" s="1"/>
  <c r="N116" i="4"/>
  <c r="O116" i="4" s="1"/>
  <c r="N139" i="4"/>
  <c r="O139" i="4" s="1"/>
  <c r="N162" i="4"/>
  <c r="O162" i="4" s="1"/>
  <c r="N185" i="4"/>
  <c r="O185" i="4" s="1"/>
  <c r="N210" i="4"/>
  <c r="O210" i="4" s="1"/>
  <c r="N233" i="4"/>
  <c r="O233" i="4" s="1"/>
  <c r="N257" i="4"/>
  <c r="O257" i="4" s="1"/>
  <c r="N280" i="4"/>
  <c r="O280" i="4" s="1"/>
  <c r="N303" i="4"/>
  <c r="O303" i="4" s="1"/>
  <c r="N326" i="4"/>
  <c r="O326" i="4" s="1"/>
  <c r="N351" i="4"/>
  <c r="O351" i="4" s="1"/>
  <c r="N375" i="4"/>
  <c r="O375" i="4" s="1"/>
  <c r="N22" i="4"/>
  <c r="N45" i="4"/>
  <c r="O45" i="4" s="1"/>
  <c r="N70" i="4"/>
  <c r="O70" i="4" s="1"/>
  <c r="N93" i="4"/>
  <c r="O93" i="4" s="1"/>
  <c r="N117" i="4"/>
  <c r="O117" i="4" s="1"/>
  <c r="N140" i="4"/>
  <c r="O140" i="4" s="1"/>
  <c r="N163" i="4"/>
  <c r="O163" i="4" s="1"/>
  <c r="N186" i="4"/>
  <c r="O186" i="4" s="1"/>
  <c r="N211" i="4"/>
  <c r="O211" i="4" s="1"/>
  <c r="N235" i="4"/>
  <c r="O235" i="4" s="1"/>
  <c r="N258" i="4"/>
  <c r="O258" i="4" s="1"/>
  <c r="N281" i="4"/>
  <c r="O281" i="4" s="1"/>
  <c r="N304" i="4"/>
  <c r="O304" i="4" s="1"/>
  <c r="N329" i="4"/>
  <c r="O329" i="4" s="1"/>
  <c r="N352" i="4"/>
  <c r="O352" i="4" s="1"/>
  <c r="N23" i="4"/>
  <c r="N46" i="4"/>
  <c r="O46" i="4" s="1"/>
  <c r="N71" i="4"/>
  <c r="O71" i="4" s="1"/>
  <c r="N95" i="4"/>
  <c r="O95" i="4" s="1"/>
  <c r="N118" i="4"/>
  <c r="O118" i="4" s="1"/>
  <c r="N141" i="4"/>
  <c r="O141" i="4" s="1"/>
  <c r="N164" i="4"/>
  <c r="O164" i="4" s="1"/>
  <c r="N189" i="4"/>
  <c r="O189" i="4" s="1"/>
  <c r="N212" i="4"/>
  <c r="O212" i="4" s="1"/>
  <c r="N236" i="4"/>
  <c r="O236" i="4" s="1"/>
  <c r="N259" i="4"/>
  <c r="O259" i="4" s="1"/>
  <c r="N282" i="4"/>
  <c r="O282" i="4" s="1"/>
  <c r="N305" i="4"/>
  <c r="O305" i="4" s="1"/>
  <c r="N330" i="4"/>
  <c r="O330" i="4" s="1"/>
  <c r="N353" i="4"/>
  <c r="O353" i="4" s="1"/>
  <c r="N30" i="4"/>
  <c r="N53" i="4"/>
  <c r="O53" i="4" s="1"/>
  <c r="N77" i="4"/>
  <c r="O77" i="4" s="1"/>
  <c r="N100" i="4"/>
  <c r="O100" i="4" s="1"/>
  <c r="N123" i="4"/>
  <c r="O123" i="4" s="1"/>
  <c r="N146" i="4"/>
  <c r="O146" i="4" s="1"/>
  <c r="N171" i="4"/>
  <c r="O171" i="4" s="1"/>
  <c r="N195" i="4"/>
  <c r="O195" i="4" s="1"/>
  <c r="N218" i="4"/>
  <c r="O218" i="4" s="1"/>
  <c r="N241" i="4"/>
  <c r="O241" i="4" s="1"/>
  <c r="N264" i="4"/>
  <c r="O264" i="4" s="1"/>
  <c r="N289" i="4"/>
  <c r="O289" i="4" s="1"/>
  <c r="N312" i="4"/>
  <c r="O312" i="4" s="1"/>
  <c r="N336" i="4"/>
  <c r="O336" i="4" s="1"/>
  <c r="N359" i="4"/>
  <c r="O359" i="4" s="1"/>
  <c r="N31" i="4"/>
  <c r="N55" i="4"/>
  <c r="O55" i="4" s="1"/>
  <c r="N78" i="4"/>
  <c r="O78" i="4" s="1"/>
  <c r="N101" i="4"/>
  <c r="O101" i="4" s="1"/>
  <c r="N124" i="4"/>
  <c r="O124" i="4" s="1"/>
  <c r="N149" i="4"/>
  <c r="O149" i="4" s="1"/>
  <c r="N172" i="4"/>
  <c r="O172" i="4" s="1"/>
  <c r="N196" i="4"/>
  <c r="O196" i="4" s="1"/>
  <c r="N219" i="4"/>
  <c r="O219" i="4" s="1"/>
  <c r="N242" i="4"/>
  <c r="O242" i="4" s="1"/>
  <c r="N265" i="4"/>
  <c r="O265" i="4" s="1"/>
  <c r="N290" i="4"/>
  <c r="O290" i="4" s="1"/>
  <c r="N313" i="4"/>
  <c r="O313" i="4" s="1"/>
  <c r="N337" i="4"/>
  <c r="O337" i="4" s="1"/>
  <c r="N360" i="4"/>
  <c r="O360" i="4" s="1"/>
  <c r="N32" i="4"/>
  <c r="N56" i="4"/>
  <c r="O56" i="4" s="1"/>
  <c r="N79" i="4"/>
  <c r="O79" i="4" s="1"/>
  <c r="N33" i="4"/>
  <c r="N63" i="4"/>
  <c r="O63" i="4" s="1"/>
  <c r="N98" i="4"/>
  <c r="O98" i="4" s="1"/>
  <c r="N130" i="4"/>
  <c r="O130" i="4" s="1"/>
  <c r="N159" i="4"/>
  <c r="O159" i="4" s="1"/>
  <c r="N192" i="4"/>
  <c r="O192" i="4" s="1"/>
  <c r="N223" i="4"/>
  <c r="O223" i="4" s="1"/>
  <c r="N253" i="4"/>
  <c r="O253" i="4" s="1"/>
  <c r="N285" i="4"/>
  <c r="O285" i="4" s="1"/>
  <c r="N318" i="4"/>
  <c r="O318" i="4" s="1"/>
  <c r="N346" i="4"/>
  <c r="O346" i="4" s="1"/>
  <c r="N35" i="4"/>
  <c r="N64" i="4"/>
  <c r="O64" i="4" s="1"/>
  <c r="N99" i="4"/>
  <c r="O99" i="4" s="1"/>
  <c r="N131" i="4"/>
  <c r="O131" i="4" s="1"/>
  <c r="N160" i="4"/>
  <c r="O160" i="4" s="1"/>
  <c r="N193" i="4"/>
  <c r="O193" i="4" s="1"/>
  <c r="N224" i="4"/>
  <c r="O224" i="4" s="1"/>
  <c r="N255" i="4"/>
  <c r="O255" i="4" s="1"/>
  <c r="N286" i="4"/>
  <c r="O286" i="4" s="1"/>
  <c r="N319" i="4"/>
  <c r="O319" i="4" s="1"/>
  <c r="N349" i="4"/>
  <c r="O349" i="4" s="1"/>
  <c r="N36" i="4"/>
  <c r="N65" i="4"/>
  <c r="O65" i="4" s="1"/>
  <c r="N102" i="4"/>
  <c r="O102" i="4" s="1"/>
  <c r="N132" i="4"/>
  <c r="O132" i="4" s="1"/>
  <c r="N161" i="4"/>
  <c r="O161" i="4" s="1"/>
  <c r="N197" i="4"/>
  <c r="O197" i="4" s="1"/>
  <c r="N225" i="4"/>
  <c r="O225" i="4" s="1"/>
  <c r="N256" i="4"/>
  <c r="O256" i="4" s="1"/>
  <c r="N291" i="4"/>
  <c r="O291" i="4" s="1"/>
  <c r="N320" i="4"/>
  <c r="O320" i="4" s="1"/>
  <c r="N350" i="4"/>
  <c r="O350" i="4" s="1"/>
  <c r="N37" i="4"/>
  <c r="N66" i="4"/>
  <c r="O66" i="4" s="1"/>
  <c r="N103" i="4"/>
  <c r="O103" i="4" s="1"/>
  <c r="N133" i="4"/>
  <c r="O133" i="4" s="1"/>
  <c r="N165" i="4"/>
  <c r="O165" i="4" s="1"/>
  <c r="N198" i="4"/>
  <c r="O198" i="4" s="1"/>
  <c r="N226" i="4"/>
  <c r="O226" i="4" s="1"/>
  <c r="N260" i="4"/>
  <c r="O260" i="4" s="1"/>
  <c r="N292" i="4"/>
  <c r="O292" i="4" s="1"/>
  <c r="N321" i="4"/>
  <c r="O321" i="4" s="1"/>
  <c r="N355" i="4"/>
  <c r="O355" i="4" s="1"/>
  <c r="N38" i="4"/>
  <c r="N72" i="4"/>
  <c r="O72" i="4" s="1"/>
  <c r="N104" i="4"/>
  <c r="O104" i="4" s="1"/>
  <c r="N135" i="4"/>
  <c r="O135" i="4" s="1"/>
  <c r="N166" i="4"/>
  <c r="O166" i="4" s="1"/>
  <c r="N199" i="4"/>
  <c r="O199" i="4" s="1"/>
  <c r="N229" i="4"/>
  <c r="O229" i="4" s="1"/>
  <c r="N261" i="4"/>
  <c r="O261" i="4" s="1"/>
  <c r="N293" i="4"/>
  <c r="O293" i="4" s="1"/>
  <c r="N322" i="4"/>
  <c r="O322" i="4" s="1"/>
  <c r="N356" i="4"/>
  <c r="O356" i="4" s="1"/>
  <c r="N39" i="4"/>
  <c r="N73" i="4"/>
  <c r="O73" i="4" s="1"/>
  <c r="N105" i="4"/>
  <c r="O105" i="4" s="1"/>
  <c r="N136" i="4"/>
  <c r="O136" i="4" s="1"/>
  <c r="N169" i="4"/>
  <c r="O169" i="4" s="1"/>
  <c r="N200" i="4"/>
  <c r="O200" i="4" s="1"/>
  <c r="N230" i="4"/>
  <c r="O230" i="4" s="1"/>
  <c r="N262" i="4"/>
  <c r="O262" i="4" s="1"/>
  <c r="N295" i="4"/>
  <c r="O295" i="4" s="1"/>
  <c r="N323" i="4"/>
  <c r="O323" i="4" s="1"/>
  <c r="N357" i="4"/>
  <c r="O357" i="4" s="1"/>
  <c r="N40" i="4"/>
  <c r="N75" i="4"/>
  <c r="O75" i="4" s="1"/>
  <c r="N106" i="4"/>
  <c r="O106" i="4" s="1"/>
  <c r="N137" i="4"/>
  <c r="O137" i="4" s="1"/>
  <c r="N170" i="4"/>
  <c r="O170" i="4" s="1"/>
  <c r="N201" i="4"/>
  <c r="O201" i="4" s="1"/>
  <c r="N231" i="4"/>
  <c r="O231" i="4" s="1"/>
  <c r="N263" i="4"/>
  <c r="O263" i="4" s="1"/>
  <c r="N296" i="4"/>
  <c r="O296" i="4" s="1"/>
  <c r="N324" i="4"/>
  <c r="O324" i="4" s="1"/>
  <c r="N358" i="4"/>
  <c r="O358" i="4" s="1"/>
  <c r="N41" i="4"/>
  <c r="O41" i="4" s="1"/>
  <c r="N76" i="4"/>
  <c r="O76" i="4" s="1"/>
  <c r="N109" i="4"/>
  <c r="O109" i="4" s="1"/>
  <c r="N138" i="4"/>
  <c r="O138" i="4" s="1"/>
  <c r="N173" i="4"/>
  <c r="O173" i="4" s="1"/>
  <c r="N202" i="4"/>
  <c r="O202" i="4" s="1"/>
  <c r="N232" i="4"/>
  <c r="O232" i="4" s="1"/>
  <c r="N266" i="4"/>
  <c r="O266" i="4" s="1"/>
  <c r="N297" i="4"/>
  <c r="O297" i="4" s="1"/>
  <c r="N325" i="4"/>
  <c r="O325" i="4" s="1"/>
  <c r="N361" i="4"/>
  <c r="O361" i="4" s="1"/>
  <c r="N12" i="4"/>
  <c r="O19" i="6" s="1"/>
  <c r="P19" i="6" s="1"/>
  <c r="N42" i="4"/>
  <c r="O42" i="4" s="1"/>
  <c r="N80" i="4"/>
  <c r="O80" i="4" s="1"/>
  <c r="N110" i="4"/>
  <c r="O110" i="4" s="1"/>
  <c r="N142" i="4"/>
  <c r="O142" i="4" s="1"/>
  <c r="N175" i="4"/>
  <c r="O175" i="4" s="1"/>
  <c r="N203" i="4"/>
  <c r="O203" i="4" s="1"/>
  <c r="N237" i="4"/>
  <c r="O237" i="4" s="1"/>
  <c r="N269" i="4"/>
  <c r="O269" i="4" s="1"/>
  <c r="N298" i="4"/>
  <c r="O298" i="4" s="1"/>
  <c r="N331" i="4"/>
  <c r="O331" i="4" s="1"/>
  <c r="N362" i="4"/>
  <c r="O362" i="4" s="1"/>
  <c r="N11" i="4"/>
  <c r="N13" i="4"/>
  <c r="N43" i="4"/>
  <c r="O43" i="4" s="1"/>
  <c r="N81" i="4"/>
  <c r="O81" i="4" s="1"/>
  <c r="N111" i="4"/>
  <c r="O111" i="4" s="1"/>
  <c r="N143" i="4"/>
  <c r="O143" i="4" s="1"/>
  <c r="N176" i="4"/>
  <c r="O176" i="4" s="1"/>
  <c r="N204" i="4"/>
  <c r="O204" i="4" s="1"/>
  <c r="N238" i="4"/>
  <c r="O238" i="4" s="1"/>
  <c r="N270" i="4"/>
  <c r="O270" i="4" s="1"/>
  <c r="N299" i="4"/>
  <c r="O299" i="4" s="1"/>
  <c r="N332" i="4"/>
  <c r="O332" i="4" s="1"/>
  <c r="N363" i="4"/>
  <c r="O363" i="4" s="1"/>
  <c r="N15" i="4"/>
  <c r="N49" i="4"/>
  <c r="O49" i="4" s="1"/>
  <c r="N82" i="4"/>
  <c r="O82" i="4" s="1"/>
  <c r="N112" i="4"/>
  <c r="O112" i="4" s="1"/>
  <c r="N144" i="4"/>
  <c r="O144" i="4" s="1"/>
  <c r="N177" i="4"/>
  <c r="O177" i="4" s="1"/>
  <c r="N205" i="4"/>
  <c r="O205" i="4" s="1"/>
  <c r="N239" i="4"/>
  <c r="O239" i="4" s="1"/>
  <c r="N271" i="4"/>
  <c r="O271" i="4" s="1"/>
  <c r="N300" i="4"/>
  <c r="O300" i="4" s="1"/>
  <c r="N333" i="4"/>
  <c r="O333" i="4" s="1"/>
  <c r="N364" i="4"/>
  <c r="O364" i="4" s="1"/>
  <c r="N344" i="4"/>
  <c r="O344" i="4" s="1"/>
  <c r="N278" i="4"/>
  <c r="O278" i="4" s="1"/>
  <c r="N215" i="4"/>
  <c r="O215" i="4" s="1"/>
  <c r="N150" i="4"/>
  <c r="O150" i="4" s="1"/>
  <c r="N62" i="4"/>
  <c r="O62" i="4" s="1"/>
  <c r="N343" i="4"/>
  <c r="O343" i="4" s="1"/>
  <c r="N277" i="4"/>
  <c r="O277" i="4" s="1"/>
  <c r="N213" i="4"/>
  <c r="O213" i="4" s="1"/>
  <c r="N145" i="4"/>
  <c r="O145" i="4" s="1"/>
  <c r="N61" i="4"/>
  <c r="O61" i="4" s="1"/>
  <c r="N342" i="4"/>
  <c r="O342" i="4" s="1"/>
  <c r="N276" i="4"/>
  <c r="O276" i="4" s="1"/>
  <c r="N209" i="4"/>
  <c r="O209" i="4" s="1"/>
  <c r="N129" i="4"/>
  <c r="O129" i="4" s="1"/>
  <c r="N60" i="4"/>
  <c r="O60" i="4" s="1"/>
  <c r="N341" i="4"/>
  <c r="O341" i="4" s="1"/>
  <c r="N275" i="4"/>
  <c r="O275" i="4" s="1"/>
  <c r="N206" i="4"/>
  <c r="O206" i="4" s="1"/>
  <c r="N126" i="4"/>
  <c r="O126" i="4" s="1"/>
  <c r="N59" i="4"/>
  <c r="O59" i="4" s="1"/>
  <c r="N340" i="4"/>
  <c r="O340" i="4" s="1"/>
  <c r="N273" i="4"/>
  <c r="O273" i="4" s="1"/>
  <c r="N191" i="4"/>
  <c r="O191" i="4" s="1"/>
  <c r="N125" i="4"/>
  <c r="O125" i="4" s="1"/>
  <c r="N58" i="4"/>
  <c r="O58" i="4" s="1"/>
  <c r="N339" i="4"/>
  <c r="O339" i="4" s="1"/>
  <c r="N272" i="4"/>
  <c r="O272" i="4" s="1"/>
  <c r="N190" i="4"/>
  <c r="O190" i="4" s="1"/>
  <c r="N122" i="4"/>
  <c r="O122" i="4" s="1"/>
  <c r="N57" i="4"/>
  <c r="O57" i="4" s="1"/>
  <c r="N311" i="4"/>
  <c r="O311" i="4" s="1"/>
  <c r="N245" i="4"/>
  <c r="O245" i="4" s="1"/>
  <c r="N179" i="4"/>
  <c r="O179" i="4" s="1"/>
  <c r="N97" i="4"/>
  <c r="O97" i="4" s="1"/>
  <c r="N25" i="4"/>
  <c r="N373" i="4"/>
  <c r="O373" i="4" s="1"/>
  <c r="N310" i="4"/>
  <c r="O310" i="4" s="1"/>
  <c r="N244" i="4"/>
  <c r="O244" i="4" s="1"/>
  <c r="N178" i="4"/>
  <c r="O178" i="4" s="1"/>
  <c r="N96" i="4"/>
  <c r="O96" i="4" s="1"/>
  <c r="N24" i="4"/>
  <c r="N372" i="4"/>
  <c r="O372" i="4" s="1"/>
  <c r="N309" i="4"/>
  <c r="O309" i="4" s="1"/>
  <c r="N243" i="4"/>
  <c r="O243" i="4" s="1"/>
  <c r="N158" i="4"/>
  <c r="O158" i="4" s="1"/>
  <c r="N91" i="4"/>
  <c r="O91" i="4" s="1"/>
  <c r="N20" i="4"/>
  <c r="N371" i="4"/>
  <c r="O371" i="4" s="1"/>
  <c r="N306" i="4"/>
  <c r="O306" i="4" s="1"/>
  <c r="N240" i="4"/>
  <c r="O240" i="4" s="1"/>
  <c r="N157" i="4"/>
  <c r="O157" i="4" s="1"/>
  <c r="N90" i="4"/>
  <c r="O90" i="4" s="1"/>
  <c r="N19" i="4"/>
  <c r="N370" i="4"/>
  <c r="O370" i="4" s="1"/>
  <c r="N302" i="4"/>
  <c r="O302" i="4" s="1"/>
  <c r="N222" i="4"/>
  <c r="O222" i="4" s="1"/>
  <c r="N156" i="4"/>
  <c r="O156" i="4" s="1"/>
  <c r="N89" i="4"/>
  <c r="O89" i="4" s="1"/>
  <c r="N18" i="4"/>
  <c r="N369" i="4"/>
  <c r="O369" i="4" s="1"/>
  <c r="N301" i="4"/>
  <c r="O301" i="4" s="1"/>
  <c r="N221" i="4"/>
  <c r="O221" i="4" s="1"/>
  <c r="N155" i="4"/>
  <c r="O155" i="4" s="1"/>
  <c r="N86" i="4"/>
  <c r="O86" i="4" s="1"/>
  <c r="N17" i="4"/>
  <c r="N366" i="4"/>
  <c r="O366" i="4" s="1"/>
  <c r="N284" i="4"/>
  <c r="O284" i="4" s="1"/>
  <c r="N220" i="4"/>
  <c r="O220" i="4" s="1"/>
  <c r="N153" i="4"/>
  <c r="O153" i="4" s="1"/>
  <c r="N85" i="4"/>
  <c r="O85" i="4" s="1"/>
  <c r="N16" i="4"/>
  <c r="C164" i="4"/>
  <c r="C72" i="4"/>
  <c r="C292" i="4"/>
  <c r="C162" i="4"/>
  <c r="C161" i="4"/>
  <c r="C157" i="4"/>
  <c r="C37" i="4"/>
  <c r="C137" i="4"/>
  <c r="C196" i="4"/>
  <c r="C195" i="4"/>
  <c r="C355" i="4"/>
  <c r="C274" i="4"/>
  <c r="C194" i="4"/>
  <c r="C354" i="4"/>
  <c r="C273" i="4"/>
  <c r="C193" i="4"/>
  <c r="C56" i="4"/>
  <c r="C353" i="4"/>
  <c r="C272" i="4"/>
  <c r="C192" i="4"/>
  <c r="C352" i="4"/>
  <c r="C173" i="4"/>
  <c r="C253" i="4"/>
  <c r="C172" i="4"/>
  <c r="C336" i="4"/>
  <c r="C252" i="4"/>
  <c r="C335" i="4"/>
  <c r="C232" i="4"/>
  <c r="C334" i="4"/>
  <c r="C95" i="4"/>
  <c r="C333" i="4"/>
  <c r="C94" i="4"/>
  <c r="C316" i="4"/>
  <c r="C93" i="4"/>
  <c r="C315" i="4"/>
  <c r="C212" i="4"/>
  <c r="C314" i="4"/>
  <c r="C204" i="4"/>
  <c r="C313" i="4"/>
  <c r="C203" i="4"/>
  <c r="C156" i="4"/>
  <c r="C202" i="4"/>
  <c r="C155" i="4"/>
  <c r="C295" i="4"/>
  <c r="C201" i="4"/>
  <c r="C154" i="4"/>
  <c r="C75" i="4"/>
  <c r="C139" i="4"/>
  <c r="C138" i="4"/>
  <c r="U25" i="5"/>
  <c r="C328" i="4"/>
  <c r="C283" i="4"/>
  <c r="C243" i="4"/>
  <c r="C123" i="4"/>
  <c r="C83" i="4"/>
  <c r="C63" i="4"/>
  <c r="C121" i="4"/>
  <c r="C321" i="4"/>
  <c r="C184" i="4"/>
  <c r="C84" i="4"/>
  <c r="C216" i="4"/>
  <c r="C96" i="4"/>
  <c r="C16" i="4"/>
  <c r="C305" i="4"/>
  <c r="C183" i="4"/>
  <c r="C82" i="4"/>
  <c r="C304" i="4"/>
  <c r="C81" i="4"/>
  <c r="C221" i="4"/>
  <c r="C176" i="4"/>
  <c r="C35" i="4"/>
  <c r="C373" i="4"/>
  <c r="C213" i="4"/>
  <c r="C375" i="4"/>
  <c r="C175" i="4"/>
  <c r="C132" i="4"/>
  <c r="C34" i="4"/>
  <c r="C165" i="4"/>
  <c r="C124" i="4"/>
  <c r="C64" i="4"/>
  <c r="C322" i="4"/>
  <c r="C242" i="4"/>
  <c r="C122" i="4"/>
  <c r="C281" i="4"/>
  <c r="C241" i="4"/>
  <c r="C141" i="4"/>
  <c r="C41" i="4"/>
  <c r="C136" i="4"/>
  <c r="C36" i="4"/>
  <c r="C214" i="4"/>
  <c r="C374" i="4"/>
  <c r="C174" i="4"/>
  <c r="C116" i="4"/>
  <c r="C282" i="4"/>
  <c r="C62" i="4"/>
  <c r="C61" i="4"/>
  <c r="C76" i="4"/>
  <c r="C12" i="4"/>
  <c r="C257" i="4"/>
  <c r="C311" i="4"/>
  <c r="C211" i="4"/>
  <c r="C191" i="4"/>
  <c r="C171" i="4"/>
  <c r="C151" i="4"/>
  <c r="C310" i="4"/>
  <c r="C290" i="4"/>
  <c r="C190" i="4"/>
  <c r="C170" i="4"/>
  <c r="C150" i="4"/>
  <c r="C130" i="4"/>
  <c r="C30" i="4"/>
  <c r="C369" i="4"/>
  <c r="C309" i="4"/>
  <c r="C289" i="4"/>
  <c r="C189" i="4"/>
  <c r="C169" i="4"/>
  <c r="C149" i="4"/>
  <c r="C129" i="4"/>
  <c r="C109" i="4"/>
  <c r="C69" i="4"/>
  <c r="C331" i="4"/>
  <c r="C368" i="4"/>
  <c r="C308" i="4"/>
  <c r="C288" i="4"/>
  <c r="C168" i="4"/>
  <c r="C148" i="4"/>
  <c r="C128" i="4"/>
  <c r="C108" i="4"/>
  <c r="C88" i="4"/>
  <c r="C330" i="4"/>
  <c r="C367" i="4"/>
  <c r="C287" i="4"/>
  <c r="C167" i="4"/>
  <c r="C127" i="4"/>
  <c r="C107" i="4"/>
  <c r="C87" i="4"/>
  <c r="C67" i="4"/>
  <c r="C329" i="4"/>
  <c r="C251" i="4"/>
  <c r="C68" i="4"/>
  <c r="C366" i="4"/>
  <c r="C286" i="4"/>
  <c r="C166" i="4"/>
  <c r="C86" i="4"/>
  <c r="C66" i="4"/>
  <c r="C46" i="4"/>
  <c r="C370" i="4"/>
  <c r="C250" i="4"/>
  <c r="C365" i="4"/>
  <c r="C345" i="4"/>
  <c r="C285" i="4"/>
  <c r="C265" i="4"/>
  <c r="C145" i="4"/>
  <c r="C65" i="4"/>
  <c r="C45" i="4"/>
  <c r="C25" i="4"/>
  <c r="C249" i="4"/>
  <c r="C131" i="4"/>
  <c r="C31" i="4"/>
  <c r="C248" i="4"/>
  <c r="C247" i="4"/>
  <c r="C188" i="4"/>
  <c r="C91" i="4"/>
  <c r="F12" i="4"/>
  <c r="G19" i="6"/>
  <c r="C246" i="4"/>
  <c r="C187" i="4"/>
  <c r="C90" i="4"/>
  <c r="C210" i="4"/>
  <c r="C186" i="4"/>
  <c r="C89" i="4"/>
  <c r="C231" i="4"/>
  <c r="C209" i="4"/>
  <c r="C185" i="4"/>
  <c r="C85" i="4"/>
  <c r="C230" i="4"/>
  <c r="C208" i="4"/>
  <c r="C111" i="4"/>
  <c r="C110" i="4"/>
  <c r="C106" i="4"/>
  <c r="C307" i="4"/>
  <c r="C11" i="4"/>
  <c r="C306" i="4"/>
  <c r="C44" i="4"/>
  <c r="C24" i="4"/>
  <c r="C23" i="4"/>
  <c r="C344" i="4"/>
  <c r="C362" i="4"/>
  <c r="C343" i="4"/>
  <c r="C361" i="4"/>
  <c r="C341" i="4"/>
  <c r="C342" i="4"/>
  <c r="C360" i="4"/>
  <c r="C340" i="4"/>
  <c r="C320" i="4"/>
  <c r="C359" i="4"/>
  <c r="C339" i="4"/>
  <c r="C319" i="4"/>
  <c r="C364" i="4"/>
  <c r="C22" i="4"/>
  <c r="C338" i="4"/>
  <c r="C318" i="4"/>
  <c r="C298" i="4"/>
  <c r="C363" i="4"/>
  <c r="C317" i="4"/>
  <c r="C297" i="4"/>
  <c r="C277" i="4"/>
  <c r="C358" i="4"/>
  <c r="F11" i="4"/>
  <c r="G18" i="6"/>
  <c r="C296" i="4"/>
  <c r="C276" i="4"/>
  <c r="C256" i="4"/>
  <c r="C357" i="4"/>
  <c r="C236" i="4"/>
  <c r="C43" i="4"/>
  <c r="C356" i="4"/>
  <c r="G48" i="6"/>
  <c r="F41" i="4"/>
  <c r="G47" i="6"/>
  <c r="F40" i="4"/>
  <c r="G46" i="6"/>
  <c r="F39" i="4"/>
  <c r="G45" i="6"/>
  <c r="F38" i="4"/>
  <c r="G44" i="6"/>
  <c r="F37" i="4"/>
  <c r="G43" i="6"/>
  <c r="F36" i="4"/>
  <c r="G42" i="6"/>
  <c r="F35" i="4"/>
  <c r="G41" i="6"/>
  <c r="F34" i="4"/>
  <c r="G40" i="6"/>
  <c r="F33" i="4"/>
  <c r="G39" i="6"/>
  <c r="F32" i="4"/>
  <c r="G38" i="6"/>
  <c r="F31" i="4"/>
  <c r="G37" i="6"/>
  <c r="F30" i="4"/>
  <c r="G36" i="6"/>
  <c r="F29" i="4"/>
  <c r="G35" i="6"/>
  <c r="F28" i="4"/>
  <c r="G34" i="6"/>
  <c r="F27" i="4"/>
  <c r="G33" i="6"/>
  <c r="F26" i="4"/>
  <c r="G32" i="6"/>
  <c r="F25" i="4"/>
  <c r="G31" i="6"/>
  <c r="F24" i="4"/>
  <c r="G30" i="6"/>
  <c r="F23" i="4"/>
  <c r="G29" i="6"/>
  <c r="F22" i="4"/>
  <c r="G28" i="6"/>
  <c r="F21" i="4"/>
  <c r="G27" i="6"/>
  <c r="F20" i="4"/>
  <c r="G26" i="6"/>
  <c r="F19" i="4"/>
  <c r="G25" i="6"/>
  <c r="F18" i="4"/>
  <c r="G24" i="6"/>
  <c r="F17" i="4"/>
  <c r="G23" i="6"/>
  <c r="F16" i="4"/>
  <c r="G22" i="6"/>
  <c r="F15" i="4"/>
  <c r="G21" i="6"/>
  <c r="F14" i="4"/>
  <c r="G20" i="6"/>
  <c r="F13" i="4"/>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207" i="6"/>
  <c r="E208" i="6"/>
  <c r="E209" i="6"/>
  <c r="E210" i="6"/>
  <c r="E211" i="6"/>
  <c r="E212" i="6"/>
  <c r="E213" i="6"/>
  <c r="E214" i="6"/>
  <c r="E215" i="6"/>
  <c r="E216" i="6"/>
  <c r="E217" i="6"/>
  <c r="E218" i="6"/>
  <c r="E219" i="6"/>
  <c r="E220" i="6"/>
  <c r="E221" i="6"/>
  <c r="E222" i="6"/>
  <c r="E223" i="6"/>
  <c r="E224" i="6"/>
  <c r="E225" i="6"/>
  <c r="E226" i="6"/>
  <c r="E227" i="6"/>
  <c r="E228" i="6"/>
  <c r="E229" i="6"/>
  <c r="E230" i="6"/>
  <c r="E231" i="6"/>
  <c r="E232" i="6"/>
  <c r="E233" i="6"/>
  <c r="E234" i="6"/>
  <c r="E235" i="6"/>
  <c r="E236" i="6"/>
  <c r="E237" i="6"/>
  <c r="E238" i="6"/>
  <c r="E239" i="6"/>
  <c r="E240" i="6"/>
  <c r="E241" i="6"/>
  <c r="E242" i="6"/>
  <c r="E243" i="6"/>
  <c r="E244" i="6"/>
  <c r="E245" i="6"/>
  <c r="E246" i="6"/>
  <c r="E247" i="6"/>
  <c r="E248" i="6"/>
  <c r="E249" i="6"/>
  <c r="E250" i="6"/>
  <c r="E251" i="6"/>
  <c r="E252" i="6"/>
  <c r="E253" i="6"/>
  <c r="E254" i="6"/>
  <c r="E255" i="6"/>
  <c r="E256" i="6"/>
  <c r="E257" i="6"/>
  <c r="E258" i="6"/>
  <c r="E259" i="6"/>
  <c r="E260" i="6"/>
  <c r="E261" i="6"/>
  <c r="E262" i="6"/>
  <c r="E263" i="6"/>
  <c r="E264" i="6"/>
  <c r="E265" i="6"/>
  <c r="E266" i="6"/>
  <c r="E267" i="6"/>
  <c r="E268" i="6"/>
  <c r="E269" i="6"/>
  <c r="E270" i="6"/>
  <c r="E271" i="6"/>
  <c r="E272" i="6"/>
  <c r="E273" i="6"/>
  <c r="E274" i="6"/>
  <c r="E275" i="6"/>
  <c r="E276" i="6"/>
  <c r="E277" i="6"/>
  <c r="E278" i="6"/>
  <c r="E279" i="6"/>
  <c r="E280" i="6"/>
  <c r="E281" i="6"/>
  <c r="E282" i="6"/>
  <c r="E283" i="6"/>
  <c r="E284" i="6"/>
  <c r="E285" i="6"/>
  <c r="E286" i="6"/>
  <c r="E287" i="6"/>
  <c r="E288" i="6"/>
  <c r="E289" i="6"/>
  <c r="E290" i="6"/>
  <c r="E291" i="6"/>
  <c r="E292" i="6"/>
  <c r="E293" i="6"/>
  <c r="E294" i="6"/>
  <c r="E295" i="6"/>
  <c r="E296" i="6"/>
  <c r="E297" i="6"/>
  <c r="E298" i="6"/>
  <c r="E299" i="6"/>
  <c r="E300" i="6"/>
  <c r="E301" i="6"/>
  <c r="E302" i="6"/>
  <c r="E303" i="6"/>
  <c r="E304" i="6"/>
  <c r="E305" i="6"/>
  <c r="E306" i="6"/>
  <c r="E307" i="6"/>
  <c r="E308" i="6"/>
  <c r="E309" i="6"/>
  <c r="E310" i="6"/>
  <c r="E311" i="6"/>
  <c r="E312" i="6"/>
  <c r="E313" i="6"/>
  <c r="E314" i="6"/>
  <c r="E315" i="6"/>
  <c r="E316" i="6"/>
  <c r="E317" i="6"/>
  <c r="E318" i="6"/>
  <c r="E319" i="6"/>
  <c r="E320" i="6"/>
  <c r="E321" i="6"/>
  <c r="E322" i="6"/>
  <c r="E323" i="6"/>
  <c r="E324" i="6"/>
  <c r="E325" i="6"/>
  <c r="E326" i="6"/>
  <c r="E327" i="6"/>
  <c r="E328" i="6"/>
  <c r="E329" i="6"/>
  <c r="E330" i="6"/>
  <c r="E331" i="6"/>
  <c r="E332" i="6"/>
  <c r="E333" i="6"/>
  <c r="E334" i="6"/>
  <c r="E335" i="6"/>
  <c r="E336" i="6"/>
  <c r="E337" i="6"/>
  <c r="E338" i="6"/>
  <c r="E339" i="6"/>
  <c r="E340" i="6"/>
  <c r="E341" i="6"/>
  <c r="E342" i="6"/>
  <c r="E343" i="6"/>
  <c r="E344" i="6"/>
  <c r="E345" i="6"/>
  <c r="E346" i="6"/>
  <c r="E347" i="6"/>
  <c r="E348" i="6"/>
  <c r="E349" i="6"/>
  <c r="E350" i="6"/>
  <c r="E351" i="6"/>
  <c r="E352" i="6"/>
  <c r="E353" i="6"/>
  <c r="E354" i="6"/>
  <c r="E355" i="6"/>
  <c r="E356" i="6"/>
  <c r="E357" i="6"/>
  <c r="E358" i="6"/>
  <c r="E359" i="6"/>
  <c r="E360" i="6"/>
  <c r="E361" i="6"/>
  <c r="E362" i="6"/>
  <c r="E363" i="6"/>
  <c r="E364" i="6"/>
  <c r="E365" i="6"/>
  <c r="E366" i="6"/>
  <c r="E367" i="6"/>
  <c r="E368" i="6"/>
  <c r="E369" i="6"/>
  <c r="E370" i="6"/>
  <c r="E371" i="6"/>
  <c r="E372" i="6"/>
  <c r="E373" i="6"/>
  <c r="E374" i="6"/>
  <c r="E375" i="6"/>
  <c r="E376" i="6"/>
  <c r="E377" i="6"/>
  <c r="E378" i="6"/>
  <c r="E379" i="6"/>
  <c r="E380" i="6"/>
  <c r="E381" i="6"/>
  <c r="E382" i="6"/>
  <c r="E18" i="6"/>
  <c r="S10" i="6"/>
  <c r="E11" i="16" s="1"/>
  <c r="E8" i="16"/>
  <c r="C18" i="16"/>
  <c r="F18" i="16" s="1"/>
  <c r="B22" i="10"/>
  <c r="D22" i="10" s="1"/>
  <c r="B3" i="5"/>
  <c r="G19" i="5" s="1"/>
  <c r="I19" i="5" s="1"/>
  <c r="D19" i="16"/>
  <c r="D20" i="5"/>
  <c r="E20" i="5" s="1"/>
  <c r="D18" i="8"/>
  <c r="N16" i="8"/>
  <c r="G16" i="8"/>
  <c r="J16" i="11"/>
  <c r="F16" i="11"/>
  <c r="K16" i="11" s="1"/>
  <c r="L16" i="11" s="1"/>
  <c r="M16" i="11" s="1"/>
  <c r="M11" i="6"/>
  <c r="D19" i="10"/>
  <c r="D9" i="10"/>
  <c r="D8" i="10"/>
  <c r="D12" i="10"/>
  <c r="D14" i="10"/>
  <c r="D15" i="10"/>
  <c r="D16" i="10"/>
  <c r="D20" i="10"/>
  <c r="D31" i="10"/>
  <c r="D33" i="10"/>
  <c r="D36" i="10"/>
  <c r="D37" i="10"/>
  <c r="D38" i="10"/>
  <c r="D7" i="10"/>
  <c r="H24" i="2"/>
  <c r="A3" i="3"/>
  <c r="D10" i="3"/>
  <c r="D11" i="3"/>
  <c r="A9" i="3"/>
  <c r="A7" i="3"/>
  <c r="A5" i="3"/>
  <c r="H25" i="2"/>
  <c r="H26" i="2" s="1"/>
  <c r="H27" i="2" s="1"/>
  <c r="H28" i="2" s="1"/>
  <c r="H29" i="2" s="1"/>
  <c r="H30" i="2" s="1"/>
  <c r="H31" i="2" s="1"/>
  <c r="H32" i="2" s="1"/>
  <c r="H33" i="2" s="1"/>
  <c r="H34" i="2" s="1"/>
  <c r="H35" i="2" s="1"/>
  <c r="H36" i="2" s="1"/>
  <c r="H37" i="2" s="1"/>
  <c r="H38" i="2" s="1"/>
  <c r="H39" i="2" s="1"/>
  <c r="H40" i="2" s="1"/>
  <c r="H41" i="2" s="1"/>
  <c r="H42" i="2" s="1"/>
  <c r="H43" i="2" s="1"/>
  <c r="H44" i="2" s="1"/>
  <c r="H45" i="2" s="1"/>
  <c r="H46" i="2" s="1"/>
  <c r="H47" i="2" s="1"/>
  <c r="H48" i="2" s="1"/>
  <c r="H49" i="2" s="1"/>
  <c r="H50" i="2" s="1"/>
  <c r="H51" i="2" s="1"/>
  <c r="H52" i="2" s="1"/>
  <c r="H53" i="2" s="1"/>
  <c r="H54" i="2" s="1"/>
  <c r="H55" i="2" s="1"/>
  <c r="H56" i="2" s="1"/>
  <c r="H57" i="2" s="1"/>
  <c r="H58" i="2" s="1"/>
  <c r="H59" i="2" s="1"/>
  <c r="H60" i="2" s="1"/>
  <c r="H61" i="2" s="1"/>
  <c r="H62" i="2" s="1"/>
  <c r="H63" i="2" s="1"/>
  <c r="H64" i="2" s="1"/>
  <c r="H65" i="2" s="1"/>
  <c r="H66" i="2" s="1"/>
  <c r="H67" i="2" s="1"/>
  <c r="H68" i="2" s="1"/>
  <c r="H69" i="2" s="1"/>
  <c r="H70" i="2" s="1"/>
  <c r="H71" i="2" s="1"/>
  <c r="H72" i="2" s="1"/>
  <c r="H73" i="2" s="1"/>
  <c r="H74" i="2" s="1"/>
  <c r="H75" i="2" s="1"/>
  <c r="H76" i="2" s="1"/>
  <c r="H77" i="2" s="1"/>
  <c r="H78" i="2" s="1"/>
  <c r="H79" i="2" s="1"/>
  <c r="H80" i="2" s="1"/>
  <c r="H81" i="2" s="1"/>
  <c r="H82" i="2" s="1"/>
  <c r="H83" i="2" s="1"/>
  <c r="H84" i="2" s="1"/>
  <c r="H85" i="2" s="1"/>
  <c r="H86" i="2" s="1"/>
  <c r="H87" i="2" s="1"/>
  <c r="H88" i="2" s="1"/>
  <c r="H89" i="2" s="1"/>
  <c r="H90" i="2" s="1"/>
  <c r="H91" i="2" s="1"/>
  <c r="H92" i="2" s="1"/>
  <c r="H93" i="2" s="1"/>
  <c r="H94" i="2" s="1"/>
  <c r="H95" i="2" s="1"/>
  <c r="H96" i="2" s="1"/>
  <c r="H97" i="2" s="1"/>
  <c r="H98" i="2" s="1"/>
  <c r="H99" i="2" s="1"/>
  <c r="H100" i="2" s="1"/>
  <c r="H101" i="2" s="1"/>
  <c r="H102" i="2" s="1"/>
  <c r="H103" i="2" s="1"/>
  <c r="H104" i="2" s="1"/>
  <c r="H105" i="2" s="1"/>
  <c r="H106" i="2" s="1"/>
  <c r="H107" i="2" s="1"/>
  <c r="H108" i="2" s="1"/>
  <c r="H109" i="2" s="1"/>
  <c r="H110" i="2" s="1"/>
  <c r="H111" i="2" s="1"/>
  <c r="H112" i="2" s="1"/>
  <c r="H113" i="2" s="1"/>
  <c r="H114" i="2" s="1"/>
  <c r="H115" i="2" s="1"/>
  <c r="H116" i="2" s="1"/>
  <c r="H117" i="2" s="1"/>
  <c r="H118" i="2" s="1"/>
  <c r="H119" i="2" s="1"/>
  <c r="H120" i="2" s="1"/>
  <c r="H121" i="2" s="1"/>
  <c r="H122" i="2" s="1"/>
  <c r="H123" i="2" s="1"/>
  <c r="H124" i="2" s="1"/>
  <c r="H125" i="2" s="1"/>
  <c r="H126" i="2" s="1"/>
  <c r="H127" i="2" s="1"/>
  <c r="H128" i="2" s="1"/>
  <c r="H129" i="2" s="1"/>
  <c r="H130" i="2" s="1"/>
  <c r="H131" i="2" s="1"/>
  <c r="H132" i="2" s="1"/>
  <c r="H133" i="2" s="1"/>
  <c r="H134" i="2" s="1"/>
  <c r="H135" i="2" s="1"/>
  <c r="H136" i="2" s="1"/>
  <c r="H137" i="2" s="1"/>
  <c r="H138" i="2" s="1"/>
  <c r="H139" i="2" s="1"/>
  <c r="H140" i="2" s="1"/>
  <c r="H141" i="2" s="1"/>
  <c r="H142" i="2" s="1"/>
  <c r="H143" i="2" s="1"/>
  <c r="H144" i="2" s="1"/>
  <c r="H145" i="2" s="1"/>
  <c r="H146" i="2" s="1"/>
  <c r="H147" i="2" s="1"/>
  <c r="H148" i="2" s="1"/>
  <c r="H149" i="2" s="1"/>
  <c r="H150" i="2" s="1"/>
  <c r="H151" i="2" s="1"/>
  <c r="H152" i="2" s="1"/>
  <c r="H153" i="2" s="1"/>
  <c r="H154" i="2" s="1"/>
  <c r="H155" i="2" s="1"/>
  <c r="H156" i="2" s="1"/>
  <c r="H157" i="2" s="1"/>
  <c r="H158" i="2" s="1"/>
  <c r="H159" i="2" s="1"/>
  <c r="H160" i="2" s="1"/>
  <c r="H161" i="2" s="1"/>
  <c r="H162" i="2" s="1"/>
  <c r="H163" i="2" s="1"/>
  <c r="H164" i="2" s="1"/>
  <c r="H165" i="2" s="1"/>
  <c r="H166" i="2" s="1"/>
  <c r="H167" i="2" s="1"/>
  <c r="H168" i="2" s="1"/>
  <c r="H169" i="2" s="1"/>
  <c r="H170" i="2" s="1"/>
  <c r="H171" i="2" s="1"/>
  <c r="H172" i="2" s="1"/>
  <c r="H173" i="2" s="1"/>
  <c r="H174" i="2" s="1"/>
  <c r="H175" i="2" s="1"/>
  <c r="H176" i="2" s="1"/>
  <c r="H177" i="2" s="1"/>
  <c r="H178" i="2" s="1"/>
  <c r="H179" i="2" s="1"/>
  <c r="H180" i="2" s="1"/>
  <c r="H181" i="2" s="1"/>
  <c r="H182" i="2" s="1"/>
  <c r="H183" i="2" s="1"/>
  <c r="H184" i="2" s="1"/>
  <c r="H185" i="2" s="1"/>
  <c r="H186" i="2" s="1"/>
  <c r="H187" i="2" s="1"/>
  <c r="H188" i="2" s="1"/>
  <c r="H189" i="2" s="1"/>
  <c r="H190" i="2" s="1"/>
  <c r="H191" i="2" s="1"/>
  <c r="H192" i="2" s="1"/>
  <c r="H193" i="2" s="1"/>
  <c r="H194" i="2" s="1"/>
  <c r="H195" i="2" s="1"/>
  <c r="H196" i="2" s="1"/>
  <c r="H197" i="2" s="1"/>
  <c r="H198" i="2" s="1"/>
  <c r="H199" i="2" s="1"/>
  <c r="H200" i="2" s="1"/>
  <c r="H201" i="2" s="1"/>
  <c r="H202" i="2" s="1"/>
  <c r="H203" i="2" s="1"/>
  <c r="H204" i="2" s="1"/>
  <c r="H205" i="2" s="1"/>
  <c r="H206" i="2" s="1"/>
  <c r="H207" i="2" s="1"/>
  <c r="H208" i="2" s="1"/>
  <c r="H209" i="2" s="1"/>
  <c r="H210" i="2" s="1"/>
  <c r="H211" i="2" s="1"/>
  <c r="H212" i="2" s="1"/>
  <c r="H213" i="2" s="1"/>
  <c r="H214" i="2" s="1"/>
  <c r="H215" i="2" s="1"/>
  <c r="H216" i="2" s="1"/>
  <c r="H217" i="2" s="1"/>
  <c r="H218" i="2" s="1"/>
  <c r="H219" i="2" s="1"/>
  <c r="H220" i="2" s="1"/>
  <c r="H221" i="2" s="1"/>
  <c r="H222" i="2" s="1"/>
  <c r="H223" i="2" s="1"/>
  <c r="H224" i="2" s="1"/>
  <c r="H225" i="2" s="1"/>
  <c r="H226" i="2" s="1"/>
  <c r="H227" i="2" s="1"/>
  <c r="H228" i="2" s="1"/>
  <c r="H229" i="2" s="1"/>
  <c r="H230" i="2" s="1"/>
  <c r="H231" i="2" s="1"/>
  <c r="H232" i="2" s="1"/>
  <c r="H233" i="2" s="1"/>
  <c r="H234" i="2" s="1"/>
  <c r="H235" i="2" s="1"/>
  <c r="H236" i="2" s="1"/>
  <c r="H237" i="2" s="1"/>
  <c r="H238" i="2" s="1"/>
  <c r="H239" i="2" s="1"/>
  <c r="H240" i="2" s="1"/>
  <c r="H241" i="2" s="1"/>
  <c r="H242" i="2" s="1"/>
  <c r="H243" i="2" s="1"/>
  <c r="H244" i="2" s="1"/>
  <c r="H245" i="2" s="1"/>
  <c r="H246" i="2" s="1"/>
  <c r="H247" i="2" s="1"/>
  <c r="H248" i="2" s="1"/>
  <c r="H249" i="2" s="1"/>
  <c r="H250" i="2" s="1"/>
  <c r="H251" i="2" s="1"/>
  <c r="H252" i="2" s="1"/>
  <c r="H253" i="2" s="1"/>
  <c r="H254" i="2" s="1"/>
  <c r="H255" i="2" s="1"/>
  <c r="H256" i="2" s="1"/>
  <c r="H257" i="2" s="1"/>
  <c r="H258" i="2" s="1"/>
  <c r="H259" i="2" s="1"/>
  <c r="H260" i="2" s="1"/>
  <c r="H261" i="2" s="1"/>
  <c r="H262" i="2" s="1"/>
  <c r="H263" i="2" s="1"/>
  <c r="H264" i="2" s="1"/>
  <c r="H265" i="2" s="1"/>
  <c r="H266" i="2" s="1"/>
  <c r="H267" i="2" s="1"/>
  <c r="H268" i="2" s="1"/>
  <c r="H269" i="2" s="1"/>
  <c r="H270" i="2" s="1"/>
  <c r="H271" i="2" s="1"/>
  <c r="H272" i="2" s="1"/>
  <c r="H273" i="2" s="1"/>
  <c r="H274" i="2" s="1"/>
  <c r="H275" i="2" s="1"/>
  <c r="H276" i="2" s="1"/>
  <c r="H277" i="2" s="1"/>
  <c r="H278" i="2" s="1"/>
  <c r="H279" i="2" s="1"/>
  <c r="H280" i="2" s="1"/>
  <c r="H281" i="2" s="1"/>
  <c r="H282" i="2" s="1"/>
  <c r="H283" i="2" s="1"/>
  <c r="H284" i="2" s="1"/>
  <c r="H285" i="2" s="1"/>
  <c r="H286" i="2" s="1"/>
  <c r="H287" i="2" s="1"/>
  <c r="H288" i="2" s="1"/>
  <c r="H289" i="2" s="1"/>
  <c r="H290" i="2" s="1"/>
  <c r="H291" i="2" s="1"/>
  <c r="H292" i="2" s="1"/>
  <c r="H293" i="2" s="1"/>
  <c r="H294" i="2" s="1"/>
  <c r="H295" i="2" s="1"/>
  <c r="H296" i="2" s="1"/>
  <c r="H297" i="2" s="1"/>
  <c r="H298" i="2" s="1"/>
  <c r="H299" i="2" s="1"/>
  <c r="H300" i="2" s="1"/>
  <c r="H301" i="2" s="1"/>
  <c r="H302" i="2" s="1"/>
  <c r="H303" i="2" s="1"/>
  <c r="H304" i="2" s="1"/>
  <c r="H305" i="2" s="1"/>
  <c r="H306" i="2" s="1"/>
  <c r="H307" i="2" s="1"/>
  <c r="H308" i="2" s="1"/>
  <c r="H309" i="2" s="1"/>
  <c r="H310" i="2" s="1"/>
  <c r="H311" i="2" s="1"/>
  <c r="H312" i="2" s="1"/>
  <c r="H313" i="2" s="1"/>
  <c r="H314" i="2" s="1"/>
  <c r="H315" i="2" s="1"/>
  <c r="H316" i="2" s="1"/>
  <c r="H317" i="2" s="1"/>
  <c r="H318" i="2" s="1"/>
  <c r="H319" i="2" s="1"/>
  <c r="H320" i="2" s="1"/>
  <c r="H321" i="2" s="1"/>
  <c r="H322" i="2" s="1"/>
  <c r="H323" i="2" s="1"/>
  <c r="H324" i="2" s="1"/>
  <c r="H325" i="2" s="1"/>
  <c r="H326" i="2" s="1"/>
  <c r="H327" i="2" s="1"/>
  <c r="H328" i="2" s="1"/>
  <c r="H329" i="2" s="1"/>
  <c r="H330" i="2" s="1"/>
  <c r="H331" i="2" s="1"/>
  <c r="H332" i="2" s="1"/>
  <c r="H333" i="2" s="1"/>
  <c r="H334" i="2" s="1"/>
  <c r="H335" i="2" s="1"/>
  <c r="H336" i="2" s="1"/>
  <c r="H337" i="2" s="1"/>
  <c r="H338" i="2" s="1"/>
  <c r="H339" i="2" s="1"/>
  <c r="H340" i="2" s="1"/>
  <c r="H341" i="2" s="1"/>
  <c r="H342" i="2" s="1"/>
  <c r="H343" i="2" s="1"/>
  <c r="H344" i="2" s="1"/>
  <c r="H345" i="2" s="1"/>
  <c r="H346" i="2" s="1"/>
  <c r="H347" i="2" s="1"/>
  <c r="H348" i="2" s="1"/>
  <c r="H349" i="2" s="1"/>
  <c r="H350" i="2" s="1"/>
  <c r="H351" i="2" s="1"/>
  <c r="H352" i="2" s="1"/>
  <c r="H353" i="2" s="1"/>
  <c r="H354" i="2" s="1"/>
  <c r="H355" i="2" s="1"/>
  <c r="H356" i="2" s="1"/>
  <c r="H357" i="2" s="1"/>
  <c r="H358" i="2" s="1"/>
  <c r="H359" i="2" s="1"/>
  <c r="H360" i="2" s="1"/>
  <c r="H361" i="2" s="1"/>
  <c r="H362" i="2" s="1"/>
  <c r="H363" i="2" s="1"/>
  <c r="H364" i="2" s="1"/>
  <c r="H365" i="2" s="1"/>
  <c r="H366" i="2" s="1"/>
  <c r="H367" i="2" s="1"/>
  <c r="H368" i="2" s="1"/>
  <c r="H369" i="2" s="1"/>
  <c r="H370" i="2" s="1"/>
  <c r="H371" i="2" s="1"/>
  <c r="H372" i="2" s="1"/>
  <c r="H373" i="2" s="1"/>
  <c r="H374" i="2" s="1"/>
  <c r="H375" i="2" s="1"/>
  <c r="H376" i="2" s="1"/>
  <c r="H377" i="2" s="1"/>
  <c r="H378" i="2" s="1"/>
  <c r="H379" i="2" s="1"/>
  <c r="H380" i="2" s="1"/>
  <c r="H381" i="2" s="1"/>
  <c r="H382" i="2" s="1"/>
  <c r="H383" i="2" s="1"/>
  <c r="H384" i="2" s="1"/>
  <c r="H385" i="2" s="1"/>
  <c r="H386" i="2" s="1"/>
  <c r="H387" i="2" s="1"/>
  <c r="T24" i="2"/>
  <c r="T25" i="2" s="1"/>
  <c r="T26" i="2" s="1"/>
  <c r="T27" i="2" s="1"/>
  <c r="T28" i="2" s="1"/>
  <c r="T29" i="2" s="1"/>
  <c r="T30" i="2" s="1"/>
  <c r="T31" i="2" s="1"/>
  <c r="T32" i="2" s="1"/>
  <c r="T33" i="2" s="1"/>
  <c r="T34" i="2" s="1"/>
  <c r="T35" i="2" s="1"/>
  <c r="T36" i="2" s="1"/>
  <c r="T37" i="2" s="1"/>
  <c r="T38" i="2" s="1"/>
  <c r="T39" i="2" s="1"/>
  <c r="T40" i="2" s="1"/>
  <c r="T41" i="2" s="1"/>
  <c r="T42" i="2" s="1"/>
  <c r="T43" i="2" s="1"/>
  <c r="T44" i="2" s="1"/>
  <c r="T45" i="2" s="1"/>
  <c r="T46" i="2" s="1"/>
  <c r="T47" i="2" s="1"/>
  <c r="T48" i="2" s="1"/>
  <c r="T49" i="2" s="1"/>
  <c r="T50" i="2" s="1"/>
  <c r="T51" i="2" s="1"/>
  <c r="T52" i="2" s="1"/>
  <c r="T53" i="2" s="1"/>
  <c r="T54" i="2" s="1"/>
  <c r="T55" i="2" s="1"/>
  <c r="T56" i="2" s="1"/>
  <c r="T57" i="2" s="1"/>
  <c r="T58" i="2" s="1"/>
  <c r="T59" i="2" s="1"/>
  <c r="T60" i="2" s="1"/>
  <c r="T61" i="2" s="1"/>
  <c r="T62" i="2" s="1"/>
  <c r="T63" i="2" s="1"/>
  <c r="T64" i="2" s="1"/>
  <c r="T65" i="2" s="1"/>
  <c r="T66" i="2" s="1"/>
  <c r="T67" i="2" s="1"/>
  <c r="T68" i="2" s="1"/>
  <c r="T69" i="2" s="1"/>
  <c r="T70" i="2" s="1"/>
  <c r="T71" i="2" s="1"/>
  <c r="T72" i="2" s="1"/>
  <c r="T73" i="2" s="1"/>
  <c r="T74" i="2" s="1"/>
  <c r="T75" i="2" s="1"/>
  <c r="T76" i="2" s="1"/>
  <c r="T77" i="2" s="1"/>
  <c r="T78" i="2" s="1"/>
  <c r="T79" i="2" s="1"/>
  <c r="T80" i="2" s="1"/>
  <c r="T81" i="2" s="1"/>
  <c r="T82" i="2" s="1"/>
  <c r="T83" i="2" s="1"/>
  <c r="T84" i="2" s="1"/>
  <c r="T85" i="2" s="1"/>
  <c r="T86" i="2" s="1"/>
  <c r="T87" i="2" s="1"/>
  <c r="T88" i="2" s="1"/>
  <c r="T89" i="2" s="1"/>
  <c r="T90" i="2" s="1"/>
  <c r="T91" i="2" s="1"/>
  <c r="T92" i="2" s="1"/>
  <c r="T93" i="2" s="1"/>
  <c r="T94" i="2" s="1"/>
  <c r="T95" i="2" s="1"/>
  <c r="T96" i="2" s="1"/>
  <c r="T97" i="2" s="1"/>
  <c r="T98" i="2" s="1"/>
  <c r="T99" i="2" s="1"/>
  <c r="T100" i="2" s="1"/>
  <c r="T101" i="2" s="1"/>
  <c r="T102" i="2" s="1"/>
  <c r="T103" i="2" s="1"/>
  <c r="T104" i="2" s="1"/>
  <c r="T105" i="2" s="1"/>
  <c r="T106" i="2" s="1"/>
  <c r="T107" i="2" s="1"/>
  <c r="T108" i="2" s="1"/>
  <c r="T109" i="2" s="1"/>
  <c r="T110" i="2" s="1"/>
  <c r="T111" i="2" s="1"/>
  <c r="T112" i="2" s="1"/>
  <c r="T113" i="2" s="1"/>
  <c r="T114" i="2" s="1"/>
  <c r="T115" i="2" s="1"/>
  <c r="T116" i="2" s="1"/>
  <c r="T117" i="2" s="1"/>
  <c r="T118" i="2" s="1"/>
  <c r="T119" i="2" s="1"/>
  <c r="T120" i="2" s="1"/>
  <c r="T121" i="2" s="1"/>
  <c r="T122" i="2" s="1"/>
  <c r="T123" i="2" s="1"/>
  <c r="T124" i="2" s="1"/>
  <c r="T125" i="2" s="1"/>
  <c r="T126" i="2" s="1"/>
  <c r="T127" i="2" s="1"/>
  <c r="T128" i="2" s="1"/>
  <c r="T129" i="2" s="1"/>
  <c r="T130" i="2" s="1"/>
  <c r="T131" i="2" s="1"/>
  <c r="T132" i="2" s="1"/>
  <c r="T133" i="2" s="1"/>
  <c r="T134" i="2" s="1"/>
  <c r="T135" i="2" s="1"/>
  <c r="T136" i="2" s="1"/>
  <c r="T137" i="2" s="1"/>
  <c r="T138" i="2" s="1"/>
  <c r="T139" i="2" s="1"/>
  <c r="T140" i="2" s="1"/>
  <c r="T141" i="2" s="1"/>
  <c r="T142" i="2" s="1"/>
  <c r="T143" i="2" s="1"/>
  <c r="T144" i="2" s="1"/>
  <c r="T145" i="2" s="1"/>
  <c r="T146" i="2" s="1"/>
  <c r="T147" i="2" s="1"/>
  <c r="T148" i="2" s="1"/>
  <c r="T149" i="2" s="1"/>
  <c r="T150" i="2" s="1"/>
  <c r="T151" i="2" s="1"/>
  <c r="T152" i="2" s="1"/>
  <c r="T153" i="2" s="1"/>
  <c r="T154" i="2" s="1"/>
  <c r="T155" i="2" s="1"/>
  <c r="T156" i="2" s="1"/>
  <c r="T157" i="2" s="1"/>
  <c r="T158" i="2" s="1"/>
  <c r="T159" i="2" s="1"/>
  <c r="T160" i="2" s="1"/>
  <c r="T161" i="2" s="1"/>
  <c r="T162" i="2" s="1"/>
  <c r="T163" i="2" s="1"/>
  <c r="T164" i="2" s="1"/>
  <c r="T165" i="2" s="1"/>
  <c r="T166" i="2" s="1"/>
  <c r="T167" i="2" s="1"/>
  <c r="T168" i="2" s="1"/>
  <c r="T169" i="2" s="1"/>
  <c r="T170" i="2" s="1"/>
  <c r="T171" i="2" s="1"/>
  <c r="T172" i="2" s="1"/>
  <c r="T173" i="2" s="1"/>
  <c r="T174" i="2" s="1"/>
  <c r="T175" i="2" s="1"/>
  <c r="T176" i="2" s="1"/>
  <c r="T177" i="2" s="1"/>
  <c r="T178" i="2" s="1"/>
  <c r="T179" i="2" s="1"/>
  <c r="T180" i="2" s="1"/>
  <c r="T181" i="2" s="1"/>
  <c r="T182" i="2" s="1"/>
  <c r="T183" i="2" s="1"/>
  <c r="T184" i="2" s="1"/>
  <c r="T185" i="2" s="1"/>
  <c r="T186" i="2" s="1"/>
  <c r="T187" i="2" s="1"/>
  <c r="T188" i="2" s="1"/>
  <c r="T189" i="2" s="1"/>
  <c r="T190" i="2" s="1"/>
  <c r="T191" i="2" s="1"/>
  <c r="T192" i="2" s="1"/>
  <c r="T193" i="2" s="1"/>
  <c r="T194" i="2" s="1"/>
  <c r="T195" i="2" s="1"/>
  <c r="T196" i="2" s="1"/>
  <c r="T197" i="2" s="1"/>
  <c r="T198" i="2" s="1"/>
  <c r="T199" i="2" s="1"/>
  <c r="T200" i="2" s="1"/>
  <c r="T201" i="2" s="1"/>
  <c r="T202" i="2" s="1"/>
  <c r="T203" i="2" s="1"/>
  <c r="T204" i="2" s="1"/>
  <c r="T205" i="2" s="1"/>
  <c r="T206" i="2" s="1"/>
  <c r="T207" i="2" s="1"/>
  <c r="T208" i="2" s="1"/>
  <c r="T209" i="2" s="1"/>
  <c r="T210" i="2" s="1"/>
  <c r="T211" i="2" s="1"/>
  <c r="T212" i="2" s="1"/>
  <c r="T213" i="2" s="1"/>
  <c r="T214" i="2" s="1"/>
  <c r="T215" i="2" s="1"/>
  <c r="T216" i="2" s="1"/>
  <c r="T217" i="2" s="1"/>
  <c r="T218" i="2" s="1"/>
  <c r="T219" i="2" s="1"/>
  <c r="T220" i="2" s="1"/>
  <c r="T221" i="2" s="1"/>
  <c r="T222" i="2" s="1"/>
  <c r="T223" i="2" s="1"/>
  <c r="T224" i="2" s="1"/>
  <c r="T225" i="2" s="1"/>
  <c r="T226" i="2" s="1"/>
  <c r="T227" i="2" s="1"/>
  <c r="T228" i="2" s="1"/>
  <c r="T229" i="2" s="1"/>
  <c r="T230" i="2" s="1"/>
  <c r="T231" i="2" s="1"/>
  <c r="T232" i="2" s="1"/>
  <c r="T233" i="2" s="1"/>
  <c r="T234" i="2" s="1"/>
  <c r="T235" i="2" s="1"/>
  <c r="T236" i="2" s="1"/>
  <c r="T237" i="2" s="1"/>
  <c r="T238" i="2" s="1"/>
  <c r="T239" i="2" s="1"/>
  <c r="T240" i="2" s="1"/>
  <c r="T241" i="2" s="1"/>
  <c r="T242" i="2" s="1"/>
  <c r="T243" i="2" s="1"/>
  <c r="T244" i="2" s="1"/>
  <c r="T245" i="2" s="1"/>
  <c r="T246" i="2" s="1"/>
  <c r="T247" i="2" s="1"/>
  <c r="T248" i="2" s="1"/>
  <c r="T249" i="2" s="1"/>
  <c r="T250" i="2" s="1"/>
  <c r="T251" i="2" s="1"/>
  <c r="T252" i="2" s="1"/>
  <c r="T253" i="2" s="1"/>
  <c r="T254" i="2" s="1"/>
  <c r="T255" i="2" s="1"/>
  <c r="T256" i="2" s="1"/>
  <c r="T257" i="2" s="1"/>
  <c r="T258" i="2" s="1"/>
  <c r="T259" i="2" s="1"/>
  <c r="T260" i="2" s="1"/>
  <c r="T261" i="2" s="1"/>
  <c r="T262" i="2" s="1"/>
  <c r="T263" i="2" s="1"/>
  <c r="T264" i="2" s="1"/>
  <c r="T265" i="2" s="1"/>
  <c r="T266" i="2" s="1"/>
  <c r="T267" i="2" s="1"/>
  <c r="T268" i="2" s="1"/>
  <c r="T269" i="2" s="1"/>
  <c r="T270" i="2" s="1"/>
  <c r="T271" i="2" s="1"/>
  <c r="T272" i="2" s="1"/>
  <c r="T273" i="2" s="1"/>
  <c r="T274" i="2" s="1"/>
  <c r="T275" i="2" s="1"/>
  <c r="T276" i="2" s="1"/>
  <c r="T277" i="2" s="1"/>
  <c r="T278" i="2" s="1"/>
  <c r="T279" i="2" s="1"/>
  <c r="T280" i="2" s="1"/>
  <c r="T281" i="2" s="1"/>
  <c r="T282" i="2" s="1"/>
  <c r="T283" i="2" s="1"/>
  <c r="T284" i="2" s="1"/>
  <c r="T285" i="2" s="1"/>
  <c r="T286" i="2" s="1"/>
  <c r="T287" i="2" s="1"/>
  <c r="T288" i="2" s="1"/>
  <c r="T289" i="2" s="1"/>
  <c r="T290" i="2" s="1"/>
  <c r="T291" i="2" s="1"/>
  <c r="T292" i="2" s="1"/>
  <c r="T293" i="2" s="1"/>
  <c r="T294" i="2" s="1"/>
  <c r="T295" i="2" s="1"/>
  <c r="T296" i="2" s="1"/>
  <c r="T297" i="2" s="1"/>
  <c r="T298" i="2" s="1"/>
  <c r="T299" i="2" s="1"/>
  <c r="T300" i="2" s="1"/>
  <c r="T301" i="2" s="1"/>
  <c r="T302" i="2" s="1"/>
  <c r="T303" i="2" s="1"/>
  <c r="T304" i="2" s="1"/>
  <c r="T305" i="2" s="1"/>
  <c r="T306" i="2" s="1"/>
  <c r="T307" i="2" s="1"/>
  <c r="T308" i="2" s="1"/>
  <c r="T309" i="2" s="1"/>
  <c r="T310" i="2" s="1"/>
  <c r="T311" i="2" s="1"/>
  <c r="T312" i="2" s="1"/>
  <c r="T313" i="2" s="1"/>
  <c r="T314" i="2" s="1"/>
  <c r="T315" i="2" s="1"/>
  <c r="T316" i="2" s="1"/>
  <c r="T317" i="2" s="1"/>
  <c r="T318" i="2" s="1"/>
  <c r="T319" i="2" s="1"/>
  <c r="T320" i="2" s="1"/>
  <c r="T321" i="2" s="1"/>
  <c r="T322" i="2" s="1"/>
  <c r="T323" i="2" s="1"/>
  <c r="T324" i="2" s="1"/>
  <c r="T325" i="2" s="1"/>
  <c r="T326" i="2" s="1"/>
  <c r="T327" i="2" s="1"/>
  <c r="T328" i="2" s="1"/>
  <c r="T329" i="2" s="1"/>
  <c r="T330" i="2" s="1"/>
  <c r="T331" i="2" s="1"/>
  <c r="T332" i="2" s="1"/>
  <c r="T333" i="2" s="1"/>
  <c r="T334" i="2" s="1"/>
  <c r="T335" i="2" s="1"/>
  <c r="T336" i="2" s="1"/>
  <c r="T337" i="2" s="1"/>
  <c r="T338" i="2" s="1"/>
  <c r="T339" i="2" s="1"/>
  <c r="T340" i="2" s="1"/>
  <c r="T341" i="2" s="1"/>
  <c r="T342" i="2" s="1"/>
  <c r="T343" i="2" s="1"/>
  <c r="T344" i="2" s="1"/>
  <c r="T345" i="2" s="1"/>
  <c r="T346" i="2" s="1"/>
  <c r="T347" i="2" s="1"/>
  <c r="T348" i="2" s="1"/>
  <c r="T349" i="2" s="1"/>
  <c r="T350" i="2" s="1"/>
  <c r="T351" i="2" s="1"/>
  <c r="T352" i="2" s="1"/>
  <c r="T353" i="2" s="1"/>
  <c r="T354" i="2" s="1"/>
  <c r="T355" i="2" s="1"/>
  <c r="T356" i="2" s="1"/>
  <c r="T357" i="2" s="1"/>
  <c r="T358" i="2" s="1"/>
  <c r="T359" i="2" s="1"/>
  <c r="T360" i="2" s="1"/>
  <c r="T361" i="2" s="1"/>
  <c r="T362" i="2" s="1"/>
  <c r="T363" i="2" s="1"/>
  <c r="T364" i="2" s="1"/>
  <c r="T365" i="2" s="1"/>
  <c r="T366" i="2" s="1"/>
  <c r="T367" i="2" s="1"/>
  <c r="T368" i="2" s="1"/>
  <c r="T369" i="2" s="1"/>
  <c r="T370" i="2" s="1"/>
  <c r="T371" i="2" s="1"/>
  <c r="T372" i="2" s="1"/>
  <c r="T373" i="2" s="1"/>
  <c r="T374" i="2" s="1"/>
  <c r="T375" i="2" s="1"/>
  <c r="T376" i="2" s="1"/>
  <c r="T377" i="2" s="1"/>
  <c r="T378" i="2" s="1"/>
  <c r="T379" i="2" s="1"/>
  <c r="T380" i="2" s="1"/>
  <c r="T381" i="2" s="1"/>
  <c r="T382" i="2" s="1"/>
  <c r="T383" i="2" s="1"/>
  <c r="T384" i="2" s="1"/>
  <c r="T385" i="2" s="1"/>
  <c r="T386" i="2" s="1"/>
  <c r="T387" i="2" s="1"/>
  <c r="AS24" i="2"/>
  <c r="AS25" i="2" s="1"/>
  <c r="AS26" i="2" s="1"/>
  <c r="AS27" i="2" s="1"/>
  <c r="AS28" i="2" s="1"/>
  <c r="AS29" i="2" s="1"/>
  <c r="AS30" i="2" s="1"/>
  <c r="AS31" i="2" s="1"/>
  <c r="AS32" i="2" s="1"/>
  <c r="AS33" i="2" s="1"/>
  <c r="AS34" i="2" s="1"/>
  <c r="AS35" i="2" s="1"/>
  <c r="AS36" i="2" s="1"/>
  <c r="AS37" i="2" s="1"/>
  <c r="AS38" i="2" s="1"/>
  <c r="AS39" i="2" s="1"/>
  <c r="AS40" i="2" s="1"/>
  <c r="AS41" i="2" s="1"/>
  <c r="AS42" i="2" s="1"/>
  <c r="AS43" i="2" s="1"/>
  <c r="AS44" i="2" s="1"/>
  <c r="AS45" i="2" s="1"/>
  <c r="AS46" i="2" s="1"/>
  <c r="AS47" i="2" s="1"/>
  <c r="AS48" i="2" s="1"/>
  <c r="AS49" i="2" s="1"/>
  <c r="AS50" i="2" s="1"/>
  <c r="AS51" i="2" s="1"/>
  <c r="AS52" i="2" s="1"/>
  <c r="AS53" i="2" s="1"/>
  <c r="AS54" i="2" s="1"/>
  <c r="AS55" i="2" s="1"/>
  <c r="AS56" i="2" s="1"/>
  <c r="AS57" i="2" s="1"/>
  <c r="AS58" i="2" s="1"/>
  <c r="AS59" i="2" s="1"/>
  <c r="AS60" i="2" s="1"/>
  <c r="AS61" i="2" s="1"/>
  <c r="AS62" i="2" s="1"/>
  <c r="AS63" i="2" s="1"/>
  <c r="AS64" i="2" s="1"/>
  <c r="AS65" i="2" s="1"/>
  <c r="AS66" i="2" s="1"/>
  <c r="AS67" i="2" s="1"/>
  <c r="AS68" i="2" s="1"/>
  <c r="AS69" i="2" s="1"/>
  <c r="AS70" i="2" s="1"/>
  <c r="AS71" i="2" s="1"/>
  <c r="AS72" i="2" s="1"/>
  <c r="AS73" i="2" s="1"/>
  <c r="AS74" i="2" s="1"/>
  <c r="AS75" i="2" s="1"/>
  <c r="AS76" i="2" s="1"/>
  <c r="AS77" i="2" s="1"/>
  <c r="AS78" i="2" s="1"/>
  <c r="AS79" i="2" s="1"/>
  <c r="AS80" i="2" s="1"/>
  <c r="AS81" i="2" s="1"/>
  <c r="AS82" i="2" s="1"/>
  <c r="AS83" i="2" s="1"/>
  <c r="AS84" i="2" s="1"/>
  <c r="AS85" i="2" s="1"/>
  <c r="AS86" i="2" s="1"/>
  <c r="AS87" i="2" s="1"/>
  <c r="AS88" i="2" s="1"/>
  <c r="AS89" i="2" s="1"/>
  <c r="AS90" i="2" s="1"/>
  <c r="AS91" i="2" s="1"/>
  <c r="AS92" i="2" s="1"/>
  <c r="AS93" i="2" s="1"/>
  <c r="AS94" i="2" s="1"/>
  <c r="AS95" i="2" s="1"/>
  <c r="AS96" i="2" s="1"/>
  <c r="AS97" i="2" s="1"/>
  <c r="AS98" i="2" s="1"/>
  <c r="AS99" i="2" s="1"/>
  <c r="AS100" i="2" s="1"/>
  <c r="AS101" i="2" s="1"/>
  <c r="AS102" i="2" s="1"/>
  <c r="AS103" i="2" s="1"/>
  <c r="AS104" i="2" s="1"/>
  <c r="AS105" i="2" s="1"/>
  <c r="AS106" i="2" s="1"/>
  <c r="AS107" i="2" s="1"/>
  <c r="AS108" i="2" s="1"/>
  <c r="AS109" i="2" s="1"/>
  <c r="AS110" i="2" s="1"/>
  <c r="AS111" i="2" s="1"/>
  <c r="AS112" i="2" s="1"/>
  <c r="AS113" i="2" s="1"/>
  <c r="AS114" i="2" s="1"/>
  <c r="AS115" i="2" s="1"/>
  <c r="AS116" i="2" s="1"/>
  <c r="AS117" i="2" s="1"/>
  <c r="AS118" i="2" s="1"/>
  <c r="AS119" i="2" s="1"/>
  <c r="AS120" i="2" s="1"/>
  <c r="AS121" i="2" s="1"/>
  <c r="AS122" i="2" s="1"/>
  <c r="AS123" i="2" s="1"/>
  <c r="AS124" i="2" s="1"/>
  <c r="AS125" i="2" s="1"/>
  <c r="AS126" i="2" s="1"/>
  <c r="AS127" i="2" s="1"/>
  <c r="AS128" i="2" s="1"/>
  <c r="AS129" i="2" s="1"/>
  <c r="AS130" i="2" s="1"/>
  <c r="AS131" i="2" s="1"/>
  <c r="AS132" i="2" s="1"/>
  <c r="AS133" i="2" s="1"/>
  <c r="AS134" i="2" s="1"/>
  <c r="AS135" i="2" s="1"/>
  <c r="AS136" i="2" s="1"/>
  <c r="AS137" i="2" s="1"/>
  <c r="AS138" i="2" s="1"/>
  <c r="AS139" i="2" s="1"/>
  <c r="AS140" i="2" s="1"/>
  <c r="AS141" i="2" s="1"/>
  <c r="AS142" i="2" s="1"/>
  <c r="AS143" i="2" s="1"/>
  <c r="AS144" i="2" s="1"/>
  <c r="AS145" i="2" s="1"/>
  <c r="AS146" i="2" s="1"/>
  <c r="AS147" i="2" s="1"/>
  <c r="AS148" i="2" s="1"/>
  <c r="AS149" i="2" s="1"/>
  <c r="AS150" i="2" s="1"/>
  <c r="AS151" i="2" s="1"/>
  <c r="AS152" i="2" s="1"/>
  <c r="AS153" i="2" s="1"/>
  <c r="AS154" i="2" s="1"/>
  <c r="AS155" i="2" s="1"/>
  <c r="AS156" i="2" s="1"/>
  <c r="AS157" i="2" s="1"/>
  <c r="AS158" i="2" s="1"/>
  <c r="AS159" i="2" s="1"/>
  <c r="AS160" i="2" s="1"/>
  <c r="AS161" i="2" s="1"/>
  <c r="AS162" i="2" s="1"/>
  <c r="AS163" i="2" s="1"/>
  <c r="AS164" i="2" s="1"/>
  <c r="AS165" i="2" s="1"/>
  <c r="AS166" i="2" s="1"/>
  <c r="AS167" i="2" s="1"/>
  <c r="AS168" i="2" s="1"/>
  <c r="AS169" i="2" s="1"/>
  <c r="AS170" i="2" s="1"/>
  <c r="AS171" i="2" s="1"/>
  <c r="AS172" i="2" s="1"/>
  <c r="AS173" i="2" s="1"/>
  <c r="AS174" i="2" s="1"/>
  <c r="AS175" i="2" s="1"/>
  <c r="AS176" i="2" s="1"/>
  <c r="AS177" i="2" s="1"/>
  <c r="AS178" i="2" s="1"/>
  <c r="AS179" i="2" s="1"/>
  <c r="AS180" i="2" s="1"/>
  <c r="AS181" i="2" s="1"/>
  <c r="AS182" i="2" s="1"/>
  <c r="AS183" i="2" s="1"/>
  <c r="AS184" i="2" s="1"/>
  <c r="AS185" i="2" s="1"/>
  <c r="AS186" i="2" s="1"/>
  <c r="AS187" i="2" s="1"/>
  <c r="AS188" i="2" s="1"/>
  <c r="AS189" i="2" s="1"/>
  <c r="AS190" i="2" s="1"/>
  <c r="AS191" i="2" s="1"/>
  <c r="AS192" i="2" s="1"/>
  <c r="AS193" i="2" s="1"/>
  <c r="AS194" i="2" s="1"/>
  <c r="AS195" i="2" s="1"/>
  <c r="AS196" i="2" s="1"/>
  <c r="AS197" i="2" s="1"/>
  <c r="AS198" i="2" s="1"/>
  <c r="AS199" i="2" s="1"/>
  <c r="AS200" i="2" s="1"/>
  <c r="AS201" i="2" s="1"/>
  <c r="AS202" i="2" s="1"/>
  <c r="AS203" i="2" s="1"/>
  <c r="AS204" i="2" s="1"/>
  <c r="AS205" i="2" s="1"/>
  <c r="AS206" i="2" s="1"/>
  <c r="AS207" i="2" s="1"/>
  <c r="AS208" i="2" s="1"/>
  <c r="AS209" i="2" s="1"/>
  <c r="AS210" i="2" s="1"/>
  <c r="AS211" i="2" s="1"/>
  <c r="AS212" i="2" s="1"/>
  <c r="AS213" i="2" s="1"/>
  <c r="AS214" i="2" s="1"/>
  <c r="AS215" i="2" s="1"/>
  <c r="AS216" i="2" s="1"/>
  <c r="AS217" i="2" s="1"/>
  <c r="AS218" i="2" s="1"/>
  <c r="AS219" i="2" s="1"/>
  <c r="AS220" i="2" s="1"/>
  <c r="AS221" i="2" s="1"/>
  <c r="AS222" i="2" s="1"/>
  <c r="AS223" i="2" s="1"/>
  <c r="AS224" i="2" s="1"/>
  <c r="AS225" i="2" s="1"/>
  <c r="AS226" i="2" s="1"/>
  <c r="AS227" i="2" s="1"/>
  <c r="AS228" i="2" s="1"/>
  <c r="AS229" i="2" s="1"/>
  <c r="AS230" i="2" s="1"/>
  <c r="AS231" i="2" s="1"/>
  <c r="AS232" i="2" s="1"/>
  <c r="AS233" i="2" s="1"/>
  <c r="AS234" i="2" s="1"/>
  <c r="AS235" i="2" s="1"/>
  <c r="AS236" i="2" s="1"/>
  <c r="AS237" i="2" s="1"/>
  <c r="AS238" i="2" s="1"/>
  <c r="AS239" i="2" s="1"/>
  <c r="AS240" i="2" s="1"/>
  <c r="AS241" i="2" s="1"/>
  <c r="AS242" i="2" s="1"/>
  <c r="AS243" i="2" s="1"/>
  <c r="AS244" i="2" s="1"/>
  <c r="AS245" i="2" s="1"/>
  <c r="AS246" i="2" s="1"/>
  <c r="AS247" i="2" s="1"/>
  <c r="AS248" i="2" s="1"/>
  <c r="AS249" i="2" s="1"/>
  <c r="AS250" i="2" s="1"/>
  <c r="AS251" i="2" s="1"/>
  <c r="AS252" i="2" s="1"/>
  <c r="AS253" i="2" s="1"/>
  <c r="AS254" i="2" s="1"/>
  <c r="AS255" i="2" s="1"/>
  <c r="AS256" i="2" s="1"/>
  <c r="AS257" i="2" s="1"/>
  <c r="AS258" i="2" s="1"/>
  <c r="AS259" i="2" s="1"/>
  <c r="AS260" i="2" s="1"/>
  <c r="AS261" i="2" s="1"/>
  <c r="AS262" i="2" s="1"/>
  <c r="AS263" i="2" s="1"/>
  <c r="AS264" i="2" s="1"/>
  <c r="AS265" i="2" s="1"/>
  <c r="AS266" i="2" s="1"/>
  <c r="AS267" i="2" s="1"/>
  <c r="AS268" i="2" s="1"/>
  <c r="AS269" i="2" s="1"/>
  <c r="AS270" i="2" s="1"/>
  <c r="AS271" i="2" s="1"/>
  <c r="AS272" i="2" s="1"/>
  <c r="AS273" i="2" s="1"/>
  <c r="AS274" i="2" s="1"/>
  <c r="AS275" i="2" s="1"/>
  <c r="AS276" i="2" s="1"/>
  <c r="AS277" i="2" s="1"/>
  <c r="AS278" i="2" s="1"/>
  <c r="AS279" i="2" s="1"/>
  <c r="AS280" i="2" s="1"/>
  <c r="AS281" i="2" s="1"/>
  <c r="AS282" i="2" s="1"/>
  <c r="AS283" i="2" s="1"/>
  <c r="AS284" i="2" s="1"/>
  <c r="AS285" i="2" s="1"/>
  <c r="AS286" i="2" s="1"/>
  <c r="AS287" i="2" s="1"/>
  <c r="AS288" i="2" s="1"/>
  <c r="AS289" i="2" s="1"/>
  <c r="AS290" i="2" s="1"/>
  <c r="AS291" i="2" s="1"/>
  <c r="AS292" i="2" s="1"/>
  <c r="AS293" i="2" s="1"/>
  <c r="AS294" i="2" s="1"/>
  <c r="AS295" i="2" s="1"/>
  <c r="AS296" i="2" s="1"/>
  <c r="AS297" i="2" s="1"/>
  <c r="AS298" i="2" s="1"/>
  <c r="AS299" i="2" s="1"/>
  <c r="AS300" i="2" s="1"/>
  <c r="AS301" i="2" s="1"/>
  <c r="AS302" i="2" s="1"/>
  <c r="AS303" i="2" s="1"/>
  <c r="AS304" i="2" s="1"/>
  <c r="AS305" i="2" s="1"/>
  <c r="AS306" i="2" s="1"/>
  <c r="AS307" i="2" s="1"/>
  <c r="AS308" i="2" s="1"/>
  <c r="AS309" i="2" s="1"/>
  <c r="AS310" i="2" s="1"/>
  <c r="AS311" i="2" s="1"/>
  <c r="AS312" i="2" s="1"/>
  <c r="AS313" i="2" s="1"/>
  <c r="AS314" i="2" s="1"/>
  <c r="AS315" i="2" s="1"/>
  <c r="AS316" i="2" s="1"/>
  <c r="AS317" i="2" s="1"/>
  <c r="AS318" i="2" s="1"/>
  <c r="AS319" i="2" s="1"/>
  <c r="AS320" i="2" s="1"/>
  <c r="AS321" i="2" s="1"/>
  <c r="AS322" i="2" s="1"/>
  <c r="AS323" i="2" s="1"/>
  <c r="AS324" i="2" s="1"/>
  <c r="AS325" i="2" s="1"/>
  <c r="AS326" i="2" s="1"/>
  <c r="AS327" i="2" s="1"/>
  <c r="AS328" i="2" s="1"/>
  <c r="AS329" i="2" s="1"/>
  <c r="AS330" i="2" s="1"/>
  <c r="AS331" i="2" s="1"/>
  <c r="AS332" i="2" s="1"/>
  <c r="AS333" i="2" s="1"/>
  <c r="AS334" i="2" s="1"/>
  <c r="AS335" i="2" s="1"/>
  <c r="AS336" i="2" s="1"/>
  <c r="AS337" i="2" s="1"/>
  <c r="AS338" i="2" s="1"/>
  <c r="AS339" i="2" s="1"/>
  <c r="AS340" i="2" s="1"/>
  <c r="AS341" i="2" s="1"/>
  <c r="AS342" i="2" s="1"/>
  <c r="AS343" i="2" s="1"/>
  <c r="AS344" i="2" s="1"/>
  <c r="AS345" i="2" s="1"/>
  <c r="AS346" i="2" s="1"/>
  <c r="AS347" i="2" s="1"/>
  <c r="AS348" i="2" s="1"/>
  <c r="AS349" i="2" s="1"/>
  <c r="AS350" i="2" s="1"/>
  <c r="AS351" i="2" s="1"/>
  <c r="AS352" i="2" s="1"/>
  <c r="AS353" i="2" s="1"/>
  <c r="AS354" i="2" s="1"/>
  <c r="AS355" i="2" s="1"/>
  <c r="AS356" i="2" s="1"/>
  <c r="AS357" i="2" s="1"/>
  <c r="AS358" i="2" s="1"/>
  <c r="AS359" i="2" s="1"/>
  <c r="AS360" i="2" s="1"/>
  <c r="AS361" i="2" s="1"/>
  <c r="AS362" i="2" s="1"/>
  <c r="AS363" i="2" s="1"/>
  <c r="AS364" i="2" s="1"/>
  <c r="AS365" i="2" s="1"/>
  <c r="AS366" i="2" s="1"/>
  <c r="AS367" i="2" s="1"/>
  <c r="AS368" i="2" s="1"/>
  <c r="AS369" i="2" s="1"/>
  <c r="AS370" i="2" s="1"/>
  <c r="AS371" i="2" s="1"/>
  <c r="AS372" i="2" s="1"/>
  <c r="AS373" i="2" s="1"/>
  <c r="AS374" i="2" s="1"/>
  <c r="AS375" i="2" s="1"/>
  <c r="AS376" i="2" s="1"/>
  <c r="AS377" i="2" s="1"/>
  <c r="AS378" i="2" s="1"/>
  <c r="AS379" i="2" s="1"/>
  <c r="AS380" i="2" s="1"/>
  <c r="AS381" i="2" s="1"/>
  <c r="AS382" i="2" s="1"/>
  <c r="AS383" i="2" s="1"/>
  <c r="AS384" i="2" s="1"/>
  <c r="AS385" i="2" s="1"/>
  <c r="AS386" i="2" s="1"/>
  <c r="AS387" i="2" s="1"/>
  <c r="AG24" i="2"/>
  <c r="AG25" i="2" s="1"/>
  <c r="AG26" i="2" s="1"/>
  <c r="AG27" i="2" s="1"/>
  <c r="AG28" i="2" s="1"/>
  <c r="AG29" i="2" s="1"/>
  <c r="AG30" i="2" s="1"/>
  <c r="AG31" i="2" s="1"/>
  <c r="AG32" i="2" s="1"/>
  <c r="AG33" i="2" s="1"/>
  <c r="AG34" i="2" s="1"/>
  <c r="AG35" i="2" s="1"/>
  <c r="AG36" i="2" s="1"/>
  <c r="AG37" i="2" s="1"/>
  <c r="AG38" i="2" s="1"/>
  <c r="AG39" i="2" s="1"/>
  <c r="AG40" i="2" s="1"/>
  <c r="AG41" i="2" s="1"/>
  <c r="AG42" i="2" s="1"/>
  <c r="AG43" i="2" s="1"/>
  <c r="AG44" i="2" s="1"/>
  <c r="AG45" i="2" s="1"/>
  <c r="AG46" i="2" s="1"/>
  <c r="AG47" i="2" s="1"/>
  <c r="AG48" i="2" s="1"/>
  <c r="AG49" i="2" s="1"/>
  <c r="AG50" i="2" s="1"/>
  <c r="AG51" i="2" s="1"/>
  <c r="AG52" i="2" s="1"/>
  <c r="AG53" i="2" s="1"/>
  <c r="AG54" i="2" s="1"/>
  <c r="AG55" i="2" s="1"/>
  <c r="AG56" i="2" s="1"/>
  <c r="AG57" i="2" s="1"/>
  <c r="AG58" i="2" s="1"/>
  <c r="AG59" i="2" s="1"/>
  <c r="AG60" i="2" s="1"/>
  <c r="AG61" i="2" s="1"/>
  <c r="AG62" i="2" s="1"/>
  <c r="AG63" i="2" s="1"/>
  <c r="AG64" i="2" s="1"/>
  <c r="AG65" i="2" s="1"/>
  <c r="AG66" i="2" s="1"/>
  <c r="AG67" i="2" s="1"/>
  <c r="AG68" i="2" s="1"/>
  <c r="AG69" i="2" s="1"/>
  <c r="AG70" i="2" s="1"/>
  <c r="AG71" i="2" s="1"/>
  <c r="AG72" i="2" s="1"/>
  <c r="AG73" i="2" s="1"/>
  <c r="AG74" i="2" s="1"/>
  <c r="AG75" i="2" s="1"/>
  <c r="AG76" i="2" s="1"/>
  <c r="AG77" i="2" s="1"/>
  <c r="AG78" i="2" s="1"/>
  <c r="AG79" i="2" s="1"/>
  <c r="AG80" i="2" s="1"/>
  <c r="AG81" i="2" s="1"/>
  <c r="AG82" i="2" s="1"/>
  <c r="AG83" i="2" s="1"/>
  <c r="AG84" i="2" s="1"/>
  <c r="AG85" i="2" s="1"/>
  <c r="AG86" i="2" s="1"/>
  <c r="AG87" i="2" s="1"/>
  <c r="AG88" i="2" s="1"/>
  <c r="AG89" i="2" s="1"/>
  <c r="AG90" i="2" s="1"/>
  <c r="AG91" i="2" s="1"/>
  <c r="AG92" i="2" s="1"/>
  <c r="AG93" i="2" s="1"/>
  <c r="AG94" i="2" s="1"/>
  <c r="AG95" i="2" s="1"/>
  <c r="AG96" i="2" s="1"/>
  <c r="AG97" i="2" s="1"/>
  <c r="AG98" i="2" s="1"/>
  <c r="AG99" i="2" s="1"/>
  <c r="AG100" i="2" s="1"/>
  <c r="AG101" i="2" s="1"/>
  <c r="AG102" i="2" s="1"/>
  <c r="AG103" i="2" s="1"/>
  <c r="AG104" i="2" s="1"/>
  <c r="AG105" i="2" s="1"/>
  <c r="AG106" i="2" s="1"/>
  <c r="AG107" i="2" s="1"/>
  <c r="AG108" i="2" s="1"/>
  <c r="AG109" i="2" s="1"/>
  <c r="AG110" i="2" s="1"/>
  <c r="AG111" i="2" s="1"/>
  <c r="AG112" i="2" s="1"/>
  <c r="AG113" i="2" s="1"/>
  <c r="AG114" i="2" s="1"/>
  <c r="AG115" i="2" s="1"/>
  <c r="AG116" i="2" s="1"/>
  <c r="AG117" i="2" s="1"/>
  <c r="AG118" i="2" s="1"/>
  <c r="AG119" i="2" s="1"/>
  <c r="AG120" i="2" s="1"/>
  <c r="AG121" i="2" s="1"/>
  <c r="AG122" i="2" s="1"/>
  <c r="AG123" i="2" s="1"/>
  <c r="AG124" i="2" s="1"/>
  <c r="AG125" i="2" s="1"/>
  <c r="AG126" i="2" s="1"/>
  <c r="AG127" i="2" s="1"/>
  <c r="AG128" i="2" s="1"/>
  <c r="AG129" i="2" s="1"/>
  <c r="AG130" i="2" s="1"/>
  <c r="AG131" i="2" s="1"/>
  <c r="AG132" i="2" s="1"/>
  <c r="AG133" i="2" s="1"/>
  <c r="AG134" i="2" s="1"/>
  <c r="AG135" i="2" s="1"/>
  <c r="AG136" i="2" s="1"/>
  <c r="AG137" i="2" s="1"/>
  <c r="AG138" i="2" s="1"/>
  <c r="AG139" i="2" s="1"/>
  <c r="AG140" i="2" s="1"/>
  <c r="AG141" i="2" s="1"/>
  <c r="AG142" i="2" s="1"/>
  <c r="AG143" i="2" s="1"/>
  <c r="AG144" i="2" s="1"/>
  <c r="AG145" i="2" s="1"/>
  <c r="AG146" i="2" s="1"/>
  <c r="AG147" i="2" s="1"/>
  <c r="AG148" i="2" s="1"/>
  <c r="AG149" i="2" s="1"/>
  <c r="AG150" i="2" s="1"/>
  <c r="AG151" i="2" s="1"/>
  <c r="AG152" i="2" s="1"/>
  <c r="AG153" i="2" s="1"/>
  <c r="AG154" i="2" s="1"/>
  <c r="AG155" i="2" s="1"/>
  <c r="AG156" i="2" s="1"/>
  <c r="AG157" i="2" s="1"/>
  <c r="AG158" i="2" s="1"/>
  <c r="AG159" i="2" s="1"/>
  <c r="AG160" i="2" s="1"/>
  <c r="AG161" i="2" s="1"/>
  <c r="AG162" i="2" s="1"/>
  <c r="AG163" i="2" s="1"/>
  <c r="AG164" i="2" s="1"/>
  <c r="AG165" i="2" s="1"/>
  <c r="AG166" i="2" s="1"/>
  <c r="AG167" i="2" s="1"/>
  <c r="AG168" i="2" s="1"/>
  <c r="AG169" i="2" s="1"/>
  <c r="AG170" i="2" s="1"/>
  <c r="AG171" i="2" s="1"/>
  <c r="AG172" i="2" s="1"/>
  <c r="AG173" i="2" s="1"/>
  <c r="AG174" i="2" s="1"/>
  <c r="AG175" i="2" s="1"/>
  <c r="AG176" i="2" s="1"/>
  <c r="AG177" i="2" s="1"/>
  <c r="AG178" i="2" s="1"/>
  <c r="AG179" i="2" s="1"/>
  <c r="AG180" i="2" s="1"/>
  <c r="AG181" i="2" s="1"/>
  <c r="AG182" i="2" s="1"/>
  <c r="AG183" i="2" s="1"/>
  <c r="AG184" i="2" s="1"/>
  <c r="AG185" i="2" s="1"/>
  <c r="AG186" i="2" s="1"/>
  <c r="AG187" i="2" s="1"/>
  <c r="AG188" i="2" s="1"/>
  <c r="AG189" i="2" s="1"/>
  <c r="AG190" i="2" s="1"/>
  <c r="AG191" i="2" s="1"/>
  <c r="AG192" i="2" s="1"/>
  <c r="AG193" i="2" s="1"/>
  <c r="AG194" i="2" s="1"/>
  <c r="AG195" i="2" s="1"/>
  <c r="AG196" i="2" s="1"/>
  <c r="AG197" i="2" s="1"/>
  <c r="AG198" i="2" s="1"/>
  <c r="AG199" i="2" s="1"/>
  <c r="AG200" i="2" s="1"/>
  <c r="AG201" i="2" s="1"/>
  <c r="AG202" i="2" s="1"/>
  <c r="AG203" i="2" s="1"/>
  <c r="AG204" i="2" s="1"/>
  <c r="AG205" i="2" s="1"/>
  <c r="AG206" i="2" s="1"/>
  <c r="AG207" i="2" s="1"/>
  <c r="AG208" i="2" s="1"/>
  <c r="AG209" i="2" s="1"/>
  <c r="AG210" i="2" s="1"/>
  <c r="AG211" i="2" s="1"/>
  <c r="AG212" i="2" s="1"/>
  <c r="AG213" i="2" s="1"/>
  <c r="AG214" i="2" s="1"/>
  <c r="AG215" i="2" s="1"/>
  <c r="AG216" i="2" s="1"/>
  <c r="AG217" i="2" s="1"/>
  <c r="AG218" i="2" s="1"/>
  <c r="AG219" i="2" s="1"/>
  <c r="AG220" i="2" s="1"/>
  <c r="AG221" i="2" s="1"/>
  <c r="AG222" i="2" s="1"/>
  <c r="AG223" i="2" s="1"/>
  <c r="AG224" i="2" s="1"/>
  <c r="AG225" i="2" s="1"/>
  <c r="AG226" i="2" s="1"/>
  <c r="AG227" i="2" s="1"/>
  <c r="AG228" i="2" s="1"/>
  <c r="AG229" i="2" s="1"/>
  <c r="AG230" i="2" s="1"/>
  <c r="AG231" i="2" s="1"/>
  <c r="AG232" i="2" s="1"/>
  <c r="AG233" i="2" s="1"/>
  <c r="AG234" i="2" s="1"/>
  <c r="AG235" i="2" s="1"/>
  <c r="AG236" i="2" s="1"/>
  <c r="AG237" i="2" s="1"/>
  <c r="AG238" i="2" s="1"/>
  <c r="AG239" i="2" s="1"/>
  <c r="AG240" i="2" s="1"/>
  <c r="AG241" i="2" s="1"/>
  <c r="AG242" i="2" s="1"/>
  <c r="AG243" i="2" s="1"/>
  <c r="AG244" i="2" s="1"/>
  <c r="AG245" i="2" s="1"/>
  <c r="AG246" i="2" s="1"/>
  <c r="AG247" i="2" s="1"/>
  <c r="AG248" i="2" s="1"/>
  <c r="AG249" i="2" s="1"/>
  <c r="AG250" i="2" s="1"/>
  <c r="AG251" i="2" s="1"/>
  <c r="AG252" i="2" s="1"/>
  <c r="AG253" i="2" s="1"/>
  <c r="AG254" i="2" s="1"/>
  <c r="AG255" i="2" s="1"/>
  <c r="AG256" i="2" s="1"/>
  <c r="AG257" i="2" s="1"/>
  <c r="AG258" i="2" s="1"/>
  <c r="AG259" i="2" s="1"/>
  <c r="AG260" i="2" s="1"/>
  <c r="AG261" i="2" s="1"/>
  <c r="AG262" i="2" s="1"/>
  <c r="AG263" i="2" s="1"/>
  <c r="AG264" i="2" s="1"/>
  <c r="AG265" i="2" s="1"/>
  <c r="AG266" i="2" s="1"/>
  <c r="AG267" i="2" s="1"/>
  <c r="AG268" i="2" s="1"/>
  <c r="AG269" i="2" s="1"/>
  <c r="AG270" i="2" s="1"/>
  <c r="AG271" i="2" s="1"/>
  <c r="AG272" i="2" s="1"/>
  <c r="AG273" i="2" s="1"/>
  <c r="AG274" i="2" s="1"/>
  <c r="AG275" i="2" s="1"/>
  <c r="AG276" i="2" s="1"/>
  <c r="AG277" i="2" s="1"/>
  <c r="AG278" i="2" s="1"/>
  <c r="AG279" i="2" s="1"/>
  <c r="AG280" i="2" s="1"/>
  <c r="AG281" i="2" s="1"/>
  <c r="AG282" i="2" s="1"/>
  <c r="AG283" i="2" s="1"/>
  <c r="AG284" i="2" s="1"/>
  <c r="AG285" i="2" s="1"/>
  <c r="AG286" i="2" s="1"/>
  <c r="AG287" i="2" s="1"/>
  <c r="AG288" i="2" s="1"/>
  <c r="AG289" i="2" s="1"/>
  <c r="AG290" i="2" s="1"/>
  <c r="AG291" i="2" s="1"/>
  <c r="AG292" i="2" s="1"/>
  <c r="AG293" i="2" s="1"/>
  <c r="AG294" i="2" s="1"/>
  <c r="AG295" i="2" s="1"/>
  <c r="AG296" i="2" s="1"/>
  <c r="AG297" i="2" s="1"/>
  <c r="AG298" i="2" s="1"/>
  <c r="AG299" i="2" s="1"/>
  <c r="AG300" i="2" s="1"/>
  <c r="AG301" i="2" s="1"/>
  <c r="AG302" i="2" s="1"/>
  <c r="AG303" i="2" s="1"/>
  <c r="AG304" i="2" s="1"/>
  <c r="AG305" i="2" s="1"/>
  <c r="AG306" i="2" s="1"/>
  <c r="AG307" i="2" s="1"/>
  <c r="AG308" i="2" s="1"/>
  <c r="AG309" i="2" s="1"/>
  <c r="AG310" i="2" s="1"/>
  <c r="AG311" i="2" s="1"/>
  <c r="AG312" i="2" s="1"/>
  <c r="AG313" i="2" s="1"/>
  <c r="AG314" i="2" s="1"/>
  <c r="AG315" i="2" s="1"/>
  <c r="AG316" i="2" s="1"/>
  <c r="AG317" i="2" s="1"/>
  <c r="AG318" i="2" s="1"/>
  <c r="AG319" i="2" s="1"/>
  <c r="AG320" i="2" s="1"/>
  <c r="AG321" i="2" s="1"/>
  <c r="AG322" i="2" s="1"/>
  <c r="AG323" i="2" s="1"/>
  <c r="AG324" i="2" s="1"/>
  <c r="AG325" i="2" s="1"/>
  <c r="AG326" i="2" s="1"/>
  <c r="AG327" i="2" s="1"/>
  <c r="AG328" i="2" s="1"/>
  <c r="AG329" i="2" s="1"/>
  <c r="AG330" i="2" s="1"/>
  <c r="AG331" i="2" s="1"/>
  <c r="AG332" i="2" s="1"/>
  <c r="AG333" i="2" s="1"/>
  <c r="AG334" i="2" s="1"/>
  <c r="AG335" i="2" s="1"/>
  <c r="AG336" i="2" s="1"/>
  <c r="AG337" i="2" s="1"/>
  <c r="AG338" i="2" s="1"/>
  <c r="AG339" i="2" s="1"/>
  <c r="AG340" i="2" s="1"/>
  <c r="AG341" i="2" s="1"/>
  <c r="AG342" i="2" s="1"/>
  <c r="AG343" i="2" s="1"/>
  <c r="AG344" i="2" s="1"/>
  <c r="AG345" i="2" s="1"/>
  <c r="AG346" i="2" s="1"/>
  <c r="AG347" i="2" s="1"/>
  <c r="AG348" i="2" s="1"/>
  <c r="AG349" i="2" s="1"/>
  <c r="AG350" i="2" s="1"/>
  <c r="AG351" i="2" s="1"/>
  <c r="AG352" i="2" s="1"/>
  <c r="AG353" i="2" s="1"/>
  <c r="AG354" i="2" s="1"/>
  <c r="AG355" i="2" s="1"/>
  <c r="AG356" i="2" s="1"/>
  <c r="AG357" i="2" s="1"/>
  <c r="AG358" i="2" s="1"/>
  <c r="AG359" i="2" s="1"/>
  <c r="AG360" i="2" s="1"/>
  <c r="AG361" i="2" s="1"/>
  <c r="AG362" i="2" s="1"/>
  <c r="AG363" i="2" s="1"/>
  <c r="AG364" i="2" s="1"/>
  <c r="AG365" i="2" s="1"/>
  <c r="AG366" i="2" s="1"/>
  <c r="AG367" i="2" s="1"/>
  <c r="AG368" i="2" s="1"/>
  <c r="AG369" i="2" s="1"/>
  <c r="AG370" i="2" s="1"/>
  <c r="AG371" i="2" s="1"/>
  <c r="AG372" i="2" s="1"/>
  <c r="AG373" i="2" s="1"/>
  <c r="AG374" i="2" s="1"/>
  <c r="AG375" i="2" s="1"/>
  <c r="AG376" i="2" s="1"/>
  <c r="AG377" i="2" s="1"/>
  <c r="AG378" i="2" s="1"/>
  <c r="AG379" i="2" s="1"/>
  <c r="AG380" i="2" s="1"/>
  <c r="AG381" i="2" s="1"/>
  <c r="AG382" i="2" s="1"/>
  <c r="AG383" i="2" s="1"/>
  <c r="AG384" i="2" s="1"/>
  <c r="AG385" i="2" s="1"/>
  <c r="AG386" i="2" s="1"/>
  <c r="AG387" i="2" s="1"/>
  <c r="AA29" i="5" l="1"/>
  <c r="AA19" i="5"/>
  <c r="AA20" i="5"/>
  <c r="AA21" i="5"/>
  <c r="AA22" i="5"/>
  <c r="AA23" i="5"/>
  <c r="AA24" i="5"/>
  <c r="AA25" i="5"/>
  <c r="AA26" i="5"/>
  <c r="AA27" i="5"/>
  <c r="AA28" i="5"/>
  <c r="AA30" i="5"/>
  <c r="AA31" i="5"/>
  <c r="AA32" i="5"/>
  <c r="AA33" i="5"/>
  <c r="G21" i="5"/>
  <c r="W25" i="5"/>
  <c r="W22" i="5"/>
  <c r="W19" i="5"/>
  <c r="W20" i="5"/>
  <c r="W21" i="5"/>
  <c r="W23" i="5"/>
  <c r="W24" i="5"/>
  <c r="W26" i="5"/>
  <c r="W27" i="5"/>
  <c r="H18" i="6" s="1"/>
  <c r="W28" i="5"/>
  <c r="W29" i="5"/>
  <c r="W30" i="5"/>
  <c r="W31" i="5"/>
  <c r="W32" i="5"/>
  <c r="W33" i="5"/>
  <c r="W34" i="5"/>
  <c r="L18" i="8"/>
  <c r="E18" i="8"/>
  <c r="AA18" i="5"/>
  <c r="H20" i="5"/>
  <c r="Y24" i="5"/>
  <c r="X24" i="5"/>
  <c r="Y23" i="5"/>
  <c r="X23" i="5"/>
  <c r="Y20" i="5"/>
  <c r="X20" i="5"/>
  <c r="Y19" i="5"/>
  <c r="Y18" i="5"/>
  <c r="Y22" i="5"/>
  <c r="X22" i="5"/>
  <c r="H18" i="5"/>
  <c r="Y21" i="5"/>
  <c r="X21" i="5"/>
  <c r="V25" i="5"/>
  <c r="O51" i="4"/>
  <c r="O58" i="6"/>
  <c r="P58" i="6" s="1"/>
  <c r="U26" i="5"/>
  <c r="O18" i="6"/>
  <c r="P18" i="6" s="1"/>
  <c r="O27" i="6"/>
  <c r="P27" i="6" s="1"/>
  <c r="O26" i="6"/>
  <c r="P26" i="6" s="1"/>
  <c r="O25" i="6"/>
  <c r="P25" i="6" s="1"/>
  <c r="O24" i="6"/>
  <c r="P24" i="6" s="1"/>
  <c r="O23" i="6"/>
  <c r="P23" i="6" s="1"/>
  <c r="O22" i="6"/>
  <c r="P22" i="6" s="1"/>
  <c r="O21" i="6"/>
  <c r="P21" i="6" s="1"/>
  <c r="O20" i="6"/>
  <c r="P20" i="6" s="1"/>
  <c r="O382" i="6"/>
  <c r="P382" i="6" s="1"/>
  <c r="O381" i="6"/>
  <c r="P381" i="6" s="1"/>
  <c r="O380" i="6"/>
  <c r="P380" i="6" s="1"/>
  <c r="O379" i="6"/>
  <c r="P379" i="6" s="1"/>
  <c r="O378" i="6"/>
  <c r="P378" i="6" s="1"/>
  <c r="O377" i="6"/>
  <c r="P377" i="6" s="1"/>
  <c r="O376" i="6"/>
  <c r="P376" i="6" s="1"/>
  <c r="O375" i="6"/>
  <c r="P375" i="6" s="1"/>
  <c r="O374" i="6"/>
  <c r="P374" i="6" s="1"/>
  <c r="O373" i="6"/>
  <c r="P373" i="6" s="1"/>
  <c r="O372" i="6"/>
  <c r="P372" i="6" s="1"/>
  <c r="O371" i="6"/>
  <c r="P371" i="6" s="1"/>
  <c r="O370" i="6"/>
  <c r="P370" i="6" s="1"/>
  <c r="O369" i="6"/>
  <c r="P369" i="6" s="1"/>
  <c r="O368" i="6"/>
  <c r="P368" i="6" s="1"/>
  <c r="O367" i="6"/>
  <c r="P367" i="6" s="1"/>
  <c r="O366" i="6"/>
  <c r="P366" i="6" s="1"/>
  <c r="O365" i="6"/>
  <c r="P365" i="6" s="1"/>
  <c r="O364" i="6"/>
  <c r="P364" i="6" s="1"/>
  <c r="O363" i="6"/>
  <c r="P363" i="6" s="1"/>
  <c r="O362" i="6"/>
  <c r="P362" i="6" s="1"/>
  <c r="O361" i="6"/>
  <c r="P361" i="6" s="1"/>
  <c r="O360" i="6"/>
  <c r="P360" i="6" s="1"/>
  <c r="O359" i="6"/>
  <c r="P359" i="6" s="1"/>
  <c r="O358" i="6"/>
  <c r="P358" i="6" s="1"/>
  <c r="O357" i="6"/>
  <c r="P357" i="6" s="1"/>
  <c r="O356" i="6"/>
  <c r="P356" i="6" s="1"/>
  <c r="O355" i="6"/>
  <c r="P355" i="6" s="1"/>
  <c r="O354" i="6"/>
  <c r="P354" i="6" s="1"/>
  <c r="O353" i="6"/>
  <c r="P353" i="6" s="1"/>
  <c r="O352" i="6"/>
  <c r="P352" i="6" s="1"/>
  <c r="O351" i="6"/>
  <c r="P351" i="6" s="1"/>
  <c r="O350" i="6"/>
  <c r="P350" i="6" s="1"/>
  <c r="O349" i="6"/>
  <c r="P349" i="6" s="1"/>
  <c r="O348" i="6"/>
  <c r="P348" i="6" s="1"/>
  <c r="O347" i="6"/>
  <c r="P347" i="6" s="1"/>
  <c r="O346" i="6"/>
  <c r="P346" i="6" s="1"/>
  <c r="O345" i="6"/>
  <c r="P345" i="6" s="1"/>
  <c r="O344" i="6"/>
  <c r="P344" i="6" s="1"/>
  <c r="O343" i="6"/>
  <c r="P343" i="6" s="1"/>
  <c r="O342" i="6"/>
  <c r="P342" i="6" s="1"/>
  <c r="O341" i="6"/>
  <c r="P341" i="6" s="1"/>
  <c r="O340" i="6"/>
  <c r="P340" i="6" s="1"/>
  <c r="O339" i="6"/>
  <c r="P339" i="6" s="1"/>
  <c r="O338" i="6"/>
  <c r="P338" i="6" s="1"/>
  <c r="O337" i="6"/>
  <c r="P337" i="6" s="1"/>
  <c r="O336" i="6"/>
  <c r="P336" i="6" s="1"/>
  <c r="O335" i="6"/>
  <c r="P335" i="6" s="1"/>
  <c r="O334" i="6"/>
  <c r="P334" i="6" s="1"/>
  <c r="O333" i="6"/>
  <c r="P333" i="6" s="1"/>
  <c r="O332" i="6"/>
  <c r="P332" i="6" s="1"/>
  <c r="O331" i="6"/>
  <c r="P331" i="6" s="1"/>
  <c r="O330" i="6"/>
  <c r="P330" i="6" s="1"/>
  <c r="O329" i="6"/>
  <c r="P329" i="6" s="1"/>
  <c r="O328" i="6"/>
  <c r="P328" i="6" s="1"/>
  <c r="O327" i="6"/>
  <c r="P327" i="6" s="1"/>
  <c r="O326" i="6"/>
  <c r="P326" i="6" s="1"/>
  <c r="O325" i="6"/>
  <c r="P325" i="6" s="1"/>
  <c r="O324" i="6"/>
  <c r="P324" i="6" s="1"/>
  <c r="O323" i="6"/>
  <c r="P323" i="6" s="1"/>
  <c r="O322" i="6"/>
  <c r="P322" i="6" s="1"/>
  <c r="O321" i="6"/>
  <c r="P321" i="6" s="1"/>
  <c r="O320" i="6"/>
  <c r="P320" i="6" s="1"/>
  <c r="O319" i="6"/>
  <c r="P319" i="6" s="1"/>
  <c r="O318" i="6"/>
  <c r="P318" i="6" s="1"/>
  <c r="O317" i="6"/>
  <c r="P317" i="6" s="1"/>
  <c r="O316" i="6"/>
  <c r="P316" i="6" s="1"/>
  <c r="O315" i="6"/>
  <c r="P315" i="6" s="1"/>
  <c r="O314" i="6"/>
  <c r="P314" i="6" s="1"/>
  <c r="O313" i="6"/>
  <c r="P313" i="6" s="1"/>
  <c r="O312" i="6"/>
  <c r="P312" i="6" s="1"/>
  <c r="O311" i="6"/>
  <c r="P311" i="6" s="1"/>
  <c r="O310" i="6"/>
  <c r="P310" i="6" s="1"/>
  <c r="O309" i="6"/>
  <c r="P309" i="6" s="1"/>
  <c r="O308" i="6"/>
  <c r="P308" i="6" s="1"/>
  <c r="O307" i="6"/>
  <c r="P307" i="6" s="1"/>
  <c r="O306" i="6"/>
  <c r="P306" i="6" s="1"/>
  <c r="O305" i="6"/>
  <c r="P305" i="6" s="1"/>
  <c r="O304" i="6"/>
  <c r="P304" i="6" s="1"/>
  <c r="O303" i="6"/>
  <c r="P303" i="6" s="1"/>
  <c r="O302" i="6"/>
  <c r="P302" i="6" s="1"/>
  <c r="O301" i="6"/>
  <c r="P301" i="6" s="1"/>
  <c r="O300" i="6"/>
  <c r="P300" i="6" s="1"/>
  <c r="O299" i="6"/>
  <c r="P299" i="6" s="1"/>
  <c r="O298" i="6"/>
  <c r="P298" i="6" s="1"/>
  <c r="O297" i="6"/>
  <c r="P297" i="6" s="1"/>
  <c r="O296" i="6"/>
  <c r="P296" i="6" s="1"/>
  <c r="O295" i="6"/>
  <c r="P295" i="6" s="1"/>
  <c r="O294" i="6"/>
  <c r="P294" i="6" s="1"/>
  <c r="O293" i="6"/>
  <c r="P293" i="6" s="1"/>
  <c r="O292" i="6"/>
  <c r="P292" i="6" s="1"/>
  <c r="O291" i="6"/>
  <c r="P291" i="6" s="1"/>
  <c r="O290" i="6"/>
  <c r="P290" i="6" s="1"/>
  <c r="O289" i="6"/>
  <c r="P289" i="6" s="1"/>
  <c r="O288" i="6"/>
  <c r="P288" i="6" s="1"/>
  <c r="O287" i="6"/>
  <c r="P287" i="6" s="1"/>
  <c r="O286" i="6"/>
  <c r="P286" i="6" s="1"/>
  <c r="O285" i="6"/>
  <c r="P285" i="6" s="1"/>
  <c r="O284" i="6"/>
  <c r="P284" i="6" s="1"/>
  <c r="O283" i="6"/>
  <c r="P283" i="6" s="1"/>
  <c r="O282" i="6"/>
  <c r="P282" i="6" s="1"/>
  <c r="O281" i="6"/>
  <c r="P281" i="6" s="1"/>
  <c r="O280" i="6"/>
  <c r="P280" i="6" s="1"/>
  <c r="O279" i="6"/>
  <c r="P279" i="6" s="1"/>
  <c r="O278" i="6"/>
  <c r="P278" i="6" s="1"/>
  <c r="O277" i="6"/>
  <c r="P277" i="6" s="1"/>
  <c r="O276" i="6"/>
  <c r="P276" i="6" s="1"/>
  <c r="O275" i="6"/>
  <c r="P275" i="6" s="1"/>
  <c r="O274" i="6"/>
  <c r="P274" i="6" s="1"/>
  <c r="O273" i="6"/>
  <c r="P273" i="6" s="1"/>
  <c r="O272" i="6"/>
  <c r="P272" i="6" s="1"/>
  <c r="O271" i="6"/>
  <c r="P271" i="6" s="1"/>
  <c r="O270" i="6"/>
  <c r="P270" i="6" s="1"/>
  <c r="O269" i="6"/>
  <c r="P269" i="6" s="1"/>
  <c r="O268" i="6"/>
  <c r="P268" i="6" s="1"/>
  <c r="O267" i="6"/>
  <c r="P267" i="6" s="1"/>
  <c r="O266" i="6"/>
  <c r="P266" i="6" s="1"/>
  <c r="O265" i="6"/>
  <c r="P265" i="6" s="1"/>
  <c r="O264" i="6"/>
  <c r="P264" i="6" s="1"/>
  <c r="O263" i="6"/>
  <c r="P263" i="6" s="1"/>
  <c r="O262" i="6"/>
  <c r="P262" i="6" s="1"/>
  <c r="O261" i="6"/>
  <c r="P261" i="6" s="1"/>
  <c r="O260" i="6"/>
  <c r="P260" i="6" s="1"/>
  <c r="O259" i="6"/>
  <c r="P259" i="6" s="1"/>
  <c r="O258" i="6"/>
  <c r="P258" i="6" s="1"/>
  <c r="O257" i="6"/>
  <c r="P257" i="6" s="1"/>
  <c r="O256" i="6"/>
  <c r="P256" i="6" s="1"/>
  <c r="O255" i="6"/>
  <c r="P255" i="6" s="1"/>
  <c r="O254" i="6"/>
  <c r="P254" i="6" s="1"/>
  <c r="O253" i="6"/>
  <c r="P253" i="6" s="1"/>
  <c r="O252" i="6"/>
  <c r="P252" i="6" s="1"/>
  <c r="O251" i="6"/>
  <c r="P251" i="6" s="1"/>
  <c r="O250" i="6"/>
  <c r="P250" i="6" s="1"/>
  <c r="O249" i="6"/>
  <c r="P249" i="6" s="1"/>
  <c r="O248" i="6"/>
  <c r="P248" i="6" s="1"/>
  <c r="O247" i="6"/>
  <c r="P247" i="6" s="1"/>
  <c r="O246" i="6"/>
  <c r="P246" i="6" s="1"/>
  <c r="O245" i="6"/>
  <c r="P245" i="6" s="1"/>
  <c r="O244" i="6"/>
  <c r="P244" i="6" s="1"/>
  <c r="O243" i="6"/>
  <c r="P243" i="6" s="1"/>
  <c r="O242" i="6"/>
  <c r="P242" i="6" s="1"/>
  <c r="O241" i="6"/>
  <c r="P241" i="6" s="1"/>
  <c r="O240" i="6"/>
  <c r="P240" i="6" s="1"/>
  <c r="O239" i="6"/>
  <c r="P239" i="6" s="1"/>
  <c r="O238" i="6"/>
  <c r="P238" i="6" s="1"/>
  <c r="O237" i="6"/>
  <c r="P237" i="6" s="1"/>
  <c r="O236" i="6"/>
  <c r="P236" i="6" s="1"/>
  <c r="O235" i="6"/>
  <c r="P235" i="6" s="1"/>
  <c r="O234" i="6"/>
  <c r="P234" i="6" s="1"/>
  <c r="O233" i="6"/>
  <c r="P233" i="6" s="1"/>
  <c r="O232" i="6"/>
  <c r="P232" i="6" s="1"/>
  <c r="O231" i="6"/>
  <c r="P231" i="6" s="1"/>
  <c r="O230" i="6"/>
  <c r="P230" i="6" s="1"/>
  <c r="O229" i="6"/>
  <c r="P229" i="6" s="1"/>
  <c r="O228" i="6"/>
  <c r="P228" i="6" s="1"/>
  <c r="O227" i="6"/>
  <c r="P227" i="6" s="1"/>
  <c r="O226" i="6"/>
  <c r="P226" i="6" s="1"/>
  <c r="O225" i="6"/>
  <c r="P225" i="6" s="1"/>
  <c r="O224" i="6"/>
  <c r="P224" i="6" s="1"/>
  <c r="O223" i="6"/>
  <c r="P223" i="6" s="1"/>
  <c r="O222" i="6"/>
  <c r="P222" i="6" s="1"/>
  <c r="O221" i="6"/>
  <c r="P221" i="6" s="1"/>
  <c r="O220" i="6"/>
  <c r="P220" i="6" s="1"/>
  <c r="O219" i="6"/>
  <c r="P219" i="6" s="1"/>
  <c r="O218" i="6"/>
  <c r="P218" i="6" s="1"/>
  <c r="O217" i="6"/>
  <c r="P217" i="6" s="1"/>
  <c r="O216" i="6"/>
  <c r="P216" i="6" s="1"/>
  <c r="O215" i="6"/>
  <c r="P215" i="6" s="1"/>
  <c r="O214" i="6"/>
  <c r="P214" i="6" s="1"/>
  <c r="O213" i="6"/>
  <c r="P213" i="6" s="1"/>
  <c r="O212" i="6"/>
  <c r="P212" i="6" s="1"/>
  <c r="O211" i="6"/>
  <c r="P211" i="6" s="1"/>
  <c r="O210" i="6"/>
  <c r="P210" i="6" s="1"/>
  <c r="O209" i="6"/>
  <c r="P209" i="6" s="1"/>
  <c r="O208" i="6"/>
  <c r="P208" i="6" s="1"/>
  <c r="O207" i="6"/>
  <c r="P207" i="6" s="1"/>
  <c r="O206" i="6"/>
  <c r="P206" i="6" s="1"/>
  <c r="O205" i="6"/>
  <c r="P205" i="6" s="1"/>
  <c r="O204" i="6"/>
  <c r="P204" i="6" s="1"/>
  <c r="O203" i="6"/>
  <c r="P203" i="6" s="1"/>
  <c r="O202" i="6"/>
  <c r="P202" i="6" s="1"/>
  <c r="O201" i="6"/>
  <c r="P201" i="6" s="1"/>
  <c r="O200" i="6"/>
  <c r="P200" i="6" s="1"/>
  <c r="O199" i="6"/>
  <c r="P199" i="6" s="1"/>
  <c r="O198" i="6"/>
  <c r="P198" i="6" s="1"/>
  <c r="O197" i="6"/>
  <c r="P197" i="6" s="1"/>
  <c r="O196" i="6"/>
  <c r="P196" i="6" s="1"/>
  <c r="O195" i="6"/>
  <c r="P195" i="6" s="1"/>
  <c r="O194" i="6"/>
  <c r="P194" i="6" s="1"/>
  <c r="O193" i="6"/>
  <c r="P193" i="6" s="1"/>
  <c r="O192" i="6"/>
  <c r="P192" i="6" s="1"/>
  <c r="O191" i="6"/>
  <c r="P191" i="6" s="1"/>
  <c r="O190" i="6"/>
  <c r="P190" i="6" s="1"/>
  <c r="O189" i="6"/>
  <c r="P189" i="6" s="1"/>
  <c r="O188" i="6"/>
  <c r="P188" i="6" s="1"/>
  <c r="O187" i="6"/>
  <c r="P187" i="6" s="1"/>
  <c r="O186" i="6"/>
  <c r="P186" i="6" s="1"/>
  <c r="O185" i="6"/>
  <c r="P185" i="6" s="1"/>
  <c r="O184" i="6"/>
  <c r="P184" i="6" s="1"/>
  <c r="O183" i="6"/>
  <c r="P183" i="6" s="1"/>
  <c r="O182" i="6"/>
  <c r="P182" i="6" s="1"/>
  <c r="O181" i="6"/>
  <c r="P181" i="6" s="1"/>
  <c r="O180" i="6"/>
  <c r="P180" i="6" s="1"/>
  <c r="O179" i="6"/>
  <c r="P179" i="6" s="1"/>
  <c r="O178" i="6"/>
  <c r="P178" i="6" s="1"/>
  <c r="O177" i="6"/>
  <c r="P177" i="6" s="1"/>
  <c r="O176" i="6"/>
  <c r="P176" i="6" s="1"/>
  <c r="O175" i="6"/>
  <c r="P175" i="6" s="1"/>
  <c r="O174" i="6"/>
  <c r="P174" i="6" s="1"/>
  <c r="O173" i="6"/>
  <c r="P173" i="6" s="1"/>
  <c r="O172" i="6"/>
  <c r="P172" i="6" s="1"/>
  <c r="O171" i="6"/>
  <c r="P171" i="6" s="1"/>
  <c r="O170" i="6"/>
  <c r="P170" i="6" s="1"/>
  <c r="O169" i="6"/>
  <c r="P169" i="6" s="1"/>
  <c r="O168" i="6"/>
  <c r="P168" i="6" s="1"/>
  <c r="O167" i="6"/>
  <c r="P167" i="6" s="1"/>
  <c r="O166" i="6"/>
  <c r="P166" i="6" s="1"/>
  <c r="O165" i="6"/>
  <c r="P165" i="6" s="1"/>
  <c r="O164" i="6"/>
  <c r="P164" i="6" s="1"/>
  <c r="O163" i="6"/>
  <c r="P163" i="6" s="1"/>
  <c r="O162" i="6"/>
  <c r="P162" i="6" s="1"/>
  <c r="O161" i="6"/>
  <c r="P161" i="6" s="1"/>
  <c r="O160" i="6"/>
  <c r="P160" i="6" s="1"/>
  <c r="O159" i="6"/>
  <c r="P159" i="6" s="1"/>
  <c r="O158" i="6"/>
  <c r="P158" i="6" s="1"/>
  <c r="O157" i="6"/>
  <c r="P157" i="6" s="1"/>
  <c r="O156" i="6"/>
  <c r="P156" i="6" s="1"/>
  <c r="O155" i="6"/>
  <c r="P155" i="6" s="1"/>
  <c r="O154" i="6"/>
  <c r="P154" i="6" s="1"/>
  <c r="O153" i="6"/>
  <c r="P153" i="6" s="1"/>
  <c r="O152" i="6"/>
  <c r="P152" i="6" s="1"/>
  <c r="O151" i="6"/>
  <c r="P151" i="6" s="1"/>
  <c r="O150" i="6"/>
  <c r="P150" i="6" s="1"/>
  <c r="O149" i="6"/>
  <c r="P149" i="6" s="1"/>
  <c r="O148" i="6"/>
  <c r="P148" i="6" s="1"/>
  <c r="O147" i="6"/>
  <c r="P147" i="6" s="1"/>
  <c r="O146" i="6"/>
  <c r="P146" i="6" s="1"/>
  <c r="O145" i="6"/>
  <c r="P145" i="6" s="1"/>
  <c r="O144" i="6"/>
  <c r="P144" i="6" s="1"/>
  <c r="O143" i="6"/>
  <c r="P143" i="6" s="1"/>
  <c r="O142" i="6"/>
  <c r="P142" i="6" s="1"/>
  <c r="O141" i="6"/>
  <c r="P141" i="6" s="1"/>
  <c r="O140" i="6"/>
  <c r="P140" i="6" s="1"/>
  <c r="O139" i="6"/>
  <c r="P139" i="6" s="1"/>
  <c r="O138" i="6"/>
  <c r="P138" i="6" s="1"/>
  <c r="O137" i="6"/>
  <c r="P137" i="6" s="1"/>
  <c r="O136" i="6"/>
  <c r="P136" i="6" s="1"/>
  <c r="O135" i="6"/>
  <c r="P135" i="6" s="1"/>
  <c r="O134" i="6"/>
  <c r="P134" i="6" s="1"/>
  <c r="O133" i="6"/>
  <c r="P133" i="6" s="1"/>
  <c r="O132" i="6"/>
  <c r="P132" i="6" s="1"/>
  <c r="O131" i="6"/>
  <c r="P131" i="6" s="1"/>
  <c r="O130" i="6"/>
  <c r="P130" i="6" s="1"/>
  <c r="O129" i="6"/>
  <c r="P129" i="6" s="1"/>
  <c r="O128" i="6"/>
  <c r="P128" i="6" s="1"/>
  <c r="O127" i="6"/>
  <c r="P127" i="6" s="1"/>
  <c r="O126" i="6"/>
  <c r="P126" i="6" s="1"/>
  <c r="O125" i="6"/>
  <c r="P125" i="6" s="1"/>
  <c r="O124" i="6"/>
  <c r="P124" i="6" s="1"/>
  <c r="O123" i="6"/>
  <c r="P123" i="6" s="1"/>
  <c r="O122" i="6"/>
  <c r="P122" i="6" s="1"/>
  <c r="O121" i="6"/>
  <c r="P121" i="6" s="1"/>
  <c r="O120" i="6"/>
  <c r="P120" i="6" s="1"/>
  <c r="O119" i="6"/>
  <c r="P119" i="6" s="1"/>
  <c r="O118" i="6"/>
  <c r="P118" i="6" s="1"/>
  <c r="O117" i="6"/>
  <c r="P117" i="6" s="1"/>
  <c r="O116" i="6"/>
  <c r="P116" i="6" s="1"/>
  <c r="O115" i="6"/>
  <c r="P115" i="6" s="1"/>
  <c r="O114" i="6"/>
  <c r="P114" i="6" s="1"/>
  <c r="O113" i="6"/>
  <c r="P113" i="6" s="1"/>
  <c r="O112" i="6"/>
  <c r="P112" i="6" s="1"/>
  <c r="O111" i="6"/>
  <c r="P111" i="6" s="1"/>
  <c r="O110" i="6"/>
  <c r="P110" i="6" s="1"/>
  <c r="O109" i="6"/>
  <c r="P109" i="6" s="1"/>
  <c r="O108" i="6"/>
  <c r="P108" i="6" s="1"/>
  <c r="O107" i="6"/>
  <c r="P107" i="6" s="1"/>
  <c r="O106" i="6"/>
  <c r="P106" i="6" s="1"/>
  <c r="O105" i="6"/>
  <c r="P105" i="6" s="1"/>
  <c r="O104" i="6"/>
  <c r="P104" i="6" s="1"/>
  <c r="O103" i="6"/>
  <c r="P103" i="6" s="1"/>
  <c r="O102" i="6"/>
  <c r="P102" i="6" s="1"/>
  <c r="O101" i="6"/>
  <c r="P101" i="6" s="1"/>
  <c r="O100" i="6"/>
  <c r="P100" i="6" s="1"/>
  <c r="O99" i="6"/>
  <c r="P99" i="6" s="1"/>
  <c r="O98" i="6"/>
  <c r="P98" i="6" s="1"/>
  <c r="O97" i="6"/>
  <c r="P97" i="6" s="1"/>
  <c r="O96" i="6"/>
  <c r="P96" i="6" s="1"/>
  <c r="O95" i="6"/>
  <c r="P95" i="6" s="1"/>
  <c r="O94" i="6"/>
  <c r="P94" i="6" s="1"/>
  <c r="O93" i="6"/>
  <c r="P93" i="6" s="1"/>
  <c r="O92" i="6"/>
  <c r="P92" i="6" s="1"/>
  <c r="O91" i="6"/>
  <c r="P91" i="6" s="1"/>
  <c r="O90" i="6"/>
  <c r="P90" i="6" s="1"/>
  <c r="O89" i="6"/>
  <c r="P89" i="6" s="1"/>
  <c r="O88" i="6"/>
  <c r="P88" i="6" s="1"/>
  <c r="O87" i="6"/>
  <c r="P87" i="6" s="1"/>
  <c r="O86" i="6"/>
  <c r="P86" i="6" s="1"/>
  <c r="O85" i="6"/>
  <c r="P85" i="6" s="1"/>
  <c r="O84" i="6"/>
  <c r="P84" i="6" s="1"/>
  <c r="O83" i="6"/>
  <c r="P83" i="6" s="1"/>
  <c r="O82" i="6"/>
  <c r="P82" i="6" s="1"/>
  <c r="O81" i="6"/>
  <c r="P81" i="6" s="1"/>
  <c r="O80" i="6"/>
  <c r="P80" i="6" s="1"/>
  <c r="O79" i="6"/>
  <c r="P79" i="6" s="1"/>
  <c r="O78" i="6"/>
  <c r="P78" i="6" s="1"/>
  <c r="O77" i="6"/>
  <c r="P77" i="6" s="1"/>
  <c r="O76" i="6"/>
  <c r="P76" i="6" s="1"/>
  <c r="O75" i="6"/>
  <c r="P75" i="6" s="1"/>
  <c r="O74" i="6"/>
  <c r="P74" i="6" s="1"/>
  <c r="O73" i="6"/>
  <c r="P73" i="6" s="1"/>
  <c r="O72" i="6"/>
  <c r="P72" i="6" s="1"/>
  <c r="O71" i="6"/>
  <c r="P71" i="6" s="1"/>
  <c r="O70" i="6"/>
  <c r="P70" i="6" s="1"/>
  <c r="O69" i="6"/>
  <c r="P69" i="6" s="1"/>
  <c r="O68" i="6"/>
  <c r="P68" i="6" s="1"/>
  <c r="O67" i="6"/>
  <c r="P67" i="6" s="1"/>
  <c r="O66" i="6"/>
  <c r="P66" i="6" s="1"/>
  <c r="O65" i="6"/>
  <c r="P65" i="6" s="1"/>
  <c r="O64" i="6"/>
  <c r="P64" i="6" s="1"/>
  <c r="O63" i="6"/>
  <c r="P63" i="6" s="1"/>
  <c r="O62" i="6"/>
  <c r="P62" i="6" s="1"/>
  <c r="O61" i="6"/>
  <c r="P61" i="6" s="1"/>
  <c r="O60" i="6"/>
  <c r="P60" i="6" s="1"/>
  <c r="O59" i="6"/>
  <c r="P59" i="6" s="1"/>
  <c r="O57" i="6"/>
  <c r="P57" i="6" s="1"/>
  <c r="O56" i="6"/>
  <c r="P56" i="6" s="1"/>
  <c r="O55" i="6"/>
  <c r="P55" i="6" s="1"/>
  <c r="O54" i="6"/>
  <c r="P54" i="6" s="1"/>
  <c r="O53" i="6"/>
  <c r="P53" i="6" s="1"/>
  <c r="O52" i="6"/>
  <c r="P52" i="6" s="1"/>
  <c r="O51" i="6"/>
  <c r="P51" i="6" s="1"/>
  <c r="O50" i="6"/>
  <c r="P50" i="6" s="1"/>
  <c r="O49" i="6"/>
  <c r="P49" i="6" s="1"/>
  <c r="O48" i="6"/>
  <c r="P48" i="6" s="1"/>
  <c r="O47" i="6"/>
  <c r="P47" i="6" s="1"/>
  <c r="O46" i="6"/>
  <c r="P46" i="6" s="1"/>
  <c r="O45" i="6"/>
  <c r="P45" i="6" s="1"/>
  <c r="O44" i="6"/>
  <c r="P44" i="6" s="1"/>
  <c r="O43" i="6"/>
  <c r="P43" i="6" s="1"/>
  <c r="O42" i="6"/>
  <c r="P42" i="6" s="1"/>
  <c r="O41" i="6"/>
  <c r="P41" i="6" s="1"/>
  <c r="O40" i="6"/>
  <c r="P40" i="6" s="1"/>
  <c r="O39" i="6"/>
  <c r="P39" i="6" s="1"/>
  <c r="O38" i="6"/>
  <c r="P38" i="6" s="1"/>
  <c r="O37" i="6"/>
  <c r="P37" i="6" s="1"/>
  <c r="O36" i="6"/>
  <c r="P36" i="6" s="1"/>
  <c r="O35" i="6"/>
  <c r="P35" i="6" s="1"/>
  <c r="O34" i="6"/>
  <c r="P34" i="6" s="1"/>
  <c r="O33" i="6"/>
  <c r="P33" i="6" s="1"/>
  <c r="O32" i="6"/>
  <c r="P32" i="6" s="1"/>
  <c r="O31" i="6"/>
  <c r="P31" i="6" s="1"/>
  <c r="O30" i="6"/>
  <c r="P30" i="6" s="1"/>
  <c r="O29" i="6"/>
  <c r="P29" i="6" s="1"/>
  <c r="O28" i="6"/>
  <c r="P28" i="6" s="1"/>
  <c r="E19" i="16"/>
  <c r="H18" i="16"/>
  <c r="I18" i="16" s="1"/>
  <c r="D20" i="16"/>
  <c r="G19" i="16"/>
  <c r="C19" i="16"/>
  <c r="F19" i="16" s="1"/>
  <c r="N17" i="8"/>
  <c r="G17" i="8"/>
  <c r="D19" i="8"/>
  <c r="C4" i="4"/>
  <c r="B7" i="2"/>
  <c r="D12" i="2"/>
  <c r="D13" i="2"/>
  <c r="D11" i="2"/>
  <c r="AV382" i="2"/>
  <c r="AV381" i="2"/>
  <c r="AV380" i="2"/>
  <c r="AV379" i="2"/>
  <c r="AV322" i="2"/>
  <c r="AV321" i="2"/>
  <c r="AV320" i="2"/>
  <c r="AV302" i="2"/>
  <c r="AV301" i="2"/>
  <c r="AV300" i="2"/>
  <c r="AV299" i="2"/>
  <c r="AV298" i="2"/>
  <c r="AV292" i="2"/>
  <c r="AV282" i="2"/>
  <c r="AV281" i="2"/>
  <c r="AV240" i="2"/>
  <c r="AV239" i="2"/>
  <c r="AV238" i="2"/>
  <c r="AV237" i="2"/>
  <c r="AV236" i="2"/>
  <c r="AV235" i="2"/>
  <c r="AV234" i="2"/>
  <c r="AV202" i="2"/>
  <c r="AV201" i="2"/>
  <c r="AV200" i="2"/>
  <c r="AV199" i="2"/>
  <c r="AV158" i="2"/>
  <c r="AV157" i="2"/>
  <c r="AV156" i="2"/>
  <c r="AV155" i="2"/>
  <c r="AV154" i="2"/>
  <c r="AV153" i="2"/>
  <c r="AV141" i="2"/>
  <c r="AV140" i="2"/>
  <c r="AV139" i="2"/>
  <c r="AV138" i="2"/>
  <c r="AV137" i="2"/>
  <c r="AV96" i="2"/>
  <c r="AV92" i="2"/>
  <c r="AV82" i="2"/>
  <c r="AV62" i="2"/>
  <c r="AV61" i="2"/>
  <c r="AV60" i="2"/>
  <c r="AV59" i="2"/>
  <c r="AV58" i="2"/>
  <c r="AV57" i="2"/>
  <c r="AV56" i="2"/>
  <c r="AV52" i="2"/>
  <c r="AJ367" i="2"/>
  <c r="AJ366" i="2"/>
  <c r="AJ363" i="2"/>
  <c r="AJ362" i="2"/>
  <c r="AJ361" i="2"/>
  <c r="AJ360" i="2"/>
  <c r="AJ359" i="2"/>
  <c r="AJ342" i="2"/>
  <c r="AJ341" i="2"/>
  <c r="AJ337" i="2"/>
  <c r="AJ325" i="2"/>
  <c r="AJ285" i="2"/>
  <c r="AJ284" i="2"/>
  <c r="AJ283" i="2"/>
  <c r="AJ282" i="2"/>
  <c r="AJ281" i="2"/>
  <c r="AJ280" i="2"/>
  <c r="AJ279" i="2"/>
  <c r="AJ278" i="2"/>
  <c r="AJ277" i="2"/>
  <c r="AJ267" i="2"/>
  <c r="AJ266" i="2"/>
  <c r="AJ226" i="2"/>
  <c r="AJ225" i="2"/>
  <c r="AJ224" i="2"/>
  <c r="AJ223" i="2"/>
  <c r="AJ220" i="2"/>
  <c r="AJ219" i="2"/>
  <c r="AJ199" i="2"/>
  <c r="AJ198" i="2"/>
  <c r="AJ197" i="2"/>
  <c r="AJ187" i="2"/>
  <c r="AJ186" i="2"/>
  <c r="AJ144" i="2"/>
  <c r="AJ143" i="2"/>
  <c r="AJ142" i="2"/>
  <c r="AJ141" i="2"/>
  <c r="AJ140" i="2"/>
  <c r="AJ139" i="2"/>
  <c r="AJ126" i="2"/>
  <c r="AJ125" i="2"/>
  <c r="AJ124" i="2"/>
  <c r="AJ123" i="2"/>
  <c r="AJ122" i="2"/>
  <c r="AJ82" i="2"/>
  <c r="AJ81" i="2"/>
  <c r="AJ80" i="2"/>
  <c r="AJ77" i="2"/>
  <c r="AJ67" i="2"/>
  <c r="AJ59" i="2"/>
  <c r="AJ46" i="2"/>
  <c r="AJ45" i="2"/>
  <c r="AJ44" i="2"/>
  <c r="AJ43" i="2"/>
  <c r="AJ42" i="2"/>
  <c r="W365" i="2"/>
  <c r="W364" i="2"/>
  <c r="W363" i="2"/>
  <c r="W362" i="2"/>
  <c r="W352" i="2"/>
  <c r="W351" i="2"/>
  <c r="W350" i="2"/>
  <c r="W349" i="2"/>
  <c r="W348" i="2"/>
  <c r="W347" i="2"/>
  <c r="W346" i="2"/>
  <c r="W306" i="2"/>
  <c r="W305" i="2"/>
  <c r="W304" i="2"/>
  <c r="W289" i="2"/>
  <c r="W272" i="2"/>
  <c r="W271" i="2"/>
  <c r="W270" i="2"/>
  <c r="W269" i="2"/>
  <c r="W268" i="2"/>
  <c r="W267" i="2"/>
  <c r="W266" i="2"/>
  <c r="W226" i="2"/>
  <c r="W223" i="2"/>
  <c r="W222" i="2"/>
  <c r="W209" i="2"/>
  <c r="W208" i="2"/>
  <c r="W207" i="2"/>
  <c r="W206" i="2"/>
  <c r="W205" i="2"/>
  <c r="W204" i="2"/>
  <c r="W203" i="2"/>
  <c r="W185" i="2"/>
  <c r="W164" i="2"/>
  <c r="W163" i="2"/>
  <c r="W162" i="2"/>
  <c r="W133" i="2"/>
  <c r="W132" i="2"/>
  <c r="W131" i="2"/>
  <c r="W130" i="2"/>
  <c r="W129" i="2"/>
  <c r="W128" i="2"/>
  <c r="W127" i="2"/>
  <c r="W126" i="2"/>
  <c r="W86" i="2"/>
  <c r="W85" i="2"/>
  <c r="W84" i="2"/>
  <c r="W83" i="2"/>
  <c r="W82" i="2"/>
  <c r="W73" i="2"/>
  <c r="W72" i="2"/>
  <c r="W71" i="2"/>
  <c r="W70" i="2"/>
  <c r="W49" i="2"/>
  <c r="W48" i="2"/>
  <c r="W27" i="2"/>
  <c r="W26" i="2"/>
  <c r="L19" i="8" l="1"/>
  <c r="E19" i="8"/>
  <c r="Y25" i="5"/>
  <c r="X25" i="5"/>
  <c r="AV361" i="2"/>
  <c r="AV378" i="2"/>
  <c r="AV337" i="2"/>
  <c r="AV297" i="2"/>
  <c r="AV255" i="2"/>
  <c r="AV215" i="2"/>
  <c r="AV175" i="2"/>
  <c r="AV135" i="2"/>
  <c r="AV95" i="2"/>
  <c r="AV55" i="2"/>
  <c r="AJ380" i="2"/>
  <c r="AJ340" i="2"/>
  <c r="AJ300" i="2"/>
  <c r="AJ258" i="2"/>
  <c r="AJ218" i="2"/>
  <c r="AJ178" i="2"/>
  <c r="AJ138" i="2"/>
  <c r="AJ98" i="2"/>
  <c r="AJ58" i="2"/>
  <c r="W383" i="2"/>
  <c r="W343" i="2"/>
  <c r="W303" i="2"/>
  <c r="W252" i="2"/>
  <c r="W212" i="2"/>
  <c r="W182" i="2"/>
  <c r="W144" i="2"/>
  <c r="W106" i="2"/>
  <c r="W68" i="2"/>
  <c r="W30" i="2"/>
  <c r="AV377" i="2"/>
  <c r="AV336" i="2"/>
  <c r="AV296" i="2"/>
  <c r="AV254" i="2"/>
  <c r="AV214" i="2"/>
  <c r="AV174" i="2"/>
  <c r="AV134" i="2"/>
  <c r="AV94" i="2"/>
  <c r="AV54" i="2"/>
  <c r="AJ379" i="2"/>
  <c r="AJ339" i="2"/>
  <c r="AJ299" i="2"/>
  <c r="AJ257" i="2"/>
  <c r="AJ217" i="2"/>
  <c r="AJ177" i="2"/>
  <c r="AJ137" i="2"/>
  <c r="AJ97" i="2"/>
  <c r="AJ57" i="2"/>
  <c r="W382" i="2"/>
  <c r="W342" i="2"/>
  <c r="W302" i="2"/>
  <c r="W251" i="2"/>
  <c r="W211" i="2"/>
  <c r="W173" i="2"/>
  <c r="W143" i="2"/>
  <c r="W105" i="2"/>
  <c r="W67" i="2"/>
  <c r="W29" i="2"/>
  <c r="AV376" i="2"/>
  <c r="AV335" i="2"/>
  <c r="AV293" i="2"/>
  <c r="AV253" i="2"/>
  <c r="AV213" i="2"/>
  <c r="AV173" i="2"/>
  <c r="AV133" i="2"/>
  <c r="AV93" i="2"/>
  <c r="AV53" i="2"/>
  <c r="AJ378" i="2"/>
  <c r="AJ338" i="2"/>
  <c r="AJ287" i="2"/>
  <c r="AJ247" i="2"/>
  <c r="AJ207" i="2"/>
  <c r="AJ167" i="2"/>
  <c r="AJ127" i="2"/>
  <c r="AJ87" i="2"/>
  <c r="AJ47" i="2"/>
  <c r="W372" i="2"/>
  <c r="W332" i="2"/>
  <c r="W290" i="2"/>
  <c r="W250" i="2"/>
  <c r="W210" i="2"/>
  <c r="W172" i="2"/>
  <c r="W142" i="2"/>
  <c r="W104" i="2"/>
  <c r="W66" i="2"/>
  <c r="W28" i="2"/>
  <c r="AV375" i="2"/>
  <c r="AV374" i="2"/>
  <c r="AV319" i="2"/>
  <c r="AV276" i="2"/>
  <c r="AV233" i="2"/>
  <c r="AV179" i="2"/>
  <c r="AV136" i="2"/>
  <c r="AV81" i="2"/>
  <c r="AV36" i="2"/>
  <c r="AJ358" i="2"/>
  <c r="AJ306" i="2"/>
  <c r="AJ263" i="2"/>
  <c r="AJ206" i="2"/>
  <c r="AJ163" i="2"/>
  <c r="AJ120" i="2"/>
  <c r="AJ66" i="2"/>
  <c r="AJ23" i="2"/>
  <c r="W345" i="2"/>
  <c r="W288" i="2"/>
  <c r="W245" i="2"/>
  <c r="W202" i="2"/>
  <c r="W153" i="2"/>
  <c r="W110" i="2"/>
  <c r="W69" i="2"/>
  <c r="W25" i="2"/>
  <c r="AV373" i="2"/>
  <c r="AV318" i="2"/>
  <c r="AV275" i="2"/>
  <c r="AV232" i="2"/>
  <c r="AV178" i="2"/>
  <c r="AV132" i="2"/>
  <c r="AV80" i="2"/>
  <c r="AV35" i="2"/>
  <c r="AJ357" i="2"/>
  <c r="AJ305" i="2"/>
  <c r="AJ262" i="2"/>
  <c r="AJ205" i="2"/>
  <c r="AJ162" i="2"/>
  <c r="AJ119" i="2"/>
  <c r="AJ65" i="2"/>
  <c r="W387" i="2"/>
  <c r="W344" i="2"/>
  <c r="W287" i="2"/>
  <c r="W244" i="2"/>
  <c r="W193" i="2"/>
  <c r="W150" i="2"/>
  <c r="W109" i="2"/>
  <c r="W65" i="2"/>
  <c r="AV372" i="2"/>
  <c r="AV317" i="2"/>
  <c r="AV274" i="2"/>
  <c r="AV222" i="2"/>
  <c r="AV177" i="2"/>
  <c r="AV122" i="2"/>
  <c r="AV79" i="2"/>
  <c r="AV34" i="2"/>
  <c r="AJ347" i="2"/>
  <c r="AJ304" i="2"/>
  <c r="AJ261" i="2"/>
  <c r="AJ204" i="2"/>
  <c r="AJ161" i="2"/>
  <c r="AJ118" i="2"/>
  <c r="AJ64" i="2"/>
  <c r="W386" i="2"/>
  <c r="W331" i="2"/>
  <c r="W286" i="2"/>
  <c r="W243" i="2"/>
  <c r="W192" i="2"/>
  <c r="W149" i="2"/>
  <c r="W108" i="2"/>
  <c r="W64" i="2"/>
  <c r="AV359" i="2"/>
  <c r="AV316" i="2"/>
  <c r="AV273" i="2"/>
  <c r="AV221" i="2"/>
  <c r="AV176" i="2"/>
  <c r="AV121" i="2"/>
  <c r="AV78" i="2"/>
  <c r="AV33" i="2"/>
  <c r="AJ346" i="2"/>
  <c r="AJ303" i="2"/>
  <c r="AJ246" i="2"/>
  <c r="AJ203" i="2"/>
  <c r="AJ160" i="2"/>
  <c r="AJ106" i="2"/>
  <c r="AJ63" i="2"/>
  <c r="W385" i="2"/>
  <c r="W328" i="2"/>
  <c r="W285" i="2"/>
  <c r="W242" i="2"/>
  <c r="W191" i="2"/>
  <c r="W148" i="2"/>
  <c r="W107" i="2"/>
  <c r="W63" i="2"/>
  <c r="AV358" i="2"/>
  <c r="AV315" i="2"/>
  <c r="AV272" i="2"/>
  <c r="AV220" i="2"/>
  <c r="AV172" i="2"/>
  <c r="AV120" i="2"/>
  <c r="AV77" i="2"/>
  <c r="AV32" i="2"/>
  <c r="AJ345" i="2"/>
  <c r="AJ302" i="2"/>
  <c r="AJ245" i="2"/>
  <c r="AJ202" i="2"/>
  <c r="AJ159" i="2"/>
  <c r="AJ105" i="2"/>
  <c r="AJ62" i="2"/>
  <c r="W384" i="2"/>
  <c r="W327" i="2"/>
  <c r="W284" i="2"/>
  <c r="W232" i="2"/>
  <c r="W190" i="2"/>
  <c r="W147" i="2"/>
  <c r="W103" i="2"/>
  <c r="W62" i="2"/>
  <c r="AV357" i="2"/>
  <c r="AV314" i="2"/>
  <c r="AV262" i="2"/>
  <c r="AV217" i="2"/>
  <c r="AV162" i="2"/>
  <c r="AV119" i="2"/>
  <c r="AV74" i="2"/>
  <c r="AJ387" i="2"/>
  <c r="AJ344" i="2"/>
  <c r="AJ301" i="2"/>
  <c r="AJ244" i="2"/>
  <c r="AJ201" i="2"/>
  <c r="AJ158" i="2"/>
  <c r="AJ104" i="2"/>
  <c r="AJ61" i="2"/>
  <c r="W371" i="2"/>
  <c r="W326" i="2"/>
  <c r="W283" i="2"/>
  <c r="W231" i="2"/>
  <c r="W189" i="2"/>
  <c r="W146" i="2"/>
  <c r="W102" i="2"/>
  <c r="W53" i="2"/>
  <c r="AV356" i="2"/>
  <c r="AV313" i="2"/>
  <c r="AV261" i="2"/>
  <c r="AV216" i="2"/>
  <c r="AV161" i="2"/>
  <c r="AV118" i="2"/>
  <c r="AV73" i="2"/>
  <c r="AJ386" i="2"/>
  <c r="AJ343" i="2"/>
  <c r="AJ286" i="2"/>
  <c r="AJ243" i="2"/>
  <c r="AJ200" i="2"/>
  <c r="AJ157" i="2"/>
  <c r="AJ103" i="2"/>
  <c r="AJ60" i="2"/>
  <c r="W370" i="2"/>
  <c r="W325" i="2"/>
  <c r="W282" i="2"/>
  <c r="W230" i="2"/>
  <c r="W186" i="2"/>
  <c r="W145" i="2"/>
  <c r="W93" i="2"/>
  <c r="W50" i="2"/>
  <c r="AV355" i="2"/>
  <c r="AV312" i="2"/>
  <c r="AV260" i="2"/>
  <c r="AV212" i="2"/>
  <c r="AV160" i="2"/>
  <c r="AV117" i="2"/>
  <c r="AV72" i="2"/>
  <c r="AJ385" i="2"/>
  <c r="W31" i="2"/>
  <c r="W89" i="2"/>
  <c r="W165" i="2"/>
  <c r="W227" i="2"/>
  <c r="W307" i="2"/>
  <c r="W366" i="2"/>
  <c r="AJ83" i="2"/>
  <c r="AJ147" i="2"/>
  <c r="AJ227" i="2"/>
  <c r="AJ307" i="2"/>
  <c r="AJ377" i="2"/>
  <c r="AV97" i="2"/>
  <c r="AV159" i="2"/>
  <c r="AV241" i="2"/>
  <c r="AV334" i="2"/>
  <c r="W32" i="2"/>
  <c r="W90" i="2"/>
  <c r="W166" i="2"/>
  <c r="W228" i="2"/>
  <c r="W308" i="2"/>
  <c r="W369" i="2"/>
  <c r="AJ84" i="2"/>
  <c r="AJ164" i="2"/>
  <c r="AJ237" i="2"/>
  <c r="AJ317" i="2"/>
  <c r="AJ381" i="2"/>
  <c r="AV98" i="2"/>
  <c r="AV182" i="2"/>
  <c r="AV242" i="2"/>
  <c r="AV338" i="2"/>
  <c r="W33" i="2"/>
  <c r="W91" i="2"/>
  <c r="W167" i="2"/>
  <c r="W229" i="2"/>
  <c r="W309" i="2"/>
  <c r="AJ24" i="2"/>
  <c r="AJ85" i="2"/>
  <c r="AJ165" i="2"/>
  <c r="AJ238" i="2"/>
  <c r="AJ318" i="2"/>
  <c r="AJ382" i="2"/>
  <c r="AV99" i="2"/>
  <c r="AV192" i="2"/>
  <c r="AV252" i="2"/>
  <c r="AV339" i="2"/>
  <c r="W42" i="2"/>
  <c r="W92" i="2"/>
  <c r="W168" i="2"/>
  <c r="W246" i="2"/>
  <c r="W310" i="2"/>
  <c r="AJ25" i="2"/>
  <c r="AJ86" i="2"/>
  <c r="AJ166" i="2"/>
  <c r="AJ239" i="2"/>
  <c r="AJ319" i="2"/>
  <c r="AJ383" i="2"/>
  <c r="AV100" i="2"/>
  <c r="AV193" i="2"/>
  <c r="AV258" i="2"/>
  <c r="AV340" i="2"/>
  <c r="W43" i="2"/>
  <c r="W111" i="2"/>
  <c r="W169" i="2"/>
  <c r="W247" i="2"/>
  <c r="W311" i="2"/>
  <c r="AJ26" i="2"/>
  <c r="AJ99" i="2"/>
  <c r="AJ179" i="2"/>
  <c r="AJ240" i="2"/>
  <c r="AJ320" i="2"/>
  <c r="AJ384" i="2"/>
  <c r="AV101" i="2"/>
  <c r="AV194" i="2"/>
  <c r="AV259" i="2"/>
  <c r="AV341" i="2"/>
  <c r="W44" i="2"/>
  <c r="W112" i="2"/>
  <c r="W170" i="2"/>
  <c r="W248" i="2"/>
  <c r="W312" i="2"/>
  <c r="AJ27" i="2"/>
  <c r="AJ100" i="2"/>
  <c r="AJ180" i="2"/>
  <c r="AJ241" i="2"/>
  <c r="AJ321" i="2"/>
  <c r="AV39" i="2"/>
  <c r="AV102" i="2"/>
  <c r="AV195" i="2"/>
  <c r="AV277" i="2"/>
  <c r="AV342" i="2"/>
  <c r="W45" i="2"/>
  <c r="W113" i="2"/>
  <c r="W171" i="2"/>
  <c r="W249" i="2"/>
  <c r="W322" i="2"/>
  <c r="AJ37" i="2"/>
  <c r="AJ101" i="2"/>
  <c r="AJ181" i="2"/>
  <c r="AJ242" i="2"/>
  <c r="AJ322" i="2"/>
  <c r="AV40" i="2"/>
  <c r="AV112" i="2"/>
  <c r="AV196" i="2"/>
  <c r="AV278" i="2"/>
  <c r="AV352" i="2"/>
  <c r="W46" i="2"/>
  <c r="W122" i="2"/>
  <c r="W183" i="2"/>
  <c r="W264" i="2"/>
  <c r="W323" i="2"/>
  <c r="AJ38" i="2"/>
  <c r="AJ102" i="2"/>
  <c r="AJ182" i="2"/>
  <c r="AJ264" i="2"/>
  <c r="AJ323" i="2"/>
  <c r="AV41" i="2"/>
  <c r="AV115" i="2"/>
  <c r="AV197" i="2"/>
  <c r="AV279" i="2"/>
  <c r="AV353" i="2"/>
  <c r="W47" i="2"/>
  <c r="W125" i="2"/>
  <c r="W184" i="2"/>
  <c r="W265" i="2"/>
  <c r="W324" i="2"/>
  <c r="AJ39" i="2"/>
  <c r="AJ121" i="2"/>
  <c r="AJ185" i="2"/>
  <c r="AJ265" i="2"/>
  <c r="AJ324" i="2"/>
  <c r="AV42" i="2"/>
  <c r="AV116" i="2"/>
  <c r="AV198" i="2"/>
  <c r="AV280" i="2"/>
  <c r="AV354" i="2"/>
  <c r="AV360" i="2"/>
  <c r="W23" i="2"/>
  <c r="X23" i="2" s="1"/>
  <c r="W51" i="2"/>
  <c r="W87" i="2"/>
  <c r="W123" i="2"/>
  <c r="W151" i="2"/>
  <c r="W187" i="2"/>
  <c r="W224" i="2"/>
  <c r="W262" i="2"/>
  <c r="W291" i="2"/>
  <c r="W329" i="2"/>
  <c r="W367" i="2"/>
  <c r="AJ40" i="2"/>
  <c r="AJ78" i="2"/>
  <c r="AJ107" i="2"/>
  <c r="AJ145" i="2"/>
  <c r="AJ183" i="2"/>
  <c r="AJ221" i="2"/>
  <c r="AJ259" i="2"/>
  <c r="AJ297" i="2"/>
  <c r="AJ326" i="2"/>
  <c r="AJ364" i="2"/>
  <c r="AV37" i="2"/>
  <c r="AV75" i="2"/>
  <c r="AV113" i="2"/>
  <c r="AV142" i="2"/>
  <c r="AV180" i="2"/>
  <c r="AV218" i="2"/>
  <c r="AV256" i="2"/>
  <c r="AV294" i="2"/>
  <c r="AV332" i="2"/>
  <c r="K256" i="2"/>
  <c r="D244" i="4" s="1"/>
  <c r="J244" i="4" s="1"/>
  <c r="K33" i="2"/>
  <c r="D21" i="4" s="1"/>
  <c r="J21" i="4" s="1"/>
  <c r="K51" i="2"/>
  <c r="D39" i="4" s="1"/>
  <c r="J39" i="4" s="1"/>
  <c r="K89" i="2"/>
  <c r="D77" i="4" s="1"/>
  <c r="J77" i="4" s="1"/>
  <c r="K349" i="2"/>
  <c r="D337" i="4" s="1"/>
  <c r="J337" i="4" s="1"/>
  <c r="K50" i="2"/>
  <c r="D38" i="4" s="1"/>
  <c r="J38" i="4" s="1"/>
  <c r="K90" i="2"/>
  <c r="D78" i="4" s="1"/>
  <c r="J78" i="4" s="1"/>
  <c r="K110" i="2"/>
  <c r="D98" i="4" s="1"/>
  <c r="J98" i="4" s="1"/>
  <c r="K103" i="2"/>
  <c r="D91" i="4" s="1"/>
  <c r="J91" i="4" s="1"/>
  <c r="K291" i="2"/>
  <c r="D279" i="4" s="1"/>
  <c r="J279" i="4" s="1"/>
  <c r="K209" i="2"/>
  <c r="D197" i="4" s="1"/>
  <c r="J197" i="4" s="1"/>
  <c r="K107" i="2"/>
  <c r="D95" i="4" s="1"/>
  <c r="J95" i="4" s="1"/>
  <c r="K333" i="2"/>
  <c r="D321" i="4" s="1"/>
  <c r="J321" i="4" s="1"/>
  <c r="K368" i="2"/>
  <c r="D356" i="4" s="1"/>
  <c r="J356" i="4" s="1"/>
  <c r="K285" i="2"/>
  <c r="D273" i="4" s="1"/>
  <c r="J273" i="4" s="1"/>
  <c r="K198" i="2"/>
  <c r="D186" i="4" s="1"/>
  <c r="J186" i="4" s="1"/>
  <c r="K67" i="2"/>
  <c r="D55" i="4" s="1"/>
  <c r="J55" i="4" s="1"/>
  <c r="K27" i="2"/>
  <c r="D15" i="4" s="1"/>
  <c r="J15" i="4" s="1"/>
  <c r="K75" i="2"/>
  <c r="D63" i="4" s="1"/>
  <c r="J63" i="4" s="1"/>
  <c r="K31" i="2"/>
  <c r="D19" i="4" s="1"/>
  <c r="J19" i="4" s="1"/>
  <c r="K322" i="2"/>
  <c r="D310" i="4" s="1"/>
  <c r="J310" i="4" s="1"/>
  <c r="K381" i="2"/>
  <c r="D369" i="4" s="1"/>
  <c r="J369" i="4" s="1"/>
  <c r="K140" i="2"/>
  <c r="D128" i="4" s="1"/>
  <c r="J128" i="4" s="1"/>
  <c r="K139" i="2"/>
  <c r="D127" i="4" s="1"/>
  <c r="J127" i="4" s="1"/>
  <c r="K82" i="2"/>
  <c r="D70" i="4" s="1"/>
  <c r="J70" i="4" s="1"/>
  <c r="K361" i="2"/>
  <c r="D349" i="4" s="1"/>
  <c r="J349" i="4" s="1"/>
  <c r="K358" i="2"/>
  <c r="D346" i="4" s="1"/>
  <c r="J346" i="4" s="1"/>
  <c r="K331" i="2"/>
  <c r="D319" i="4" s="1"/>
  <c r="J319" i="4" s="1"/>
  <c r="K111" i="2"/>
  <c r="D99" i="4" s="1"/>
  <c r="J99" i="4" s="1"/>
  <c r="K386" i="2"/>
  <c r="D374" i="4" s="1"/>
  <c r="J374" i="4" s="1"/>
  <c r="K32" i="2"/>
  <c r="D20" i="4" s="1"/>
  <c r="J20" i="4" s="1"/>
  <c r="K265" i="2"/>
  <c r="D253" i="4" s="1"/>
  <c r="J253" i="4" s="1"/>
  <c r="K118" i="2"/>
  <c r="D106" i="4" s="1"/>
  <c r="J106" i="4" s="1"/>
  <c r="K305" i="2"/>
  <c r="D293" i="4" s="1"/>
  <c r="J293" i="4" s="1"/>
  <c r="K25" i="2"/>
  <c r="K28" i="2"/>
  <c r="D16" i="4" s="1"/>
  <c r="J16" i="4" s="1"/>
  <c r="K134" i="2"/>
  <c r="D122" i="4" s="1"/>
  <c r="J122" i="4" s="1"/>
  <c r="K240" i="2"/>
  <c r="D228" i="4" s="1"/>
  <c r="J228" i="4" s="1"/>
  <c r="K309" i="2"/>
  <c r="D297" i="4" s="1"/>
  <c r="J297" i="4" s="1"/>
  <c r="K384" i="2"/>
  <c r="D372" i="4" s="1"/>
  <c r="J372" i="4" s="1"/>
  <c r="K169" i="2"/>
  <c r="D157" i="4" s="1"/>
  <c r="J157" i="4" s="1"/>
  <c r="K292" i="2"/>
  <c r="D280" i="4" s="1"/>
  <c r="J280" i="4" s="1"/>
  <c r="K205" i="2"/>
  <c r="D193" i="4" s="1"/>
  <c r="J193" i="4" s="1"/>
  <c r="K44" i="2"/>
  <c r="D32" i="4" s="1"/>
  <c r="J32" i="4" s="1"/>
  <c r="K85" i="2"/>
  <c r="D73" i="4" s="1"/>
  <c r="J73" i="4" s="1"/>
  <c r="K227" i="2"/>
  <c r="D215" i="4" s="1"/>
  <c r="J215" i="4" s="1"/>
  <c r="K302" i="2"/>
  <c r="D290" i="4" s="1"/>
  <c r="J290" i="4" s="1"/>
  <c r="K297" i="2"/>
  <c r="D285" i="4" s="1"/>
  <c r="J285" i="4" s="1"/>
  <c r="K281" i="2"/>
  <c r="D269" i="4" s="1"/>
  <c r="J269" i="4" s="1"/>
  <c r="K364" i="2"/>
  <c r="D352" i="4" s="1"/>
  <c r="J352" i="4" s="1"/>
  <c r="K346" i="2"/>
  <c r="D334" i="4" s="1"/>
  <c r="J334" i="4" s="1"/>
  <c r="K188" i="2"/>
  <c r="D176" i="4" s="1"/>
  <c r="J176" i="4" s="1"/>
  <c r="K323" i="2"/>
  <c r="D311" i="4" s="1"/>
  <c r="J311" i="4" s="1"/>
  <c r="K321" i="2"/>
  <c r="D309" i="4" s="1"/>
  <c r="J309" i="4" s="1"/>
  <c r="K98" i="2"/>
  <c r="D86" i="4" s="1"/>
  <c r="J86" i="4" s="1"/>
  <c r="K363" i="2"/>
  <c r="D351" i="4" s="1"/>
  <c r="J351" i="4" s="1"/>
  <c r="K280" i="2"/>
  <c r="D268" i="4" s="1"/>
  <c r="J268" i="4" s="1"/>
  <c r="K289" i="2"/>
  <c r="D277" i="4" s="1"/>
  <c r="J277" i="4" s="1"/>
  <c r="K221" i="2"/>
  <c r="D209" i="4" s="1"/>
  <c r="J209" i="4" s="1"/>
  <c r="K23" i="2"/>
  <c r="K231" i="2"/>
  <c r="D219" i="4" s="1"/>
  <c r="J219" i="4" s="1"/>
  <c r="K125" i="2"/>
  <c r="D113" i="4" s="1"/>
  <c r="J113" i="4" s="1"/>
  <c r="K375" i="2"/>
  <c r="D363" i="4" s="1"/>
  <c r="J363" i="4" s="1"/>
  <c r="K252" i="2"/>
  <c r="D240" i="4" s="1"/>
  <c r="J240" i="4" s="1"/>
  <c r="K100" i="2"/>
  <c r="D88" i="4" s="1"/>
  <c r="J88" i="4" s="1"/>
  <c r="K39" i="2"/>
  <c r="D27" i="4" s="1"/>
  <c r="J27" i="4" s="1"/>
  <c r="K359" i="2"/>
  <c r="D347" i="4" s="1"/>
  <c r="J347" i="4" s="1"/>
  <c r="K354" i="2"/>
  <c r="D342" i="4" s="1"/>
  <c r="J342" i="4" s="1"/>
  <c r="K130" i="2"/>
  <c r="D118" i="4" s="1"/>
  <c r="J118" i="4" s="1"/>
  <c r="K151" i="2"/>
  <c r="D139" i="4" s="1"/>
  <c r="J139" i="4" s="1"/>
  <c r="K317" i="2"/>
  <c r="D305" i="4" s="1"/>
  <c r="J305" i="4" s="1"/>
  <c r="K355" i="2"/>
  <c r="D343" i="4" s="1"/>
  <c r="J343" i="4" s="1"/>
  <c r="K133" i="2"/>
  <c r="D121" i="4" s="1"/>
  <c r="J121" i="4" s="1"/>
  <c r="K301" i="2"/>
  <c r="D289" i="4" s="1"/>
  <c r="J289" i="4" s="1"/>
  <c r="K78" i="2"/>
  <c r="D66" i="4" s="1"/>
  <c r="J66" i="4" s="1"/>
  <c r="K40" i="2"/>
  <c r="D28" i="4" s="1"/>
  <c r="J28" i="4" s="1"/>
  <c r="K38" i="2"/>
  <c r="D26" i="4" s="1"/>
  <c r="J26" i="4" s="1"/>
  <c r="K264" i="2"/>
  <c r="D252" i="4" s="1"/>
  <c r="J252" i="4" s="1"/>
  <c r="K328" i="2"/>
  <c r="D316" i="4" s="1"/>
  <c r="J316" i="4" s="1"/>
  <c r="K71" i="2"/>
  <c r="D59" i="4" s="1"/>
  <c r="J59" i="4" s="1"/>
  <c r="K105" i="2"/>
  <c r="D93" i="4" s="1"/>
  <c r="J93" i="4" s="1"/>
  <c r="K241" i="2"/>
  <c r="D229" i="4" s="1"/>
  <c r="J229" i="4" s="1"/>
  <c r="K274" i="2"/>
  <c r="D262" i="4" s="1"/>
  <c r="J262" i="4" s="1"/>
  <c r="K94" i="2"/>
  <c r="D82" i="4" s="1"/>
  <c r="J82" i="4" s="1"/>
  <c r="K370" i="2"/>
  <c r="D358" i="4" s="1"/>
  <c r="J358" i="4" s="1"/>
  <c r="K186" i="2"/>
  <c r="D174" i="4" s="1"/>
  <c r="J174" i="4" s="1"/>
  <c r="K376" i="2"/>
  <c r="D364" i="4" s="1"/>
  <c r="J364" i="4" s="1"/>
  <c r="K195" i="2"/>
  <c r="D183" i="4" s="1"/>
  <c r="J183" i="4" s="1"/>
  <c r="K233" i="2"/>
  <c r="D221" i="4" s="1"/>
  <c r="J221" i="4" s="1"/>
  <c r="K356" i="2"/>
  <c r="D344" i="4" s="1"/>
  <c r="J344" i="4" s="1"/>
  <c r="K64" i="2"/>
  <c r="D52" i="4" s="1"/>
  <c r="J52" i="4" s="1"/>
  <c r="K340" i="2"/>
  <c r="D328" i="4" s="1"/>
  <c r="J328" i="4" s="1"/>
  <c r="K153" i="2"/>
  <c r="D141" i="4" s="1"/>
  <c r="J141" i="4" s="1"/>
  <c r="K72" i="2"/>
  <c r="D60" i="4" s="1"/>
  <c r="J60" i="4" s="1"/>
  <c r="K204" i="2"/>
  <c r="D192" i="4" s="1"/>
  <c r="J192" i="4" s="1"/>
  <c r="K128" i="2"/>
  <c r="D116" i="4" s="1"/>
  <c r="J116" i="4" s="1"/>
  <c r="K220" i="2"/>
  <c r="D208" i="4" s="1"/>
  <c r="J208" i="4" s="1"/>
  <c r="K316" i="2"/>
  <c r="D304" i="4" s="1"/>
  <c r="J304" i="4" s="1"/>
  <c r="K115" i="2"/>
  <c r="D103" i="4" s="1"/>
  <c r="J103" i="4" s="1"/>
  <c r="K26" i="2"/>
  <c r="D14" i="4" s="1"/>
  <c r="J14" i="4" s="1"/>
  <c r="K315" i="2"/>
  <c r="D303" i="4" s="1"/>
  <c r="J303" i="4" s="1"/>
  <c r="K338" i="2"/>
  <c r="D326" i="4" s="1"/>
  <c r="J326" i="4" s="1"/>
  <c r="K74" i="2"/>
  <c r="D62" i="4" s="1"/>
  <c r="J62" i="4" s="1"/>
  <c r="K183" i="2"/>
  <c r="D171" i="4" s="1"/>
  <c r="J171" i="4" s="1"/>
  <c r="K201" i="2"/>
  <c r="D189" i="4" s="1"/>
  <c r="J189" i="4" s="1"/>
  <c r="K36" i="2"/>
  <c r="D24" i="4" s="1"/>
  <c r="J24" i="4" s="1"/>
  <c r="K184" i="2"/>
  <c r="D172" i="4" s="1"/>
  <c r="J172" i="4" s="1"/>
  <c r="K250" i="2"/>
  <c r="D238" i="4" s="1"/>
  <c r="J238" i="4" s="1"/>
  <c r="K210" i="2"/>
  <c r="D198" i="4" s="1"/>
  <c r="J198" i="4" s="1"/>
  <c r="K319" i="2"/>
  <c r="D307" i="4" s="1"/>
  <c r="J307" i="4" s="1"/>
  <c r="K216" i="2"/>
  <c r="D204" i="4" s="1"/>
  <c r="J204" i="4" s="1"/>
  <c r="K55" i="2"/>
  <c r="D43" i="4" s="1"/>
  <c r="J43" i="4" s="1"/>
  <c r="K344" i="2"/>
  <c r="D332" i="4" s="1"/>
  <c r="J332" i="4" s="1"/>
  <c r="K314" i="2"/>
  <c r="D302" i="4" s="1"/>
  <c r="J302" i="4" s="1"/>
  <c r="K43" i="2"/>
  <c r="D31" i="4" s="1"/>
  <c r="J31" i="4" s="1"/>
  <c r="K93" i="2"/>
  <c r="D81" i="4" s="1"/>
  <c r="J81" i="4" s="1"/>
  <c r="K348" i="2"/>
  <c r="D336" i="4" s="1"/>
  <c r="J336" i="4" s="1"/>
  <c r="K192" i="2"/>
  <c r="D180" i="4" s="1"/>
  <c r="J180" i="4" s="1"/>
  <c r="K158" i="2"/>
  <c r="D146" i="4" s="1"/>
  <c r="J146" i="4" s="1"/>
  <c r="K226" i="2"/>
  <c r="D214" i="4" s="1"/>
  <c r="J214" i="4" s="1"/>
  <c r="K178" i="2"/>
  <c r="D166" i="4" s="1"/>
  <c r="J166" i="4" s="1"/>
  <c r="K41" i="2"/>
  <c r="D29" i="4" s="1"/>
  <c r="J29" i="4" s="1"/>
  <c r="K341" i="2"/>
  <c r="D329" i="4" s="1"/>
  <c r="J329" i="4" s="1"/>
  <c r="K211" i="2"/>
  <c r="D199" i="4" s="1"/>
  <c r="J199" i="4" s="1"/>
  <c r="K366" i="2"/>
  <c r="D354" i="4" s="1"/>
  <c r="J354" i="4" s="1"/>
  <c r="K248" i="2"/>
  <c r="D236" i="4" s="1"/>
  <c r="J236" i="4" s="1"/>
  <c r="K197" i="2"/>
  <c r="D185" i="4" s="1"/>
  <c r="J185" i="4" s="1"/>
  <c r="K66" i="2"/>
  <c r="D54" i="4" s="1"/>
  <c r="J54" i="4" s="1"/>
  <c r="K335" i="2"/>
  <c r="D323" i="4" s="1"/>
  <c r="J323" i="4" s="1"/>
  <c r="K109" i="2"/>
  <c r="D97" i="4" s="1"/>
  <c r="J97" i="4" s="1"/>
  <c r="K120" i="2"/>
  <c r="D108" i="4" s="1"/>
  <c r="J108" i="4" s="1"/>
  <c r="K62" i="2"/>
  <c r="D50" i="4" s="1"/>
  <c r="J50" i="4" s="1"/>
  <c r="K373" i="2"/>
  <c r="D361" i="4" s="1"/>
  <c r="J361" i="4" s="1"/>
  <c r="K261" i="2"/>
  <c r="D249" i="4" s="1"/>
  <c r="J249" i="4" s="1"/>
  <c r="K49" i="2"/>
  <c r="D37" i="4" s="1"/>
  <c r="J37" i="4" s="1"/>
  <c r="K311" i="2"/>
  <c r="D299" i="4" s="1"/>
  <c r="J299" i="4" s="1"/>
  <c r="K185" i="2"/>
  <c r="D173" i="4" s="1"/>
  <c r="J173" i="4" s="1"/>
  <c r="K191" i="2"/>
  <c r="D179" i="4" s="1"/>
  <c r="J179" i="4" s="1"/>
  <c r="K194" i="2"/>
  <c r="D182" i="4" s="1"/>
  <c r="J182" i="4" s="1"/>
  <c r="K189" i="2"/>
  <c r="D177" i="4" s="1"/>
  <c r="J177" i="4" s="1"/>
  <c r="K119" i="2"/>
  <c r="D107" i="4" s="1"/>
  <c r="J107" i="4" s="1"/>
  <c r="K219" i="2"/>
  <c r="D207" i="4" s="1"/>
  <c r="J207" i="4" s="1"/>
  <c r="K304" i="2"/>
  <c r="D292" i="4" s="1"/>
  <c r="J292" i="4" s="1"/>
  <c r="K171" i="2"/>
  <c r="D159" i="4" s="1"/>
  <c r="J159" i="4" s="1"/>
  <c r="K326" i="2"/>
  <c r="D314" i="4" s="1"/>
  <c r="J314" i="4" s="1"/>
  <c r="K148" i="2"/>
  <c r="D136" i="4" s="1"/>
  <c r="J136" i="4" s="1"/>
  <c r="K65" i="2"/>
  <c r="D53" i="4" s="1"/>
  <c r="J53" i="4" s="1"/>
  <c r="K232" i="2"/>
  <c r="D220" i="4" s="1"/>
  <c r="J220" i="4" s="1"/>
  <c r="K293" i="2"/>
  <c r="D281" i="4" s="1"/>
  <c r="J281" i="4" s="1"/>
  <c r="K223" i="2"/>
  <c r="D211" i="4" s="1"/>
  <c r="J211" i="4" s="1"/>
  <c r="K277" i="2"/>
  <c r="D265" i="4" s="1"/>
  <c r="J265" i="4" s="1"/>
  <c r="K282" i="2"/>
  <c r="D270" i="4" s="1"/>
  <c r="J270" i="4" s="1"/>
  <c r="K218" i="2"/>
  <c r="D206" i="4" s="1"/>
  <c r="J206" i="4" s="1"/>
  <c r="K353" i="2"/>
  <c r="D341" i="4" s="1"/>
  <c r="J341" i="4" s="1"/>
  <c r="K267" i="2"/>
  <c r="D255" i="4" s="1"/>
  <c r="J255" i="4" s="1"/>
  <c r="K284" i="2"/>
  <c r="D272" i="4" s="1"/>
  <c r="J272" i="4" s="1"/>
  <c r="K91" i="2"/>
  <c r="D79" i="4" s="1"/>
  <c r="J79" i="4" s="1"/>
  <c r="K286" i="2"/>
  <c r="D274" i="4" s="1"/>
  <c r="J274" i="4" s="1"/>
  <c r="K88" i="2"/>
  <c r="D76" i="4" s="1"/>
  <c r="J76" i="4" s="1"/>
  <c r="K164" i="2"/>
  <c r="D152" i="4" s="1"/>
  <c r="J152" i="4" s="1"/>
  <c r="K251" i="2"/>
  <c r="D239" i="4" s="1"/>
  <c r="J239" i="4" s="1"/>
  <c r="K202" i="2"/>
  <c r="D190" i="4" s="1"/>
  <c r="J190" i="4" s="1"/>
  <c r="K383" i="2"/>
  <c r="D371" i="4" s="1"/>
  <c r="J371" i="4" s="1"/>
  <c r="K99" i="2"/>
  <c r="D87" i="4" s="1"/>
  <c r="J87" i="4" s="1"/>
  <c r="K278" i="2"/>
  <c r="D266" i="4" s="1"/>
  <c r="J266" i="4" s="1"/>
  <c r="K287" i="2"/>
  <c r="D275" i="4" s="1"/>
  <c r="J275" i="4" s="1"/>
  <c r="K214" i="2"/>
  <c r="D202" i="4" s="1"/>
  <c r="J202" i="4" s="1"/>
  <c r="K132" i="2"/>
  <c r="D120" i="4" s="1"/>
  <c r="J120" i="4" s="1"/>
  <c r="K206" i="2"/>
  <c r="D194" i="4" s="1"/>
  <c r="J194" i="4" s="1"/>
  <c r="K48" i="2"/>
  <c r="D36" i="4" s="1"/>
  <c r="J36" i="4" s="1"/>
  <c r="K97" i="2"/>
  <c r="D85" i="4" s="1"/>
  <c r="J85" i="4" s="1"/>
  <c r="K215" i="2"/>
  <c r="D203" i="4" s="1"/>
  <c r="J203" i="4" s="1"/>
  <c r="K54" i="2"/>
  <c r="D42" i="4" s="1"/>
  <c r="J42" i="4" s="1"/>
  <c r="K157" i="2"/>
  <c r="D145" i="4" s="1"/>
  <c r="J145" i="4" s="1"/>
  <c r="K237" i="2"/>
  <c r="D225" i="4" s="1"/>
  <c r="J225" i="4" s="1"/>
  <c r="K272" i="2"/>
  <c r="D260" i="4" s="1"/>
  <c r="J260" i="4" s="1"/>
  <c r="K266" i="2"/>
  <c r="D254" i="4" s="1"/>
  <c r="J254" i="4" s="1"/>
  <c r="K244" i="2"/>
  <c r="D232" i="4" s="1"/>
  <c r="J232" i="4" s="1"/>
  <c r="K208" i="2"/>
  <c r="D196" i="4" s="1"/>
  <c r="J196" i="4" s="1"/>
  <c r="K270" i="2"/>
  <c r="D258" i="4" s="1"/>
  <c r="J258" i="4" s="1"/>
  <c r="K190" i="2"/>
  <c r="D178" i="4" s="1"/>
  <c r="J178" i="4" s="1"/>
  <c r="K246" i="2"/>
  <c r="D234" i="4" s="1"/>
  <c r="J234" i="4" s="1"/>
  <c r="K235" i="2"/>
  <c r="D223" i="4" s="1"/>
  <c r="J223" i="4" s="1"/>
  <c r="K177" i="2"/>
  <c r="D165" i="4" s="1"/>
  <c r="J165" i="4" s="1"/>
  <c r="K253" i="2"/>
  <c r="D241" i="4" s="1"/>
  <c r="J241" i="4" s="1"/>
  <c r="K294" i="2"/>
  <c r="D282" i="4" s="1"/>
  <c r="J282" i="4" s="1"/>
  <c r="K203" i="2"/>
  <c r="D191" i="4" s="1"/>
  <c r="J191" i="4" s="1"/>
  <c r="K380" i="2"/>
  <c r="D368" i="4" s="1"/>
  <c r="J368" i="4" s="1"/>
  <c r="K79" i="2"/>
  <c r="D67" i="4" s="1"/>
  <c r="J67" i="4" s="1"/>
  <c r="K58" i="2"/>
  <c r="D46" i="4" s="1"/>
  <c r="J46" i="4" s="1"/>
  <c r="K59" i="2"/>
  <c r="D47" i="4" s="1"/>
  <c r="J47" i="4" s="1"/>
  <c r="K56" i="2"/>
  <c r="D44" i="4" s="1"/>
  <c r="J44" i="4" s="1"/>
  <c r="K154" i="2"/>
  <c r="D142" i="4" s="1"/>
  <c r="J142" i="4" s="1"/>
  <c r="K152" i="2"/>
  <c r="D140" i="4" s="1"/>
  <c r="J140" i="4" s="1"/>
  <c r="K224" i="2"/>
  <c r="D212" i="4" s="1"/>
  <c r="J212" i="4" s="1"/>
  <c r="K290" i="2"/>
  <c r="D278" i="4" s="1"/>
  <c r="J278" i="4" s="1"/>
  <c r="K168" i="2"/>
  <c r="D156" i="4" s="1"/>
  <c r="J156" i="4" s="1"/>
  <c r="K166" i="2"/>
  <c r="D154" i="4" s="1"/>
  <c r="J154" i="4" s="1"/>
  <c r="K230" i="2"/>
  <c r="D218" i="4" s="1"/>
  <c r="J218" i="4" s="1"/>
  <c r="K129" i="2"/>
  <c r="D117" i="4" s="1"/>
  <c r="J117" i="4" s="1"/>
  <c r="K260" i="2"/>
  <c r="D248" i="4" s="1"/>
  <c r="J248" i="4" s="1"/>
  <c r="K175" i="2"/>
  <c r="D163" i="4" s="1"/>
  <c r="J163" i="4" s="1"/>
  <c r="K234" i="2"/>
  <c r="D222" i="4" s="1"/>
  <c r="J222" i="4" s="1"/>
  <c r="K182" i="2"/>
  <c r="D170" i="4" s="1"/>
  <c r="J170" i="4" s="1"/>
  <c r="K77" i="2"/>
  <c r="D65" i="4" s="1"/>
  <c r="J65" i="4" s="1"/>
  <c r="K257" i="2"/>
  <c r="D245" i="4" s="1"/>
  <c r="J245" i="4" s="1"/>
  <c r="K213" i="2"/>
  <c r="D201" i="4" s="1"/>
  <c r="J201" i="4" s="1"/>
  <c r="K126" i="2"/>
  <c r="D114" i="4" s="1"/>
  <c r="J114" i="4" s="1"/>
  <c r="K387" i="2"/>
  <c r="D375" i="4" s="1"/>
  <c r="J375" i="4" s="1"/>
  <c r="K146" i="2"/>
  <c r="D134" i="4" s="1"/>
  <c r="J134" i="4" s="1"/>
  <c r="K339" i="2"/>
  <c r="D327" i="4" s="1"/>
  <c r="J327" i="4" s="1"/>
  <c r="K137" i="2"/>
  <c r="D125" i="4" s="1"/>
  <c r="J125" i="4" s="1"/>
  <c r="K372" i="2"/>
  <c r="D360" i="4" s="1"/>
  <c r="J360" i="4" s="1"/>
  <c r="K173" i="2"/>
  <c r="D161" i="4" s="1"/>
  <c r="J161" i="4" s="1"/>
  <c r="K68" i="2"/>
  <c r="D56" i="4" s="1"/>
  <c r="J56" i="4" s="1"/>
  <c r="K347" i="2"/>
  <c r="D335" i="4" s="1"/>
  <c r="J335" i="4" s="1"/>
  <c r="K172" i="2"/>
  <c r="D160" i="4" s="1"/>
  <c r="J160" i="4" s="1"/>
  <c r="K144" i="2"/>
  <c r="D132" i="4" s="1"/>
  <c r="J132" i="4" s="1"/>
  <c r="K327" i="2"/>
  <c r="D315" i="4" s="1"/>
  <c r="J315" i="4" s="1"/>
  <c r="K34" i="2"/>
  <c r="D22" i="4" s="1"/>
  <c r="J22" i="4" s="1"/>
  <c r="K29" i="2"/>
  <c r="D17" i="4" s="1"/>
  <c r="J17" i="4" s="1"/>
  <c r="K45" i="2"/>
  <c r="D33" i="4" s="1"/>
  <c r="J33" i="4" s="1"/>
  <c r="K104" i="2"/>
  <c r="D92" i="4" s="1"/>
  <c r="J92" i="4" s="1"/>
  <c r="K228" i="2"/>
  <c r="D216" i="4" s="1"/>
  <c r="J216" i="4" s="1"/>
  <c r="K141" i="2"/>
  <c r="D129" i="4" s="1"/>
  <c r="J129" i="4" s="1"/>
  <c r="K377" i="2"/>
  <c r="D365" i="4" s="1"/>
  <c r="J365" i="4" s="1"/>
  <c r="K273" i="2"/>
  <c r="D261" i="4" s="1"/>
  <c r="J261" i="4" s="1"/>
  <c r="K108" i="2"/>
  <c r="D96" i="4" s="1"/>
  <c r="J96" i="4" s="1"/>
  <c r="K312" i="2"/>
  <c r="D300" i="4" s="1"/>
  <c r="J300" i="4" s="1"/>
  <c r="K121" i="2"/>
  <c r="D109" i="4" s="1"/>
  <c r="J109" i="4" s="1"/>
  <c r="K357" i="2"/>
  <c r="D345" i="4" s="1"/>
  <c r="J345" i="4" s="1"/>
  <c r="K371" i="2"/>
  <c r="D359" i="4" s="1"/>
  <c r="J359" i="4" s="1"/>
  <c r="K150" i="2"/>
  <c r="D138" i="4" s="1"/>
  <c r="J138" i="4" s="1"/>
  <c r="K379" i="2"/>
  <c r="D367" i="4" s="1"/>
  <c r="J367" i="4" s="1"/>
  <c r="K343" i="2"/>
  <c r="D331" i="4" s="1"/>
  <c r="J331" i="4" s="1"/>
  <c r="K46" i="2"/>
  <c r="D34" i="4" s="1"/>
  <c r="J34" i="4" s="1"/>
  <c r="K207" i="2"/>
  <c r="D195" i="4" s="1"/>
  <c r="J195" i="4" s="1"/>
  <c r="K159" i="2"/>
  <c r="D147" i="4" s="1"/>
  <c r="J147" i="4" s="1"/>
  <c r="K81" i="2"/>
  <c r="D69" i="4" s="1"/>
  <c r="J69" i="4" s="1"/>
  <c r="K263" i="2"/>
  <c r="D251" i="4" s="1"/>
  <c r="J251" i="4" s="1"/>
  <c r="K382" i="2"/>
  <c r="D370" i="4" s="1"/>
  <c r="J370" i="4" s="1"/>
  <c r="K167" i="2"/>
  <c r="D155" i="4" s="1"/>
  <c r="J155" i="4" s="1"/>
  <c r="K116" i="2"/>
  <c r="D104" i="4" s="1"/>
  <c r="J104" i="4" s="1"/>
  <c r="K136" i="2"/>
  <c r="D124" i="4" s="1"/>
  <c r="J124" i="4" s="1"/>
  <c r="K308" i="2"/>
  <c r="D296" i="4" s="1"/>
  <c r="J296" i="4" s="1"/>
  <c r="K30" i="2"/>
  <c r="D18" i="4" s="1"/>
  <c r="J18" i="4" s="1"/>
  <c r="K96" i="2"/>
  <c r="D84" i="4" s="1"/>
  <c r="J84" i="4" s="1"/>
  <c r="K255" i="2"/>
  <c r="D243" i="4" s="1"/>
  <c r="J243" i="4" s="1"/>
  <c r="K298" i="2"/>
  <c r="D286" i="4" s="1"/>
  <c r="J286" i="4" s="1"/>
  <c r="K156" i="2"/>
  <c r="D144" i="4" s="1"/>
  <c r="J144" i="4" s="1"/>
  <c r="K143" i="2"/>
  <c r="D131" i="4" s="1"/>
  <c r="J131" i="4" s="1"/>
  <c r="K262" i="2"/>
  <c r="D250" i="4" s="1"/>
  <c r="J250" i="4" s="1"/>
  <c r="K47" i="2"/>
  <c r="D35" i="4" s="1"/>
  <c r="J35" i="4" s="1"/>
  <c r="K360" i="2"/>
  <c r="D348" i="4" s="1"/>
  <c r="J348" i="4" s="1"/>
  <c r="K288" i="2"/>
  <c r="D276" i="4" s="1"/>
  <c r="J276" i="4" s="1"/>
  <c r="K123" i="2"/>
  <c r="D111" i="4" s="1"/>
  <c r="J111" i="4" s="1"/>
  <c r="K242" i="2"/>
  <c r="D230" i="4" s="1"/>
  <c r="J230" i="4" s="1"/>
  <c r="K112" i="2"/>
  <c r="D100" i="4" s="1"/>
  <c r="J100" i="4" s="1"/>
  <c r="K135" i="2"/>
  <c r="D123" i="4" s="1"/>
  <c r="J123" i="4" s="1"/>
  <c r="K163" i="2"/>
  <c r="D151" i="4" s="1"/>
  <c r="J151" i="4" s="1"/>
  <c r="K320" i="2"/>
  <c r="D308" i="4" s="1"/>
  <c r="J308" i="4" s="1"/>
  <c r="K374" i="2"/>
  <c r="D362" i="4" s="1"/>
  <c r="J362" i="4" s="1"/>
  <c r="K113" i="2"/>
  <c r="D101" i="4" s="1"/>
  <c r="J101" i="4" s="1"/>
  <c r="K131" i="2"/>
  <c r="D119" i="4" s="1"/>
  <c r="J119" i="4" s="1"/>
  <c r="K365" i="2"/>
  <c r="D353" i="4" s="1"/>
  <c r="J353" i="4" s="1"/>
  <c r="K324" i="2"/>
  <c r="D312" i="4" s="1"/>
  <c r="J312" i="4" s="1"/>
  <c r="K57" i="2"/>
  <c r="D45" i="4" s="1"/>
  <c r="J45" i="4" s="1"/>
  <c r="K217" i="2"/>
  <c r="D205" i="4" s="1"/>
  <c r="J205" i="4" s="1"/>
  <c r="K350" i="2"/>
  <c r="D338" i="4" s="1"/>
  <c r="J338" i="4" s="1"/>
  <c r="K268" i="2"/>
  <c r="D256" i="4" s="1"/>
  <c r="J256" i="4" s="1"/>
  <c r="K325" i="2"/>
  <c r="D313" i="4" s="1"/>
  <c r="J313" i="4" s="1"/>
  <c r="K258" i="2"/>
  <c r="D246" i="4" s="1"/>
  <c r="J246" i="4" s="1"/>
  <c r="K155" i="2"/>
  <c r="D143" i="4" s="1"/>
  <c r="J143" i="4" s="1"/>
  <c r="K147" i="2"/>
  <c r="D135" i="4" s="1"/>
  <c r="J135" i="4" s="1"/>
  <c r="K61" i="2"/>
  <c r="D49" i="4" s="1"/>
  <c r="J49" i="4" s="1"/>
  <c r="K170" i="2"/>
  <c r="D158" i="4" s="1"/>
  <c r="J158" i="4" s="1"/>
  <c r="K236" i="2"/>
  <c r="D224" i="4" s="1"/>
  <c r="J224" i="4" s="1"/>
  <c r="K180" i="2"/>
  <c r="D168" i="4" s="1"/>
  <c r="J168" i="4" s="1"/>
  <c r="K369" i="2"/>
  <c r="D357" i="4" s="1"/>
  <c r="J357" i="4" s="1"/>
  <c r="K127" i="2"/>
  <c r="D115" i="4" s="1"/>
  <c r="J115" i="4" s="1"/>
  <c r="K181" i="2"/>
  <c r="D169" i="4" s="1"/>
  <c r="J169" i="4" s="1"/>
  <c r="K238" i="2"/>
  <c r="D226" i="4" s="1"/>
  <c r="J226" i="4" s="1"/>
  <c r="K296" i="2"/>
  <c r="D284" i="4" s="1"/>
  <c r="J284" i="4" s="1"/>
  <c r="K101" i="2"/>
  <c r="D89" i="4" s="1"/>
  <c r="J89" i="4" s="1"/>
  <c r="K283" i="2"/>
  <c r="D271" i="4" s="1"/>
  <c r="J271" i="4" s="1"/>
  <c r="K271" i="2"/>
  <c r="D259" i="4" s="1"/>
  <c r="J259" i="4" s="1"/>
  <c r="K69" i="2"/>
  <c r="D57" i="4" s="1"/>
  <c r="J57" i="4" s="1"/>
  <c r="K313" i="2"/>
  <c r="D301" i="4" s="1"/>
  <c r="J301" i="4" s="1"/>
  <c r="K193" i="2"/>
  <c r="D181" i="4" s="1"/>
  <c r="J181" i="4" s="1"/>
  <c r="K329" i="2"/>
  <c r="D317" i="4" s="1"/>
  <c r="J317" i="4" s="1"/>
  <c r="K367" i="2"/>
  <c r="D355" i="4" s="1"/>
  <c r="J355" i="4" s="1"/>
  <c r="K124" i="2"/>
  <c r="D112" i="4" s="1"/>
  <c r="J112" i="4" s="1"/>
  <c r="K187" i="2"/>
  <c r="D175" i="4" s="1"/>
  <c r="J175" i="4" s="1"/>
  <c r="K52" i="2"/>
  <c r="D40" i="4" s="1"/>
  <c r="J40" i="4" s="1"/>
  <c r="K162" i="2"/>
  <c r="D150" i="4" s="1"/>
  <c r="J150" i="4" s="1"/>
  <c r="K84" i="2"/>
  <c r="D72" i="4" s="1"/>
  <c r="J72" i="4" s="1"/>
  <c r="K106" i="2"/>
  <c r="D94" i="4" s="1"/>
  <c r="J94" i="4" s="1"/>
  <c r="K307" i="2"/>
  <c r="D295" i="4" s="1"/>
  <c r="J295" i="4" s="1"/>
  <c r="K196" i="2"/>
  <c r="D184" i="4" s="1"/>
  <c r="J184" i="4" s="1"/>
  <c r="K295" i="2"/>
  <c r="D283" i="4" s="1"/>
  <c r="J283" i="4" s="1"/>
  <c r="K142" i="2"/>
  <c r="D130" i="4" s="1"/>
  <c r="J130" i="4" s="1"/>
  <c r="K378" i="2"/>
  <c r="D366" i="4" s="1"/>
  <c r="J366" i="4" s="1"/>
  <c r="K35" i="2"/>
  <c r="D23" i="4" s="1"/>
  <c r="J23" i="4" s="1"/>
  <c r="K70" i="2"/>
  <c r="D58" i="4" s="1"/>
  <c r="J58" i="4" s="1"/>
  <c r="K176" i="2"/>
  <c r="D164" i="4" s="1"/>
  <c r="J164" i="4" s="1"/>
  <c r="K247" i="2"/>
  <c r="D235" i="4" s="1"/>
  <c r="J235" i="4" s="1"/>
  <c r="K42" i="2"/>
  <c r="D30" i="4" s="1"/>
  <c r="J30" i="4" s="1"/>
  <c r="K351" i="2"/>
  <c r="D339" i="4" s="1"/>
  <c r="J339" i="4" s="1"/>
  <c r="K86" i="2"/>
  <c r="D74" i="4" s="1"/>
  <c r="J74" i="4" s="1"/>
  <c r="K276" i="2"/>
  <c r="D264" i="4" s="1"/>
  <c r="J264" i="4" s="1"/>
  <c r="K243" i="2"/>
  <c r="D231" i="4" s="1"/>
  <c r="J231" i="4" s="1"/>
  <c r="K342" i="2"/>
  <c r="D330" i="4" s="1"/>
  <c r="J330" i="4" s="1"/>
  <c r="K87" i="2"/>
  <c r="D75" i="4" s="1"/>
  <c r="J75" i="4" s="1"/>
  <c r="K76" i="2"/>
  <c r="D64" i="4" s="1"/>
  <c r="J64" i="4" s="1"/>
  <c r="K299" i="2"/>
  <c r="D287" i="4" s="1"/>
  <c r="J287" i="4" s="1"/>
  <c r="K24" i="2"/>
  <c r="K200" i="2"/>
  <c r="D188" i="4" s="1"/>
  <c r="J188" i="4" s="1"/>
  <c r="K80" i="2"/>
  <c r="D68" i="4" s="1"/>
  <c r="J68" i="4" s="1"/>
  <c r="K337" i="2"/>
  <c r="D325" i="4" s="1"/>
  <c r="J325" i="4" s="1"/>
  <c r="K279" i="2"/>
  <c r="D267" i="4" s="1"/>
  <c r="J267" i="4" s="1"/>
  <c r="K222" i="2"/>
  <c r="D210" i="4" s="1"/>
  <c r="J210" i="4" s="1"/>
  <c r="K199" i="2"/>
  <c r="D187" i="4" s="1"/>
  <c r="J187" i="4" s="1"/>
  <c r="K95" i="2"/>
  <c r="D83" i="4" s="1"/>
  <c r="J83" i="4" s="1"/>
  <c r="K336" i="2"/>
  <c r="D324" i="4" s="1"/>
  <c r="J324" i="4" s="1"/>
  <c r="K362" i="2"/>
  <c r="D350" i="4" s="1"/>
  <c r="J350" i="4" s="1"/>
  <c r="K239" i="2"/>
  <c r="D227" i="4" s="1"/>
  <c r="J227" i="4" s="1"/>
  <c r="K53" i="2"/>
  <c r="D41" i="4" s="1"/>
  <c r="J41" i="4" s="1"/>
  <c r="K229" i="2"/>
  <c r="D217" i="4" s="1"/>
  <c r="J217" i="4" s="1"/>
  <c r="K122" i="2"/>
  <c r="D110" i="4" s="1"/>
  <c r="J110" i="4" s="1"/>
  <c r="K212" i="2"/>
  <c r="D200" i="4" s="1"/>
  <c r="J200" i="4" s="1"/>
  <c r="K345" i="2"/>
  <c r="D333" i="4" s="1"/>
  <c r="J333" i="4" s="1"/>
  <c r="K318" i="2"/>
  <c r="D306" i="4" s="1"/>
  <c r="J306" i="4" s="1"/>
  <c r="K92" i="2"/>
  <c r="D80" i="4" s="1"/>
  <c r="J80" i="4" s="1"/>
  <c r="K306" i="2"/>
  <c r="D294" i="4" s="1"/>
  <c r="J294" i="4" s="1"/>
  <c r="K303" i="2"/>
  <c r="D291" i="4" s="1"/>
  <c r="J291" i="4" s="1"/>
  <c r="K300" i="2"/>
  <c r="D288" i="4" s="1"/>
  <c r="J288" i="4" s="1"/>
  <c r="K179" i="2"/>
  <c r="D167" i="4" s="1"/>
  <c r="J167" i="4" s="1"/>
  <c r="K138" i="2"/>
  <c r="D126" i="4" s="1"/>
  <c r="J126" i="4" s="1"/>
  <c r="K275" i="2"/>
  <c r="D263" i="4" s="1"/>
  <c r="J263" i="4" s="1"/>
  <c r="K102" i="2"/>
  <c r="D90" i="4" s="1"/>
  <c r="J90" i="4" s="1"/>
  <c r="K334" i="2"/>
  <c r="D322" i="4" s="1"/>
  <c r="J322" i="4" s="1"/>
  <c r="K37" i="2"/>
  <c r="D25" i="4" s="1"/>
  <c r="J25" i="4" s="1"/>
  <c r="K330" i="2"/>
  <c r="D318" i="4" s="1"/>
  <c r="J318" i="4" s="1"/>
  <c r="K249" i="2"/>
  <c r="D237" i="4" s="1"/>
  <c r="J237" i="4" s="1"/>
  <c r="K254" i="2"/>
  <c r="D242" i="4" s="1"/>
  <c r="J242" i="4" s="1"/>
  <c r="K310" i="2"/>
  <c r="D298" i="4" s="1"/>
  <c r="J298" i="4" s="1"/>
  <c r="K259" i="2"/>
  <c r="D247" i="4" s="1"/>
  <c r="J247" i="4" s="1"/>
  <c r="K145" i="2"/>
  <c r="D133" i="4" s="1"/>
  <c r="J133" i="4" s="1"/>
  <c r="K245" i="2"/>
  <c r="D233" i="4" s="1"/>
  <c r="J233" i="4" s="1"/>
  <c r="K385" i="2"/>
  <c r="D373" i="4" s="1"/>
  <c r="J373" i="4" s="1"/>
  <c r="K73" i="2"/>
  <c r="D61" i="4" s="1"/>
  <c r="J61" i="4" s="1"/>
  <c r="K160" i="2"/>
  <c r="D148" i="4" s="1"/>
  <c r="J148" i="4" s="1"/>
  <c r="K269" i="2"/>
  <c r="D257" i="4" s="1"/>
  <c r="J257" i="4" s="1"/>
  <c r="K165" i="2"/>
  <c r="D153" i="4" s="1"/>
  <c r="J153" i="4" s="1"/>
  <c r="K149" i="2"/>
  <c r="D137" i="4" s="1"/>
  <c r="J137" i="4" s="1"/>
  <c r="K117" i="2"/>
  <c r="D105" i="4" s="1"/>
  <c r="J105" i="4" s="1"/>
  <c r="K83" i="2"/>
  <c r="D71" i="4" s="1"/>
  <c r="J71" i="4" s="1"/>
  <c r="K60" i="2"/>
  <c r="D48" i="4" s="1"/>
  <c r="J48" i="4" s="1"/>
  <c r="K352" i="2"/>
  <c r="D340" i="4" s="1"/>
  <c r="J340" i="4" s="1"/>
  <c r="K174" i="2"/>
  <c r="D162" i="4" s="1"/>
  <c r="J162" i="4" s="1"/>
  <c r="K225" i="2"/>
  <c r="D213" i="4" s="1"/>
  <c r="J213" i="4" s="1"/>
  <c r="K161" i="2"/>
  <c r="D149" i="4" s="1"/>
  <c r="J149" i="4" s="1"/>
  <c r="K63" i="2"/>
  <c r="D51" i="4" s="1"/>
  <c r="J51" i="4" s="1"/>
  <c r="K114" i="2"/>
  <c r="D102" i="4" s="1"/>
  <c r="J102" i="4" s="1"/>
  <c r="K332" i="2"/>
  <c r="D320" i="4" s="1"/>
  <c r="J320" i="4" s="1"/>
  <c r="AV371" i="2"/>
  <c r="AV351" i="2"/>
  <c r="AV331" i="2"/>
  <c r="AV311" i="2"/>
  <c r="AV291" i="2"/>
  <c r="AV271" i="2"/>
  <c r="AV251" i="2"/>
  <c r="AV231" i="2"/>
  <c r="AV211" i="2"/>
  <c r="AV191" i="2"/>
  <c r="AV171" i="2"/>
  <c r="AV151" i="2"/>
  <c r="AV131" i="2"/>
  <c r="AV111" i="2"/>
  <c r="AV91" i="2"/>
  <c r="AV71" i="2"/>
  <c r="AV51" i="2"/>
  <c r="AV31" i="2"/>
  <c r="AJ376" i="2"/>
  <c r="AJ356" i="2"/>
  <c r="AJ336" i="2"/>
  <c r="AJ316" i="2"/>
  <c r="AJ296" i="2"/>
  <c r="AJ276" i="2"/>
  <c r="AJ256" i="2"/>
  <c r="AJ236" i="2"/>
  <c r="AJ216" i="2"/>
  <c r="AJ196" i="2"/>
  <c r="AJ176" i="2"/>
  <c r="AJ156" i="2"/>
  <c r="AJ136" i="2"/>
  <c r="AJ116" i="2"/>
  <c r="AJ96" i="2"/>
  <c r="AJ76" i="2"/>
  <c r="AJ56" i="2"/>
  <c r="AJ36" i="2"/>
  <c r="W381" i="2"/>
  <c r="W361" i="2"/>
  <c r="W341" i="2"/>
  <c r="W321" i="2"/>
  <c r="W301" i="2"/>
  <c r="W281" i="2"/>
  <c r="W261" i="2"/>
  <c r="W241" i="2"/>
  <c r="W221" i="2"/>
  <c r="W201" i="2"/>
  <c r="W181" i="2"/>
  <c r="W161" i="2"/>
  <c r="W141" i="2"/>
  <c r="W121" i="2"/>
  <c r="W101" i="2"/>
  <c r="W81" i="2"/>
  <c r="W61" i="2"/>
  <c r="W41" i="2"/>
  <c r="AV369" i="2"/>
  <c r="AV329" i="2"/>
  <c r="AV289" i="2"/>
  <c r="AV249" i="2"/>
  <c r="AV209" i="2"/>
  <c r="AV149" i="2"/>
  <c r="AV109" i="2"/>
  <c r="AV69" i="2"/>
  <c r="AV29" i="2"/>
  <c r="AJ354" i="2"/>
  <c r="AJ314" i="2"/>
  <c r="AJ274" i="2"/>
  <c r="AJ234" i="2"/>
  <c r="AJ174" i="2"/>
  <c r="AJ134" i="2"/>
  <c r="AJ94" i="2"/>
  <c r="AJ54" i="2"/>
  <c r="AJ34" i="2"/>
  <c r="W359" i="2"/>
  <c r="W319" i="2"/>
  <c r="W279" i="2"/>
  <c r="W259" i="2"/>
  <c r="W219" i="2"/>
  <c r="W179" i="2"/>
  <c r="W139" i="2"/>
  <c r="W99" i="2"/>
  <c r="W59" i="2"/>
  <c r="AV384" i="2"/>
  <c r="AV364" i="2"/>
  <c r="AV344" i="2"/>
  <c r="AV304" i="2"/>
  <c r="AV284" i="2"/>
  <c r="AV244" i="2"/>
  <c r="AV204" i="2"/>
  <c r="AV164" i="2"/>
  <c r="AV124" i="2"/>
  <c r="AV64" i="2"/>
  <c r="AV24" i="2"/>
  <c r="AJ349" i="2"/>
  <c r="AJ329" i="2"/>
  <c r="AJ289" i="2"/>
  <c r="AJ269" i="2"/>
  <c r="AJ229" i="2"/>
  <c r="AJ189" i="2"/>
  <c r="AJ149" i="2"/>
  <c r="AJ109" i="2"/>
  <c r="AJ69" i="2"/>
  <c r="AJ29" i="2"/>
  <c r="W374" i="2"/>
  <c r="W334" i="2"/>
  <c r="W294" i="2"/>
  <c r="W254" i="2"/>
  <c r="W214" i="2"/>
  <c r="W174" i="2"/>
  <c r="W134" i="2"/>
  <c r="W94" i="2"/>
  <c r="W54" i="2"/>
  <c r="AV23" i="2"/>
  <c r="AW23" i="2" s="1"/>
  <c r="AJ228" i="2"/>
  <c r="AJ168" i="2"/>
  <c r="AJ128" i="2"/>
  <c r="AJ88" i="2"/>
  <c r="AJ48" i="2"/>
  <c r="W373" i="2"/>
  <c r="W333" i="2"/>
  <c r="W293" i="2"/>
  <c r="W253" i="2"/>
  <c r="W213" i="2"/>
  <c r="AV370" i="2"/>
  <c r="AV350" i="2"/>
  <c r="AV330" i="2"/>
  <c r="AV310" i="2"/>
  <c r="AV290" i="2"/>
  <c r="AV270" i="2"/>
  <c r="AV250" i="2"/>
  <c r="AV230" i="2"/>
  <c r="AV210" i="2"/>
  <c r="AV190" i="2"/>
  <c r="AV170" i="2"/>
  <c r="AV150" i="2"/>
  <c r="AV130" i="2"/>
  <c r="AV110" i="2"/>
  <c r="AV90" i="2"/>
  <c r="AV70" i="2"/>
  <c r="AV50" i="2"/>
  <c r="AV30" i="2"/>
  <c r="AJ375" i="2"/>
  <c r="AJ355" i="2"/>
  <c r="AJ335" i="2"/>
  <c r="AJ315" i="2"/>
  <c r="AJ295" i="2"/>
  <c r="AJ275" i="2"/>
  <c r="AJ255" i="2"/>
  <c r="AJ235" i="2"/>
  <c r="AJ215" i="2"/>
  <c r="AJ195" i="2"/>
  <c r="AJ175" i="2"/>
  <c r="AJ155" i="2"/>
  <c r="AJ135" i="2"/>
  <c r="AJ115" i="2"/>
  <c r="AJ95" i="2"/>
  <c r="AJ75" i="2"/>
  <c r="AJ55" i="2"/>
  <c r="AJ35" i="2"/>
  <c r="W380" i="2"/>
  <c r="W360" i="2"/>
  <c r="W340" i="2"/>
  <c r="W320" i="2"/>
  <c r="W300" i="2"/>
  <c r="W280" i="2"/>
  <c r="W260" i="2"/>
  <c r="W240" i="2"/>
  <c r="W220" i="2"/>
  <c r="W200" i="2"/>
  <c r="W180" i="2"/>
  <c r="W160" i="2"/>
  <c r="W140" i="2"/>
  <c r="W120" i="2"/>
  <c r="W100" i="2"/>
  <c r="W80" i="2"/>
  <c r="W60" i="2"/>
  <c r="W40" i="2"/>
  <c r="AV349" i="2"/>
  <c r="AV309" i="2"/>
  <c r="AV269" i="2"/>
  <c r="AV229" i="2"/>
  <c r="AV189" i="2"/>
  <c r="AV169" i="2"/>
  <c r="AV129" i="2"/>
  <c r="AV89" i="2"/>
  <c r="AV49" i="2"/>
  <c r="AJ374" i="2"/>
  <c r="AJ334" i="2"/>
  <c r="AJ294" i="2"/>
  <c r="AJ254" i="2"/>
  <c r="AJ214" i="2"/>
  <c r="AJ194" i="2"/>
  <c r="AJ154" i="2"/>
  <c r="AJ114" i="2"/>
  <c r="AJ74" i="2"/>
  <c r="W379" i="2"/>
  <c r="W339" i="2"/>
  <c r="W299" i="2"/>
  <c r="W239" i="2"/>
  <c r="W199" i="2"/>
  <c r="W159" i="2"/>
  <c r="W119" i="2"/>
  <c r="W79" i="2"/>
  <c r="W39" i="2"/>
  <c r="AV368" i="2"/>
  <c r="AV348" i="2"/>
  <c r="AV328" i="2"/>
  <c r="AV308" i="2"/>
  <c r="AV288" i="2"/>
  <c r="AV268" i="2"/>
  <c r="AV248" i="2"/>
  <c r="AV228" i="2"/>
  <c r="AV208" i="2"/>
  <c r="AV188" i="2"/>
  <c r="AV168" i="2"/>
  <c r="AV148" i="2"/>
  <c r="AV128" i="2"/>
  <c r="AV108" i="2"/>
  <c r="AV88" i="2"/>
  <c r="AV68" i="2"/>
  <c r="AV48" i="2"/>
  <c r="AV28" i="2"/>
  <c r="AJ373" i="2"/>
  <c r="AJ353" i="2"/>
  <c r="AJ333" i="2"/>
  <c r="AJ313" i="2"/>
  <c r="AJ293" i="2"/>
  <c r="AJ273" i="2"/>
  <c r="AJ253" i="2"/>
  <c r="AJ233" i="2"/>
  <c r="AJ213" i="2"/>
  <c r="AJ193" i="2"/>
  <c r="AJ173" i="2"/>
  <c r="AJ153" i="2"/>
  <c r="AJ133" i="2"/>
  <c r="AJ113" i="2"/>
  <c r="AJ93" i="2"/>
  <c r="AJ73" i="2"/>
  <c r="AJ53" i="2"/>
  <c r="AJ33" i="2"/>
  <c r="W378" i="2"/>
  <c r="W358" i="2"/>
  <c r="W338" i="2"/>
  <c r="W318" i="2"/>
  <c r="W298" i="2"/>
  <c r="W278" i="2"/>
  <c r="W258" i="2"/>
  <c r="W238" i="2"/>
  <c r="W218" i="2"/>
  <c r="W198" i="2"/>
  <c r="W178" i="2"/>
  <c r="W158" i="2"/>
  <c r="W138" i="2"/>
  <c r="W118" i="2"/>
  <c r="W98" i="2"/>
  <c r="W78" i="2"/>
  <c r="W58" i="2"/>
  <c r="W38" i="2"/>
  <c r="AV387" i="2"/>
  <c r="AV367" i="2"/>
  <c r="AV347" i="2"/>
  <c r="AV327" i="2"/>
  <c r="AV307" i="2"/>
  <c r="AV287" i="2"/>
  <c r="AV267" i="2"/>
  <c r="AV247" i="2"/>
  <c r="AV227" i="2"/>
  <c r="AV207" i="2"/>
  <c r="AV187" i="2"/>
  <c r="AV167" i="2"/>
  <c r="AV147" i="2"/>
  <c r="AV127" i="2"/>
  <c r="AV107" i="2"/>
  <c r="AV87" i="2"/>
  <c r="AV67" i="2"/>
  <c r="AV47" i="2"/>
  <c r="AV27" i="2"/>
  <c r="AJ372" i="2"/>
  <c r="AJ352" i="2"/>
  <c r="AJ332" i="2"/>
  <c r="AJ312" i="2"/>
  <c r="AJ292" i="2"/>
  <c r="AJ272" i="2"/>
  <c r="AJ252" i="2"/>
  <c r="AJ232" i="2"/>
  <c r="AJ212" i="2"/>
  <c r="AJ192" i="2"/>
  <c r="AJ172" i="2"/>
  <c r="AJ152" i="2"/>
  <c r="AJ132" i="2"/>
  <c r="AJ112" i="2"/>
  <c r="AJ92" i="2"/>
  <c r="AJ72" i="2"/>
  <c r="AJ52" i="2"/>
  <c r="AJ32" i="2"/>
  <c r="W377" i="2"/>
  <c r="W357" i="2"/>
  <c r="W337" i="2"/>
  <c r="W317" i="2"/>
  <c r="W297" i="2"/>
  <c r="W277" i="2"/>
  <c r="W257" i="2"/>
  <c r="W237" i="2"/>
  <c r="W217" i="2"/>
  <c r="W197" i="2"/>
  <c r="W177" i="2"/>
  <c r="W157" i="2"/>
  <c r="W137" i="2"/>
  <c r="W117" i="2"/>
  <c r="W97" i="2"/>
  <c r="W77" i="2"/>
  <c r="W57" i="2"/>
  <c r="W37" i="2"/>
  <c r="AV386" i="2"/>
  <c r="AV366" i="2"/>
  <c r="AV346" i="2"/>
  <c r="AV326" i="2"/>
  <c r="AV306" i="2"/>
  <c r="AV286" i="2"/>
  <c r="AV266" i="2"/>
  <c r="AV246" i="2"/>
  <c r="AV226" i="2"/>
  <c r="AV206" i="2"/>
  <c r="AV186" i="2"/>
  <c r="AV166" i="2"/>
  <c r="AV146" i="2"/>
  <c r="AV126" i="2"/>
  <c r="AV106" i="2"/>
  <c r="AV86" i="2"/>
  <c r="AV66" i="2"/>
  <c r="AV46" i="2"/>
  <c r="AV26" i="2"/>
  <c r="AJ371" i="2"/>
  <c r="AJ351" i="2"/>
  <c r="AJ331" i="2"/>
  <c r="AJ311" i="2"/>
  <c r="AJ291" i="2"/>
  <c r="AJ271" i="2"/>
  <c r="AJ251" i="2"/>
  <c r="AJ231" i="2"/>
  <c r="AJ211" i="2"/>
  <c r="AJ191" i="2"/>
  <c r="AJ171" i="2"/>
  <c r="AJ151" i="2"/>
  <c r="AJ131" i="2"/>
  <c r="AJ111" i="2"/>
  <c r="AJ91" i="2"/>
  <c r="AJ71" i="2"/>
  <c r="AJ51" i="2"/>
  <c r="AJ31" i="2"/>
  <c r="W376" i="2"/>
  <c r="W356" i="2"/>
  <c r="W336" i="2"/>
  <c r="W316" i="2"/>
  <c r="W296" i="2"/>
  <c r="W276" i="2"/>
  <c r="W256" i="2"/>
  <c r="W236" i="2"/>
  <c r="W216" i="2"/>
  <c r="W196" i="2"/>
  <c r="W176" i="2"/>
  <c r="W156" i="2"/>
  <c r="W136" i="2"/>
  <c r="W116" i="2"/>
  <c r="W96" i="2"/>
  <c r="W76" i="2"/>
  <c r="W56" i="2"/>
  <c r="W36" i="2"/>
  <c r="AV385" i="2"/>
  <c r="AV365" i="2"/>
  <c r="AV345" i="2"/>
  <c r="AV325" i="2"/>
  <c r="AV305" i="2"/>
  <c r="AV285" i="2"/>
  <c r="AV265" i="2"/>
  <c r="AV245" i="2"/>
  <c r="AV225" i="2"/>
  <c r="AV205" i="2"/>
  <c r="AV185" i="2"/>
  <c r="AV165" i="2"/>
  <c r="AV145" i="2"/>
  <c r="AV125" i="2"/>
  <c r="AV105" i="2"/>
  <c r="AV85" i="2"/>
  <c r="AV65" i="2"/>
  <c r="AV45" i="2"/>
  <c r="AV25" i="2"/>
  <c r="AJ370" i="2"/>
  <c r="AJ350" i="2"/>
  <c r="AJ330" i="2"/>
  <c r="AJ310" i="2"/>
  <c r="AJ290" i="2"/>
  <c r="AJ270" i="2"/>
  <c r="AJ250" i="2"/>
  <c r="AJ230" i="2"/>
  <c r="AJ210" i="2"/>
  <c r="AJ190" i="2"/>
  <c r="AJ170" i="2"/>
  <c r="AJ150" i="2"/>
  <c r="AJ130" i="2"/>
  <c r="AJ110" i="2"/>
  <c r="AJ90" i="2"/>
  <c r="AJ70" i="2"/>
  <c r="AJ50" i="2"/>
  <c r="AJ30" i="2"/>
  <c r="W375" i="2"/>
  <c r="W355" i="2"/>
  <c r="W335" i="2"/>
  <c r="W315" i="2"/>
  <c r="W295" i="2"/>
  <c r="W275" i="2"/>
  <c r="W255" i="2"/>
  <c r="W235" i="2"/>
  <c r="W215" i="2"/>
  <c r="W195" i="2"/>
  <c r="W175" i="2"/>
  <c r="W155" i="2"/>
  <c r="W135" i="2"/>
  <c r="W115" i="2"/>
  <c r="W95" i="2"/>
  <c r="W75" i="2"/>
  <c r="W55" i="2"/>
  <c r="W35" i="2"/>
  <c r="AV324" i="2"/>
  <c r="AV264" i="2"/>
  <c r="AV224" i="2"/>
  <c r="AV184" i="2"/>
  <c r="AV144" i="2"/>
  <c r="AV104" i="2"/>
  <c r="AV84" i="2"/>
  <c r="AV44" i="2"/>
  <c r="AJ369" i="2"/>
  <c r="AJ309" i="2"/>
  <c r="AJ249" i="2"/>
  <c r="AJ209" i="2"/>
  <c r="AJ169" i="2"/>
  <c r="AJ129" i="2"/>
  <c r="AJ89" i="2"/>
  <c r="AJ49" i="2"/>
  <c r="W354" i="2"/>
  <c r="W314" i="2"/>
  <c r="W274" i="2"/>
  <c r="W234" i="2"/>
  <c r="W194" i="2"/>
  <c r="W154" i="2"/>
  <c r="W114" i="2"/>
  <c r="W74" i="2"/>
  <c r="W34" i="2"/>
  <c r="AV383" i="2"/>
  <c r="AV363" i="2"/>
  <c r="AV343" i="2"/>
  <c r="AV323" i="2"/>
  <c r="AV303" i="2"/>
  <c r="AV283" i="2"/>
  <c r="AV263" i="2"/>
  <c r="AV243" i="2"/>
  <c r="AV223" i="2"/>
  <c r="AV203" i="2"/>
  <c r="AV183" i="2"/>
  <c r="AV163" i="2"/>
  <c r="AV143" i="2"/>
  <c r="AV123" i="2"/>
  <c r="AV103" i="2"/>
  <c r="AV83" i="2"/>
  <c r="AV63" i="2"/>
  <c r="AV43" i="2"/>
  <c r="AJ368" i="2"/>
  <c r="AJ348" i="2"/>
  <c r="AJ328" i="2"/>
  <c r="AJ308" i="2"/>
  <c r="AJ288" i="2"/>
  <c r="AJ268" i="2"/>
  <c r="AJ248" i="2"/>
  <c r="AJ208" i="2"/>
  <c r="AJ188" i="2"/>
  <c r="AJ148" i="2"/>
  <c r="AJ108" i="2"/>
  <c r="AJ68" i="2"/>
  <c r="AJ28" i="2"/>
  <c r="W353" i="2"/>
  <c r="W313" i="2"/>
  <c r="W273" i="2"/>
  <c r="W233" i="2"/>
  <c r="W24" i="2"/>
  <c r="W52" i="2"/>
  <c r="W88" i="2"/>
  <c r="W124" i="2"/>
  <c r="W152" i="2"/>
  <c r="W188" i="2"/>
  <c r="W225" i="2"/>
  <c r="W263" i="2"/>
  <c r="W292" i="2"/>
  <c r="W330" i="2"/>
  <c r="W368" i="2"/>
  <c r="AJ41" i="2"/>
  <c r="AJ79" i="2"/>
  <c r="AJ117" i="2"/>
  <c r="AJ146" i="2"/>
  <c r="AJ184" i="2"/>
  <c r="AJ222" i="2"/>
  <c r="AJ260" i="2"/>
  <c r="AJ298" i="2"/>
  <c r="AJ327" i="2"/>
  <c r="AJ365" i="2"/>
  <c r="AV38" i="2"/>
  <c r="AV76" i="2"/>
  <c r="AV114" i="2"/>
  <c r="AV152" i="2"/>
  <c r="AV181" i="2"/>
  <c r="AV219" i="2"/>
  <c r="AV257" i="2"/>
  <c r="AV295" i="2"/>
  <c r="AV333" i="2"/>
  <c r="AV362" i="2"/>
  <c r="M68" i="2"/>
  <c r="F56" i="4" s="1"/>
  <c r="M88" i="2"/>
  <c r="F76" i="4" s="1"/>
  <c r="M108" i="2"/>
  <c r="F96" i="4" s="1"/>
  <c r="M128" i="2"/>
  <c r="F116" i="4" s="1"/>
  <c r="M148" i="2"/>
  <c r="F136" i="4" s="1"/>
  <c r="M168" i="2"/>
  <c r="F156" i="4" s="1"/>
  <c r="M188" i="2"/>
  <c r="F176" i="4" s="1"/>
  <c r="M208" i="2"/>
  <c r="F196" i="4" s="1"/>
  <c r="M228" i="2"/>
  <c r="F216" i="4" s="1"/>
  <c r="M248" i="2"/>
  <c r="F236" i="4" s="1"/>
  <c r="M268" i="2"/>
  <c r="F256" i="4" s="1"/>
  <c r="M288" i="2"/>
  <c r="F276" i="4" s="1"/>
  <c r="M308" i="2"/>
  <c r="F296" i="4" s="1"/>
  <c r="M328" i="2"/>
  <c r="F316" i="4" s="1"/>
  <c r="M348" i="2"/>
  <c r="F336" i="4" s="1"/>
  <c r="M368" i="2"/>
  <c r="F356" i="4" s="1"/>
  <c r="M54" i="2"/>
  <c r="F42" i="4" s="1"/>
  <c r="M69" i="2"/>
  <c r="F57" i="4" s="1"/>
  <c r="M89" i="2"/>
  <c r="F77" i="4" s="1"/>
  <c r="M109" i="2"/>
  <c r="F97" i="4" s="1"/>
  <c r="M129" i="2"/>
  <c r="F117" i="4" s="1"/>
  <c r="M149" i="2"/>
  <c r="F137" i="4" s="1"/>
  <c r="M169" i="2"/>
  <c r="F157" i="4" s="1"/>
  <c r="M189" i="2"/>
  <c r="F177" i="4" s="1"/>
  <c r="M209" i="2"/>
  <c r="F197" i="4" s="1"/>
  <c r="M229" i="2"/>
  <c r="F217" i="4" s="1"/>
  <c r="M249" i="2"/>
  <c r="F237" i="4" s="1"/>
  <c r="M269" i="2"/>
  <c r="F257" i="4" s="1"/>
  <c r="M289" i="2"/>
  <c r="F277" i="4" s="1"/>
  <c r="M309" i="2"/>
  <c r="F297" i="4" s="1"/>
  <c r="M329" i="2"/>
  <c r="F317" i="4" s="1"/>
  <c r="M349" i="2"/>
  <c r="F337" i="4" s="1"/>
  <c r="M369" i="2"/>
  <c r="F357" i="4" s="1"/>
  <c r="M65" i="2"/>
  <c r="F53" i="4" s="1"/>
  <c r="M87" i="2"/>
  <c r="F75" i="4" s="1"/>
  <c r="M111" i="2"/>
  <c r="F99" i="4" s="1"/>
  <c r="M133" i="2"/>
  <c r="F121" i="4" s="1"/>
  <c r="M155" i="2"/>
  <c r="F143" i="4" s="1"/>
  <c r="M177" i="2"/>
  <c r="F165" i="4" s="1"/>
  <c r="M199" i="2"/>
  <c r="F187" i="4" s="1"/>
  <c r="M221" i="2"/>
  <c r="F209" i="4" s="1"/>
  <c r="M243" i="2"/>
  <c r="M265" i="2"/>
  <c r="F253" i="4" s="1"/>
  <c r="M287" i="2"/>
  <c r="F275" i="4" s="1"/>
  <c r="M311" i="2"/>
  <c r="F299" i="4" s="1"/>
  <c r="M333" i="2"/>
  <c r="M355" i="2"/>
  <c r="M377" i="2"/>
  <c r="M66" i="2"/>
  <c r="F54" i="4" s="1"/>
  <c r="M112" i="2"/>
  <c r="F100" i="4" s="1"/>
  <c r="M156" i="2"/>
  <c r="F144" i="4" s="1"/>
  <c r="M200" i="2"/>
  <c r="F188" i="4" s="1"/>
  <c r="M244" i="2"/>
  <c r="F232" i="4" s="1"/>
  <c r="M290" i="2"/>
  <c r="F278" i="4" s="1"/>
  <c r="M312" i="2"/>
  <c r="F300" i="4" s="1"/>
  <c r="M356" i="2"/>
  <c r="F344" i="4" s="1"/>
  <c r="M67" i="2"/>
  <c r="F55" i="4" s="1"/>
  <c r="M113" i="2"/>
  <c r="F101" i="4" s="1"/>
  <c r="M157" i="2"/>
  <c r="F145" i="4" s="1"/>
  <c r="M201" i="2"/>
  <c r="F189" i="4" s="1"/>
  <c r="M245" i="2"/>
  <c r="F233" i="4" s="1"/>
  <c r="M291" i="2"/>
  <c r="F279" i="4" s="1"/>
  <c r="M335" i="2"/>
  <c r="M379" i="2"/>
  <c r="M70" i="2"/>
  <c r="F58" i="4" s="1"/>
  <c r="M90" i="2"/>
  <c r="F78" i="4" s="1"/>
  <c r="M134" i="2"/>
  <c r="M178" i="2"/>
  <c r="M222" i="2"/>
  <c r="M266" i="2"/>
  <c r="F254" i="4" s="1"/>
  <c r="M334" i="2"/>
  <c r="F322" i="4" s="1"/>
  <c r="M378" i="2"/>
  <c r="F366" i="4" s="1"/>
  <c r="M91" i="2"/>
  <c r="F79" i="4" s="1"/>
  <c r="M135" i="2"/>
  <c r="F123" i="4" s="1"/>
  <c r="M179" i="2"/>
  <c r="F167" i="4" s="1"/>
  <c r="M223" i="2"/>
  <c r="F211" i="4" s="1"/>
  <c r="M267" i="2"/>
  <c r="F255" i="4" s="1"/>
  <c r="M313" i="2"/>
  <c r="F301" i="4" s="1"/>
  <c r="M357" i="2"/>
  <c r="F345" i="4" s="1"/>
  <c r="M75" i="2"/>
  <c r="F63" i="4" s="1"/>
  <c r="M100" i="2"/>
  <c r="F88" i="4" s="1"/>
  <c r="M125" i="2"/>
  <c r="F113" i="4" s="1"/>
  <c r="M152" i="2"/>
  <c r="F140" i="4" s="1"/>
  <c r="M180" i="2"/>
  <c r="M205" i="2"/>
  <c r="F193" i="4" s="1"/>
  <c r="M232" i="2"/>
  <c r="F220" i="4" s="1"/>
  <c r="M257" i="2"/>
  <c r="M282" i="2"/>
  <c r="M307" i="2"/>
  <c r="F295" i="4" s="1"/>
  <c r="M337" i="2"/>
  <c r="F325" i="4" s="1"/>
  <c r="M362" i="2"/>
  <c r="F350" i="4" s="1"/>
  <c r="M387" i="2"/>
  <c r="F375" i="4" s="1"/>
  <c r="M338" i="2"/>
  <c r="F326" i="4" s="1"/>
  <c r="M77" i="2"/>
  <c r="F65" i="4" s="1"/>
  <c r="M127" i="2"/>
  <c r="F115" i="4" s="1"/>
  <c r="M182" i="2"/>
  <c r="F170" i="4" s="1"/>
  <c r="M234" i="2"/>
  <c r="F222" i="4" s="1"/>
  <c r="M284" i="2"/>
  <c r="F272" i="4" s="1"/>
  <c r="M339" i="2"/>
  <c r="F327" i="4" s="1"/>
  <c r="M78" i="2"/>
  <c r="F66" i="4" s="1"/>
  <c r="M130" i="2"/>
  <c r="F118" i="4" s="1"/>
  <c r="M183" i="2"/>
  <c r="M235" i="2"/>
  <c r="M285" i="2"/>
  <c r="F273" i="4" s="1"/>
  <c r="M340" i="2"/>
  <c r="M79" i="2"/>
  <c r="M131" i="2"/>
  <c r="F119" i="4" s="1"/>
  <c r="M184" i="2"/>
  <c r="M236" i="2"/>
  <c r="M286" i="2"/>
  <c r="F274" i="4" s="1"/>
  <c r="M341" i="2"/>
  <c r="F329" i="4" s="1"/>
  <c r="M80" i="2"/>
  <c r="F68" i="4" s="1"/>
  <c r="M132" i="2"/>
  <c r="F120" i="4" s="1"/>
  <c r="M160" i="2"/>
  <c r="F148" i="4" s="1"/>
  <c r="M212" i="2"/>
  <c r="F200" i="4" s="1"/>
  <c r="M262" i="2"/>
  <c r="F250" i="4" s="1"/>
  <c r="M317" i="2"/>
  <c r="F305" i="4" s="1"/>
  <c r="M76" i="2"/>
  <c r="F64" i="4" s="1"/>
  <c r="M101" i="2"/>
  <c r="F89" i="4" s="1"/>
  <c r="M126" i="2"/>
  <c r="F114" i="4" s="1"/>
  <c r="M153" i="2"/>
  <c r="F141" i="4" s="1"/>
  <c r="M181" i="2"/>
  <c r="M206" i="2"/>
  <c r="F194" i="4" s="1"/>
  <c r="M233" i="2"/>
  <c r="M258" i="2"/>
  <c r="M283" i="2"/>
  <c r="M310" i="2"/>
  <c r="F298" i="4" s="1"/>
  <c r="M363" i="2"/>
  <c r="M102" i="2"/>
  <c r="M154" i="2"/>
  <c r="F142" i="4" s="1"/>
  <c r="M207" i="2"/>
  <c r="F195" i="4" s="1"/>
  <c r="M259" i="2"/>
  <c r="F247" i="4" s="1"/>
  <c r="M314" i="2"/>
  <c r="F302" i="4" s="1"/>
  <c r="M364" i="2"/>
  <c r="F352" i="4" s="1"/>
  <c r="M103" i="2"/>
  <c r="F91" i="4" s="1"/>
  <c r="M158" i="2"/>
  <c r="F146" i="4" s="1"/>
  <c r="M210" i="2"/>
  <c r="F198" i="4" s="1"/>
  <c r="M260" i="2"/>
  <c r="F248" i="4" s="1"/>
  <c r="M315" i="2"/>
  <c r="F303" i="4" s="1"/>
  <c r="M365" i="2"/>
  <c r="F353" i="4" s="1"/>
  <c r="M104" i="2"/>
  <c r="F92" i="4" s="1"/>
  <c r="M159" i="2"/>
  <c r="M211" i="2"/>
  <c r="F199" i="4" s="1"/>
  <c r="M261" i="2"/>
  <c r="M316" i="2"/>
  <c r="M366" i="2"/>
  <c r="F354" i="4" s="1"/>
  <c r="M105" i="2"/>
  <c r="F93" i="4" s="1"/>
  <c r="M185" i="2"/>
  <c r="F173" i="4" s="1"/>
  <c r="M237" i="2"/>
  <c r="M292" i="2"/>
  <c r="F280" i="4" s="1"/>
  <c r="M342" i="2"/>
  <c r="F330" i="4" s="1"/>
  <c r="M367" i="2"/>
  <c r="F355" i="4" s="1"/>
  <c r="M61" i="2"/>
  <c r="F49" i="4" s="1"/>
  <c r="M98" i="2"/>
  <c r="F86" i="4" s="1"/>
  <c r="M140" i="2"/>
  <c r="F128" i="4" s="1"/>
  <c r="M173" i="2"/>
  <c r="F161" i="4" s="1"/>
  <c r="M215" i="2"/>
  <c r="F203" i="4" s="1"/>
  <c r="M251" i="2"/>
  <c r="F239" i="4" s="1"/>
  <c r="M293" i="2"/>
  <c r="F281" i="4" s="1"/>
  <c r="M324" i="2"/>
  <c r="F312" i="4" s="1"/>
  <c r="M360" i="2"/>
  <c r="F348" i="4" s="1"/>
  <c r="M106" i="2"/>
  <c r="F94" i="4" s="1"/>
  <c r="M175" i="2"/>
  <c r="M253" i="2"/>
  <c r="M326" i="2"/>
  <c r="F314" i="4" s="1"/>
  <c r="M64" i="2"/>
  <c r="M143" i="2"/>
  <c r="M218" i="2"/>
  <c r="M296" i="2"/>
  <c r="M371" i="2"/>
  <c r="F359" i="4" s="1"/>
  <c r="M71" i="2"/>
  <c r="F59" i="4" s="1"/>
  <c r="M110" i="2"/>
  <c r="F98" i="4" s="1"/>
  <c r="M144" i="2"/>
  <c r="F132" i="4" s="1"/>
  <c r="M186" i="2"/>
  <c r="F174" i="4" s="1"/>
  <c r="M219" i="2"/>
  <c r="F207" i="4" s="1"/>
  <c r="M255" i="2"/>
  <c r="F243" i="4" s="1"/>
  <c r="M297" i="2"/>
  <c r="F285" i="4" s="1"/>
  <c r="M330" i="2"/>
  <c r="F318" i="4" s="1"/>
  <c r="M372" i="2"/>
  <c r="F360" i="4" s="1"/>
  <c r="M146" i="2"/>
  <c r="F134" i="4" s="1"/>
  <c r="M374" i="2"/>
  <c r="F362" i="4" s="1"/>
  <c r="M116" i="2"/>
  <c r="M191" i="2"/>
  <c r="F179" i="4" s="1"/>
  <c r="M264" i="2"/>
  <c r="M336" i="2"/>
  <c r="M375" i="2"/>
  <c r="M81" i="2"/>
  <c r="M62" i="2"/>
  <c r="M99" i="2"/>
  <c r="M141" i="2"/>
  <c r="F129" i="4" s="1"/>
  <c r="M174" i="2"/>
  <c r="F162" i="4" s="1"/>
  <c r="M216" i="2"/>
  <c r="F204" i="4" s="1"/>
  <c r="M252" i="2"/>
  <c r="F240" i="4" s="1"/>
  <c r="M294" i="2"/>
  <c r="F282" i="4" s="1"/>
  <c r="M325" i="2"/>
  <c r="F313" i="4" s="1"/>
  <c r="M361" i="2"/>
  <c r="F349" i="4" s="1"/>
  <c r="M63" i="2"/>
  <c r="F51" i="4" s="1"/>
  <c r="M142" i="2"/>
  <c r="F130" i="4" s="1"/>
  <c r="M217" i="2"/>
  <c r="F205" i="4" s="1"/>
  <c r="M295" i="2"/>
  <c r="F283" i="4" s="1"/>
  <c r="M370" i="2"/>
  <c r="F358" i="4" s="1"/>
  <c r="M107" i="2"/>
  <c r="F95" i="4" s="1"/>
  <c r="M176" i="2"/>
  <c r="M254" i="2"/>
  <c r="M327" i="2"/>
  <c r="F315" i="4" s="1"/>
  <c r="M72" i="2"/>
  <c r="F60" i="4" s="1"/>
  <c r="M114" i="2"/>
  <c r="M145" i="2"/>
  <c r="F133" i="4" s="1"/>
  <c r="M187" i="2"/>
  <c r="F175" i="4" s="1"/>
  <c r="M220" i="2"/>
  <c r="F208" i="4" s="1"/>
  <c r="M256" i="2"/>
  <c r="F244" i="4" s="1"/>
  <c r="M298" i="2"/>
  <c r="F286" i="4" s="1"/>
  <c r="M331" i="2"/>
  <c r="F319" i="4" s="1"/>
  <c r="M373" i="2"/>
  <c r="F361" i="4" s="1"/>
  <c r="M73" i="2"/>
  <c r="F61" i="4" s="1"/>
  <c r="M115" i="2"/>
  <c r="F103" i="4" s="1"/>
  <c r="M190" i="2"/>
  <c r="F178" i="4" s="1"/>
  <c r="M224" i="2"/>
  <c r="F212" i="4" s="1"/>
  <c r="M263" i="2"/>
  <c r="F251" i="4" s="1"/>
  <c r="M299" i="2"/>
  <c r="F287" i="4" s="1"/>
  <c r="M332" i="2"/>
  <c r="F320" i="4" s="1"/>
  <c r="M74" i="2"/>
  <c r="M147" i="2"/>
  <c r="F135" i="4" s="1"/>
  <c r="M225" i="2"/>
  <c r="F213" i="4" s="1"/>
  <c r="M300" i="2"/>
  <c r="M117" i="2"/>
  <c r="M150" i="2"/>
  <c r="F138" i="4" s="1"/>
  <c r="M119" i="2"/>
  <c r="M172" i="2"/>
  <c r="F160" i="4" s="1"/>
  <c r="M241" i="2"/>
  <c r="F229" i="4" s="1"/>
  <c r="M304" i="2"/>
  <c r="F292" i="4" s="1"/>
  <c r="M359" i="2"/>
  <c r="F347" i="4" s="1"/>
  <c r="M55" i="2"/>
  <c r="F43" i="4" s="1"/>
  <c r="M193" i="2"/>
  <c r="F181" i="4" s="1"/>
  <c r="M306" i="2"/>
  <c r="F294" i="4" s="1"/>
  <c r="M56" i="2"/>
  <c r="F44" i="4" s="1"/>
  <c r="M194" i="2"/>
  <c r="F182" i="4" s="1"/>
  <c r="M318" i="2"/>
  <c r="F306" i="4" s="1"/>
  <c r="M57" i="2"/>
  <c r="F45" i="4" s="1"/>
  <c r="M195" i="2"/>
  <c r="F183" i="4" s="1"/>
  <c r="M319" i="2"/>
  <c r="F307" i="4" s="1"/>
  <c r="M58" i="2"/>
  <c r="M270" i="2"/>
  <c r="F258" i="4" s="1"/>
  <c r="M383" i="2"/>
  <c r="M136" i="2"/>
  <c r="M271" i="2"/>
  <c r="F259" i="4" s="1"/>
  <c r="M384" i="2"/>
  <c r="M137" i="2"/>
  <c r="M272" i="2"/>
  <c r="F260" i="4" s="1"/>
  <c r="M385" i="2"/>
  <c r="F373" i="4" s="1"/>
  <c r="M138" i="2"/>
  <c r="F126" i="4" s="1"/>
  <c r="M273" i="2"/>
  <c r="F261" i="4" s="1"/>
  <c r="M386" i="2"/>
  <c r="F374" i="4" s="1"/>
  <c r="M83" i="2"/>
  <c r="F71" i="4" s="1"/>
  <c r="M203" i="2"/>
  <c r="F191" i="4" s="1"/>
  <c r="M343" i="2"/>
  <c r="F331" i="4" s="1"/>
  <c r="M84" i="2"/>
  <c r="F72" i="4" s="1"/>
  <c r="M204" i="2"/>
  <c r="F192" i="4" s="1"/>
  <c r="M344" i="2"/>
  <c r="F332" i="4" s="1"/>
  <c r="M276" i="2"/>
  <c r="F264" i="4" s="1"/>
  <c r="M86" i="2"/>
  <c r="F74" i="4" s="1"/>
  <c r="M214" i="2"/>
  <c r="M346" i="2"/>
  <c r="F334" i="4" s="1"/>
  <c r="M163" i="2"/>
  <c r="M278" i="2"/>
  <c r="M164" i="2"/>
  <c r="M279" i="2"/>
  <c r="M94" i="2"/>
  <c r="M230" i="2"/>
  <c r="F218" i="4" s="1"/>
  <c r="M351" i="2"/>
  <c r="F339" i="4" s="1"/>
  <c r="M95" i="2"/>
  <c r="F83" i="4" s="1"/>
  <c r="M231" i="2"/>
  <c r="F219" i="4" s="1"/>
  <c r="M352" i="2"/>
  <c r="F340" i="4" s="1"/>
  <c r="M96" i="2"/>
  <c r="F84" i="4" s="1"/>
  <c r="M238" i="2"/>
  <c r="F226" i="4" s="1"/>
  <c r="M353" i="2"/>
  <c r="F341" i="4" s="1"/>
  <c r="M97" i="2"/>
  <c r="F85" i="4" s="1"/>
  <c r="M239" i="2"/>
  <c r="F227" i="4" s="1"/>
  <c r="M354" i="2"/>
  <c r="F342" i="4" s="1"/>
  <c r="M171" i="2"/>
  <c r="F159" i="4" s="1"/>
  <c r="M303" i="2"/>
  <c r="F291" i="4" s="1"/>
  <c r="M120" i="2"/>
  <c r="M192" i="2"/>
  <c r="F180" i="4" s="1"/>
  <c r="M242" i="2"/>
  <c r="M305" i="2"/>
  <c r="F293" i="4" s="1"/>
  <c r="M376" i="2"/>
  <c r="M121" i="2"/>
  <c r="M246" i="2"/>
  <c r="F234" i="4" s="1"/>
  <c r="M380" i="2"/>
  <c r="M122" i="2"/>
  <c r="F110" i="4" s="1"/>
  <c r="M247" i="2"/>
  <c r="F235" i="4" s="1"/>
  <c r="M381" i="2"/>
  <c r="F369" i="4" s="1"/>
  <c r="M123" i="2"/>
  <c r="F111" i="4" s="1"/>
  <c r="M250" i="2"/>
  <c r="F238" i="4" s="1"/>
  <c r="M382" i="2"/>
  <c r="F370" i="4" s="1"/>
  <c r="M124" i="2"/>
  <c r="F112" i="4" s="1"/>
  <c r="M196" i="2"/>
  <c r="F184" i="4" s="1"/>
  <c r="M320" i="2"/>
  <c r="F308" i="4" s="1"/>
  <c r="M59" i="2"/>
  <c r="F47" i="4" s="1"/>
  <c r="M197" i="2"/>
  <c r="F185" i="4" s="1"/>
  <c r="M321" i="2"/>
  <c r="F309" i="4" s="1"/>
  <c r="M60" i="2"/>
  <c r="M198" i="2"/>
  <c r="M322" i="2"/>
  <c r="M82" i="2"/>
  <c r="M202" i="2"/>
  <c r="M323" i="2"/>
  <c r="M139" i="2"/>
  <c r="M274" i="2"/>
  <c r="M151" i="2"/>
  <c r="F139" i="4" s="1"/>
  <c r="M275" i="2"/>
  <c r="F263" i="4" s="1"/>
  <c r="M85" i="2"/>
  <c r="F73" i="4" s="1"/>
  <c r="M161" i="2"/>
  <c r="F149" i="4" s="1"/>
  <c r="M213" i="2"/>
  <c r="F201" i="4" s="1"/>
  <c r="M345" i="2"/>
  <c r="F333" i="4" s="1"/>
  <c r="M162" i="2"/>
  <c r="F150" i="4" s="1"/>
  <c r="M277" i="2"/>
  <c r="F265" i="4" s="1"/>
  <c r="M92" i="2"/>
  <c r="F80" i="4" s="1"/>
  <c r="M226" i="2"/>
  <c r="F214" i="4" s="1"/>
  <c r="M347" i="2"/>
  <c r="F335" i="4" s="1"/>
  <c r="M93" i="2"/>
  <c r="F81" i="4" s="1"/>
  <c r="M227" i="2"/>
  <c r="F215" i="4" s="1"/>
  <c r="M350" i="2"/>
  <c r="F338" i="4" s="1"/>
  <c r="M165" i="2"/>
  <c r="F153" i="4" s="1"/>
  <c r="M280" i="2"/>
  <c r="M166" i="2"/>
  <c r="F154" i="4" s="1"/>
  <c r="M281" i="2"/>
  <c r="M167" i="2"/>
  <c r="F155" i="4" s="1"/>
  <c r="M301" i="2"/>
  <c r="M170" i="2"/>
  <c r="F158" i="4" s="1"/>
  <c r="M302" i="2"/>
  <c r="F290" i="4" s="1"/>
  <c r="M118" i="2"/>
  <c r="F106" i="4" s="1"/>
  <c r="M240" i="2"/>
  <c r="F228" i="4" s="1"/>
  <c r="M358" i="2"/>
  <c r="F346" i="4" s="1"/>
  <c r="V26" i="5"/>
  <c r="U27" i="5"/>
  <c r="G56" i="6"/>
  <c r="G58" i="6"/>
  <c r="G63" i="6"/>
  <c r="G81" i="6"/>
  <c r="G83" i="6"/>
  <c r="G99" i="6"/>
  <c r="G120" i="6"/>
  <c r="G123" i="6"/>
  <c r="G124" i="6"/>
  <c r="G125" i="6"/>
  <c r="G126" i="6"/>
  <c r="G136" i="6"/>
  <c r="G160" i="6"/>
  <c r="G184" i="6"/>
  <c r="G186" i="6"/>
  <c r="G187" i="6"/>
  <c r="G220" i="6"/>
  <c r="G222" i="6"/>
  <c r="G224" i="6"/>
  <c r="G225" i="6"/>
  <c r="G260" i="6"/>
  <c r="G327" i="6"/>
  <c r="G361" i="6"/>
  <c r="G364" i="6"/>
  <c r="D21" i="16"/>
  <c r="G20" i="16"/>
  <c r="E20" i="16"/>
  <c r="H19" i="16"/>
  <c r="I19" i="16" s="1"/>
  <c r="C20" i="16"/>
  <c r="F20" i="16" s="1"/>
  <c r="D13" i="6"/>
  <c r="D20" i="8"/>
  <c r="N18" i="8"/>
  <c r="G18" i="8"/>
  <c r="D21" i="5"/>
  <c r="E21" i="5" s="1"/>
  <c r="AK23" i="2"/>
  <c r="L20" i="8" l="1"/>
  <c r="E20" i="8"/>
  <c r="H21" i="5"/>
  <c r="Y26" i="5"/>
  <c r="X26" i="5"/>
  <c r="G367" i="6"/>
  <c r="G137" i="6"/>
  <c r="G357" i="6"/>
  <c r="G133" i="6"/>
  <c r="G127" i="6"/>
  <c r="G270" i="6"/>
  <c r="G263" i="6"/>
  <c r="G261" i="6"/>
  <c r="G363" i="6"/>
  <c r="G362" i="6"/>
  <c r="G135" i="6"/>
  <c r="G235" i="6"/>
  <c r="G236" i="6"/>
  <c r="G226" i="6"/>
  <c r="H70" i="4"/>
  <c r="K70" i="4"/>
  <c r="H71" i="4"/>
  <c r="G360" i="6"/>
  <c r="G233" i="6"/>
  <c r="G342" i="6"/>
  <c r="G339" i="6"/>
  <c r="G333" i="6"/>
  <c r="G332" i="6"/>
  <c r="G329" i="6"/>
  <c r="G326" i="6"/>
  <c r="G324" i="6"/>
  <c r="G93" i="6"/>
  <c r="G319" i="6"/>
  <c r="G90" i="6"/>
  <c r="G285" i="6"/>
  <c r="G181" i="6"/>
  <c r="G86" i="6"/>
  <c r="G283" i="6"/>
  <c r="G169" i="6"/>
  <c r="G84" i="6"/>
  <c r="G141" i="6"/>
  <c r="G258" i="6"/>
  <c r="G121" i="6"/>
  <c r="G221" i="6"/>
  <c r="G98" i="6"/>
  <c r="G281" i="6"/>
  <c r="G166" i="6"/>
  <c r="G185" i="6"/>
  <c r="G279" i="6"/>
  <c r="G87" i="6"/>
  <c r="G359" i="6"/>
  <c r="G325" i="6"/>
  <c r="G177" i="6"/>
  <c r="G262" i="6"/>
  <c r="G174" i="6"/>
  <c r="G356" i="6"/>
  <c r="G323" i="6"/>
  <c r="G354" i="6"/>
  <c r="G320" i="6"/>
  <c r="G82" i="6"/>
  <c r="G353" i="6"/>
  <c r="G219" i="6"/>
  <c r="G165" i="6"/>
  <c r="G122" i="6"/>
  <c r="G49" i="6"/>
  <c r="G347" i="6"/>
  <c r="G307" i="6"/>
  <c r="G257" i="6"/>
  <c r="G218" i="6"/>
  <c r="G80" i="6"/>
  <c r="G382" i="6"/>
  <c r="G346" i="6"/>
  <c r="G304" i="6"/>
  <c r="G254" i="6"/>
  <c r="G215" i="6"/>
  <c r="G157" i="6"/>
  <c r="G79" i="6"/>
  <c r="AK24" i="2"/>
  <c r="AK25" i="2" s="1"/>
  <c r="AK26" i="2" s="1"/>
  <c r="AK27" i="2" s="1"/>
  <c r="AK28" i="2" s="1"/>
  <c r="AK29" i="2" s="1"/>
  <c r="AK30" i="2" s="1"/>
  <c r="AK31" i="2" s="1"/>
  <c r="AK32" i="2" s="1"/>
  <c r="AK33" i="2" s="1"/>
  <c r="AK34" i="2" s="1"/>
  <c r="AK35" i="2" s="1"/>
  <c r="AK36" i="2" s="1"/>
  <c r="AK37" i="2" s="1"/>
  <c r="AK38" i="2" s="1"/>
  <c r="AK39" i="2" s="1"/>
  <c r="AK40" i="2" s="1"/>
  <c r="AK41" i="2" s="1"/>
  <c r="AK42" i="2" s="1"/>
  <c r="AK43" i="2" s="1"/>
  <c r="AK44" i="2" s="1"/>
  <c r="AK45" i="2" s="1"/>
  <c r="AK46" i="2" s="1"/>
  <c r="AK47" i="2" s="1"/>
  <c r="AK48" i="2" s="1"/>
  <c r="AK49" i="2" s="1"/>
  <c r="AK50" i="2" s="1"/>
  <c r="AK51" i="2" s="1"/>
  <c r="AK52" i="2" s="1"/>
  <c r="AK53" i="2" s="1"/>
  <c r="AK54" i="2" s="1"/>
  <c r="G381" i="6"/>
  <c r="G344" i="6"/>
  <c r="G303" i="6"/>
  <c r="G251" i="6"/>
  <c r="G214" i="6"/>
  <c r="G156" i="6"/>
  <c r="G119" i="6"/>
  <c r="G78" i="6"/>
  <c r="G380" i="6"/>
  <c r="G343" i="6"/>
  <c r="G301" i="6"/>
  <c r="G247" i="6"/>
  <c r="G211" i="6"/>
  <c r="G155" i="6"/>
  <c r="G118" i="6"/>
  <c r="G75" i="6"/>
  <c r="G377" i="6"/>
  <c r="G300" i="6"/>
  <c r="G246" i="6"/>
  <c r="G207" i="6"/>
  <c r="G151" i="6"/>
  <c r="G117" i="6"/>
  <c r="G72" i="6"/>
  <c r="G376" i="6"/>
  <c r="G340" i="6"/>
  <c r="G299" i="6"/>
  <c r="G245" i="6"/>
  <c r="G205" i="6"/>
  <c r="G149" i="6"/>
  <c r="G113" i="6"/>
  <c r="G66" i="6"/>
  <c r="G373" i="6"/>
  <c r="G297" i="6"/>
  <c r="G243" i="6"/>
  <c r="G202" i="6"/>
  <c r="G147" i="6"/>
  <c r="G107" i="6"/>
  <c r="G64" i="6"/>
  <c r="G338" i="6"/>
  <c r="G293" i="6"/>
  <c r="G242" i="6"/>
  <c r="G199" i="6"/>
  <c r="G146" i="6"/>
  <c r="G106" i="6"/>
  <c r="G366" i="6"/>
  <c r="G337" i="6"/>
  <c r="G287" i="6"/>
  <c r="G240" i="6"/>
  <c r="G198" i="6"/>
  <c r="G105" i="6"/>
  <c r="G62" i="6"/>
  <c r="G365" i="6"/>
  <c r="G336" i="6"/>
  <c r="G286" i="6"/>
  <c r="G239" i="6"/>
  <c r="G195" i="6"/>
  <c r="G139" i="6"/>
  <c r="G104" i="6"/>
  <c r="G60" i="6"/>
  <c r="F262" i="4"/>
  <c r="G269" i="6"/>
  <c r="F87" i="4"/>
  <c r="G94" i="6"/>
  <c r="F225" i="4"/>
  <c r="G232" i="6"/>
  <c r="F224" i="4"/>
  <c r="G231" i="6"/>
  <c r="H110" i="4"/>
  <c r="V110" i="4"/>
  <c r="W117" i="6" s="1"/>
  <c r="K110" i="4"/>
  <c r="V181" i="4"/>
  <c r="W188" i="6" s="1"/>
  <c r="H181" i="4"/>
  <c r="K181" i="4"/>
  <c r="V286" i="4"/>
  <c r="W293" i="6" s="1"/>
  <c r="H286" i="4"/>
  <c r="K286" i="4"/>
  <c r="V375" i="4"/>
  <c r="W382" i="6" s="1"/>
  <c r="H375" i="4"/>
  <c r="K375" i="4"/>
  <c r="V194" i="4"/>
  <c r="W201" i="6" s="1"/>
  <c r="H194" i="4"/>
  <c r="K194" i="4"/>
  <c r="V323" i="4"/>
  <c r="W330" i="6" s="1"/>
  <c r="K323" i="4"/>
  <c r="H323" i="4"/>
  <c r="V221" i="4"/>
  <c r="W228" i="6" s="1"/>
  <c r="H221" i="4"/>
  <c r="K221" i="4"/>
  <c r="V269" i="4"/>
  <c r="W276" i="6" s="1"/>
  <c r="K269" i="4"/>
  <c r="H269" i="4"/>
  <c r="H91" i="4"/>
  <c r="V91" i="4"/>
  <c r="W98" i="6" s="1"/>
  <c r="K91" i="4"/>
  <c r="G61" i="6"/>
  <c r="F172" i="4"/>
  <c r="G179" i="6"/>
  <c r="F166" i="4"/>
  <c r="G173" i="6"/>
  <c r="K217" i="4"/>
  <c r="V217" i="4"/>
  <c r="W224" i="6" s="1"/>
  <c r="H217" i="4"/>
  <c r="V301" i="4"/>
  <c r="W308" i="6" s="1"/>
  <c r="K301" i="4"/>
  <c r="H301" i="4"/>
  <c r="V243" i="4"/>
  <c r="W250" i="6" s="1"/>
  <c r="H243" i="4"/>
  <c r="K243" i="4"/>
  <c r="H114" i="4"/>
  <c r="K114" i="4"/>
  <c r="V114" i="4"/>
  <c r="W121" i="6" s="1"/>
  <c r="V120" i="4"/>
  <c r="W127" i="6" s="1"/>
  <c r="K120" i="4"/>
  <c r="H120" i="4"/>
  <c r="H54" i="4"/>
  <c r="V54" i="4"/>
  <c r="W61" i="6" s="1"/>
  <c r="K54" i="4"/>
  <c r="K183" i="4"/>
  <c r="H183" i="4"/>
  <c r="V183" i="4"/>
  <c r="W190" i="6" s="1"/>
  <c r="V285" i="4"/>
  <c r="W292" i="6" s="1"/>
  <c r="H285" i="4"/>
  <c r="K285" i="4"/>
  <c r="K98" i="4"/>
  <c r="H98" i="4"/>
  <c r="V98" i="4"/>
  <c r="W105" i="6" s="1"/>
  <c r="G223" i="6"/>
  <c r="F311" i="4"/>
  <c r="G318" i="6"/>
  <c r="F267" i="4"/>
  <c r="G274" i="6"/>
  <c r="F69" i="4"/>
  <c r="G76" i="6"/>
  <c r="F131" i="4"/>
  <c r="G138" i="6"/>
  <c r="F245" i="4"/>
  <c r="G252" i="6"/>
  <c r="F343" i="4"/>
  <c r="G350" i="6"/>
  <c r="V41" i="4"/>
  <c r="W48" i="6" s="1"/>
  <c r="K41" i="4"/>
  <c r="L41" i="4" s="1"/>
  <c r="H41" i="4"/>
  <c r="V57" i="4"/>
  <c r="W64" i="6" s="1"/>
  <c r="K57" i="4"/>
  <c r="H57" i="4"/>
  <c r="H84" i="4"/>
  <c r="K84" i="4"/>
  <c r="V84" i="4"/>
  <c r="W91" i="6" s="1"/>
  <c r="H201" i="4"/>
  <c r="K201" i="4"/>
  <c r="V201" i="4"/>
  <c r="W208" i="6" s="1"/>
  <c r="K202" i="4"/>
  <c r="H202" i="4"/>
  <c r="V202" i="4"/>
  <c r="W209" i="6" s="1"/>
  <c r="V185" i="4"/>
  <c r="W192" i="6" s="1"/>
  <c r="K185" i="4"/>
  <c r="H185" i="4"/>
  <c r="V347" i="4"/>
  <c r="W354" i="6" s="1"/>
  <c r="K347" i="4"/>
  <c r="H347" i="4"/>
  <c r="V346" i="4"/>
  <c r="W353" i="6" s="1"/>
  <c r="K346" i="4"/>
  <c r="H346" i="4"/>
  <c r="V78" i="4"/>
  <c r="W85" i="6" s="1"/>
  <c r="H78" i="4"/>
  <c r="K78" i="4"/>
  <c r="F364" i="4"/>
  <c r="G371" i="6"/>
  <c r="F105" i="4"/>
  <c r="G112" i="6"/>
  <c r="F363" i="4"/>
  <c r="G370" i="6"/>
  <c r="F52" i="4"/>
  <c r="G59" i="6"/>
  <c r="F271" i="4"/>
  <c r="G278" i="6"/>
  <c r="F321" i="4"/>
  <c r="G328" i="6"/>
  <c r="V227" i="4"/>
  <c r="W234" i="6" s="1"/>
  <c r="K227" i="4"/>
  <c r="H227" i="4"/>
  <c r="V259" i="4"/>
  <c r="W266" i="6" s="1"/>
  <c r="H259" i="4"/>
  <c r="K259" i="4"/>
  <c r="V18" i="4"/>
  <c r="W25" i="6" s="1"/>
  <c r="H18" i="4"/>
  <c r="K18" i="4"/>
  <c r="V245" i="4"/>
  <c r="W252" i="6" s="1"/>
  <c r="K245" i="4"/>
  <c r="H245" i="4"/>
  <c r="V275" i="4"/>
  <c r="W282" i="6" s="1"/>
  <c r="H275" i="4"/>
  <c r="K275" i="4"/>
  <c r="V236" i="4"/>
  <c r="W243" i="6" s="1"/>
  <c r="H236" i="4"/>
  <c r="K236" i="4"/>
  <c r="H174" i="4"/>
  <c r="V174" i="4"/>
  <c r="W181" i="6" s="1"/>
  <c r="K174" i="4"/>
  <c r="V215" i="4"/>
  <c r="W222" i="6" s="1"/>
  <c r="H215" i="4"/>
  <c r="K215" i="4"/>
  <c r="V38" i="4"/>
  <c r="W45" i="6" s="1"/>
  <c r="K38" i="4"/>
  <c r="H38" i="4"/>
  <c r="F268" i="4"/>
  <c r="G275" i="6"/>
  <c r="F124" i="4"/>
  <c r="G131" i="6"/>
  <c r="F288" i="4"/>
  <c r="G295" i="6"/>
  <c r="F324" i="4"/>
  <c r="G331" i="6"/>
  <c r="F304" i="4"/>
  <c r="G311" i="6"/>
  <c r="V320" i="4"/>
  <c r="W327" i="6" s="1"/>
  <c r="K320" i="4"/>
  <c r="H320" i="4"/>
  <c r="V350" i="4"/>
  <c r="W357" i="6" s="1"/>
  <c r="K350" i="4"/>
  <c r="H350" i="4"/>
  <c r="V271" i="4"/>
  <c r="W278" i="6" s="1"/>
  <c r="H271" i="4"/>
  <c r="K271" i="4"/>
  <c r="V296" i="4"/>
  <c r="W303" i="6" s="1"/>
  <c r="H296" i="4"/>
  <c r="K296" i="4"/>
  <c r="V65" i="4"/>
  <c r="W72" i="6" s="1"/>
  <c r="H65" i="4"/>
  <c r="K65" i="4"/>
  <c r="V266" i="4"/>
  <c r="W273" i="6" s="1"/>
  <c r="K266" i="4"/>
  <c r="H266" i="4"/>
  <c r="V354" i="4"/>
  <c r="W361" i="6" s="1"/>
  <c r="K354" i="4"/>
  <c r="H354" i="4"/>
  <c r="H358" i="4"/>
  <c r="K358" i="4"/>
  <c r="V358" i="4"/>
  <c r="W365" i="6" s="1"/>
  <c r="V73" i="4"/>
  <c r="W80" i="6" s="1"/>
  <c r="K73" i="4"/>
  <c r="H73" i="4"/>
  <c r="V337" i="4"/>
  <c r="W344" i="6" s="1"/>
  <c r="H337" i="4"/>
  <c r="K337" i="4"/>
  <c r="F230" i="4"/>
  <c r="G237" i="6"/>
  <c r="F371" i="4"/>
  <c r="G378" i="6"/>
  <c r="F242" i="4"/>
  <c r="G249" i="6"/>
  <c r="F241" i="4"/>
  <c r="G248" i="6"/>
  <c r="K102" i="4"/>
  <c r="H102" i="4"/>
  <c r="V102" i="4"/>
  <c r="W109" i="6" s="1"/>
  <c r="V324" i="4"/>
  <c r="W331" i="6" s="1"/>
  <c r="H324" i="4"/>
  <c r="K324" i="4"/>
  <c r="V58" i="4"/>
  <c r="W65" i="6" s="1"/>
  <c r="H58" i="4"/>
  <c r="K58" i="4"/>
  <c r="H119" i="4"/>
  <c r="K119" i="4"/>
  <c r="V119" i="4"/>
  <c r="W126" i="6" s="1"/>
  <c r="V124" i="4"/>
  <c r="W131" i="6" s="1"/>
  <c r="H124" i="4"/>
  <c r="K124" i="4"/>
  <c r="V216" i="4"/>
  <c r="W223" i="6" s="1"/>
  <c r="K216" i="4"/>
  <c r="H216" i="4"/>
  <c r="V170" i="4"/>
  <c r="W177" i="6" s="1"/>
  <c r="H170" i="4"/>
  <c r="K170" i="4"/>
  <c r="H165" i="4"/>
  <c r="V165" i="4"/>
  <c r="W172" i="6" s="1"/>
  <c r="K165" i="4"/>
  <c r="V87" i="4"/>
  <c r="W94" i="6" s="1"/>
  <c r="H87" i="4"/>
  <c r="K87" i="4"/>
  <c r="H159" i="4"/>
  <c r="V159" i="4"/>
  <c r="W166" i="6" s="1"/>
  <c r="K159" i="4"/>
  <c r="V199" i="4"/>
  <c r="W206" i="6" s="1"/>
  <c r="K199" i="4"/>
  <c r="H199" i="4"/>
  <c r="V171" i="4"/>
  <c r="W178" i="6" s="1"/>
  <c r="K171" i="4"/>
  <c r="H171" i="4"/>
  <c r="V82" i="4"/>
  <c r="W89" i="6" s="1"/>
  <c r="H82" i="4"/>
  <c r="K82" i="4"/>
  <c r="H240" i="4"/>
  <c r="V240" i="4"/>
  <c r="W247" i="6" s="1"/>
  <c r="K240" i="4"/>
  <c r="V32" i="4"/>
  <c r="W39" i="6" s="1"/>
  <c r="K32" i="4"/>
  <c r="H32" i="4"/>
  <c r="V127" i="4"/>
  <c r="W134" i="6" s="1"/>
  <c r="K127" i="4"/>
  <c r="H127" i="4"/>
  <c r="G183" i="6"/>
  <c r="F223" i="4"/>
  <c r="G230" i="6"/>
  <c r="V51" i="4"/>
  <c r="W58" i="6" s="1"/>
  <c r="K51" i="4"/>
  <c r="H51" i="4"/>
  <c r="V83" i="4"/>
  <c r="W90" i="6" s="1"/>
  <c r="K83" i="4"/>
  <c r="H83" i="4"/>
  <c r="V284" i="4"/>
  <c r="W291" i="6" s="1"/>
  <c r="K284" i="4"/>
  <c r="H284" i="4"/>
  <c r="V104" i="4"/>
  <c r="W111" i="6" s="1"/>
  <c r="H104" i="4"/>
  <c r="K104" i="4"/>
  <c r="V222" i="4"/>
  <c r="W229" i="6" s="1"/>
  <c r="H222" i="4"/>
  <c r="K222" i="4"/>
  <c r="V371" i="4"/>
  <c r="W378" i="6" s="1"/>
  <c r="H371" i="4"/>
  <c r="K371" i="4"/>
  <c r="V62" i="4"/>
  <c r="W69" i="6" s="1"/>
  <c r="H62" i="4"/>
  <c r="K62" i="4"/>
  <c r="K39" i="4"/>
  <c r="V39" i="4"/>
  <c r="W46" i="6" s="1"/>
  <c r="H39" i="4"/>
  <c r="X24" i="2"/>
  <c r="G284" i="6"/>
  <c r="G182" i="6"/>
  <c r="F48" i="4"/>
  <c r="G55" i="6"/>
  <c r="F202" i="4"/>
  <c r="G209" i="6"/>
  <c r="F62" i="4"/>
  <c r="G69" i="6"/>
  <c r="F169" i="4"/>
  <c r="G176" i="6"/>
  <c r="V149" i="4"/>
  <c r="W156" i="6" s="1"/>
  <c r="H149" i="4"/>
  <c r="K149" i="4"/>
  <c r="V187" i="4"/>
  <c r="W194" i="6" s="1"/>
  <c r="H187" i="4"/>
  <c r="K187" i="4"/>
  <c r="V226" i="4"/>
  <c r="W233" i="6" s="1"/>
  <c r="K226" i="4"/>
  <c r="H226" i="4"/>
  <c r="V155" i="4"/>
  <c r="W162" i="6" s="1"/>
  <c r="K155" i="4"/>
  <c r="H155" i="4"/>
  <c r="H163" i="4"/>
  <c r="V163" i="4"/>
  <c r="W170" i="6" s="1"/>
  <c r="K163" i="4"/>
  <c r="V190" i="4"/>
  <c r="W197" i="6" s="1"/>
  <c r="K190" i="4"/>
  <c r="H190" i="4"/>
  <c r="V29" i="4"/>
  <c r="W36" i="6" s="1"/>
  <c r="K29" i="4"/>
  <c r="H29" i="4"/>
  <c r="V229" i="4"/>
  <c r="W236" i="6" s="1"/>
  <c r="H229" i="4"/>
  <c r="K229" i="4"/>
  <c r="V280" i="4"/>
  <c r="W287" i="6" s="1"/>
  <c r="K280" i="4"/>
  <c r="H280" i="4"/>
  <c r="H21" i="4"/>
  <c r="V21" i="4"/>
  <c r="W28" i="6" s="1"/>
  <c r="K21" i="4"/>
  <c r="G282" i="6"/>
  <c r="G180" i="6"/>
  <c r="G241" i="6"/>
  <c r="G167" i="6"/>
  <c r="G267" i="6"/>
  <c r="G305" i="6"/>
  <c r="G67" i="6"/>
  <c r="G265" i="6"/>
  <c r="G164" i="6"/>
  <c r="G163" i="6"/>
  <c r="G101" i="6"/>
  <c r="G302" i="6"/>
  <c r="G227" i="6"/>
  <c r="G200" i="6"/>
  <c r="G162" i="6"/>
  <c r="G100" i="6"/>
  <c r="F289" i="4"/>
  <c r="G296" i="6"/>
  <c r="F368" i="4"/>
  <c r="G375" i="6"/>
  <c r="F284" i="4"/>
  <c r="G291" i="6"/>
  <c r="F90" i="4"/>
  <c r="G97" i="6"/>
  <c r="F210" i="4"/>
  <c r="G217" i="6"/>
  <c r="V233" i="4"/>
  <c r="W240" i="6" s="1"/>
  <c r="K233" i="4"/>
  <c r="H233" i="4"/>
  <c r="V74" i="4"/>
  <c r="W81" i="6" s="1"/>
  <c r="H74" i="4"/>
  <c r="K74" i="4"/>
  <c r="V338" i="4"/>
  <c r="W345" i="6" s="1"/>
  <c r="H338" i="4"/>
  <c r="K338" i="4"/>
  <c r="V300" i="4"/>
  <c r="W307" i="6" s="1"/>
  <c r="K300" i="4"/>
  <c r="H300" i="4"/>
  <c r="V67" i="4"/>
  <c r="W74" i="6" s="1"/>
  <c r="H67" i="4"/>
  <c r="K67" i="4"/>
  <c r="V281" i="4"/>
  <c r="W288" i="6" s="1"/>
  <c r="K281" i="4"/>
  <c r="H281" i="4"/>
  <c r="K198" i="4"/>
  <c r="V198" i="4"/>
  <c r="W205" i="6" s="1"/>
  <c r="H198" i="4"/>
  <c r="H118" i="4"/>
  <c r="V118" i="4"/>
  <c r="W125" i="6" s="1"/>
  <c r="K118" i="4"/>
  <c r="V99" i="4"/>
  <c r="W106" i="6" s="1"/>
  <c r="H99" i="4"/>
  <c r="K99" i="4"/>
  <c r="F127" i="4"/>
  <c r="G134" i="6"/>
  <c r="F82" i="4"/>
  <c r="G89" i="6"/>
  <c r="F125" i="4"/>
  <c r="G132" i="6"/>
  <c r="F107" i="4"/>
  <c r="G114" i="6"/>
  <c r="F50" i="4"/>
  <c r="G57" i="6"/>
  <c r="F206" i="4"/>
  <c r="G213" i="6"/>
  <c r="F351" i="4"/>
  <c r="G358" i="6"/>
  <c r="F270" i="4"/>
  <c r="G277" i="6"/>
  <c r="F365" i="4"/>
  <c r="G372" i="6"/>
  <c r="H133" i="4"/>
  <c r="V133" i="4"/>
  <c r="W140" i="6" s="1"/>
  <c r="K133" i="4"/>
  <c r="V339" i="4"/>
  <c r="W346" i="6" s="1"/>
  <c r="K339" i="4"/>
  <c r="H339" i="4"/>
  <c r="V205" i="4"/>
  <c r="W212" i="6" s="1"/>
  <c r="K205" i="4"/>
  <c r="H205" i="4"/>
  <c r="V96" i="4"/>
  <c r="W103" i="6" s="1"/>
  <c r="H96" i="4"/>
  <c r="K96" i="4"/>
  <c r="V368" i="4"/>
  <c r="W375" i="6" s="1"/>
  <c r="H368" i="4"/>
  <c r="K368" i="4"/>
  <c r="H220" i="4"/>
  <c r="V220" i="4"/>
  <c r="W227" i="6" s="1"/>
  <c r="K220" i="4"/>
  <c r="V238" i="4"/>
  <c r="W245" i="6" s="1"/>
  <c r="K238" i="4"/>
  <c r="H238" i="4"/>
  <c r="V342" i="4"/>
  <c r="W349" i="6" s="1"/>
  <c r="H342" i="4"/>
  <c r="K342" i="4"/>
  <c r="V319" i="4"/>
  <c r="W326" i="6" s="1"/>
  <c r="H319" i="4"/>
  <c r="K319" i="4"/>
  <c r="F269" i="4"/>
  <c r="G276" i="6"/>
  <c r="F109" i="4"/>
  <c r="G116" i="6"/>
  <c r="F372" i="4"/>
  <c r="G379" i="6"/>
  <c r="F102" i="4"/>
  <c r="G109" i="6"/>
  <c r="F122" i="4"/>
  <c r="G129" i="6"/>
  <c r="V247" i="4"/>
  <c r="W254" i="6" s="1"/>
  <c r="H247" i="4"/>
  <c r="K247" i="4"/>
  <c r="V30" i="4"/>
  <c r="W37" i="6" s="1"/>
  <c r="H30" i="4"/>
  <c r="K30" i="4"/>
  <c r="V45" i="4"/>
  <c r="W52" i="6" s="1"/>
  <c r="H45" i="4"/>
  <c r="K45" i="4"/>
  <c r="V261" i="4"/>
  <c r="W268" i="6" s="1"/>
  <c r="K261" i="4"/>
  <c r="H261" i="4"/>
  <c r="V191" i="4"/>
  <c r="W198" i="6" s="1"/>
  <c r="K191" i="4"/>
  <c r="H191" i="4"/>
  <c r="H53" i="4"/>
  <c r="K53" i="4"/>
  <c r="V53" i="4"/>
  <c r="W60" i="6" s="1"/>
  <c r="V172" i="4"/>
  <c r="W179" i="6" s="1"/>
  <c r="H172" i="4"/>
  <c r="K172" i="4"/>
  <c r="H364" i="4"/>
  <c r="K364" i="4"/>
  <c r="V364" i="4"/>
  <c r="W371" i="6" s="1"/>
  <c r="V290" i="4"/>
  <c r="W297" i="6" s="1"/>
  <c r="K290" i="4"/>
  <c r="H290" i="4"/>
  <c r="F190" i="4"/>
  <c r="G197" i="6"/>
  <c r="F152" i="4"/>
  <c r="G159" i="6"/>
  <c r="F67" i="4"/>
  <c r="G74" i="6"/>
  <c r="V298" i="4"/>
  <c r="W305" i="6" s="1"/>
  <c r="H298" i="4"/>
  <c r="K298" i="4"/>
  <c r="V235" i="4"/>
  <c r="W242" i="6" s="1"/>
  <c r="K235" i="4"/>
  <c r="H235" i="4"/>
  <c r="H312" i="4"/>
  <c r="V312" i="4"/>
  <c r="W319" i="6" s="1"/>
  <c r="K312" i="4"/>
  <c r="V365" i="4"/>
  <c r="W372" i="6" s="1"/>
  <c r="K365" i="4"/>
  <c r="H365" i="4"/>
  <c r="V282" i="4"/>
  <c r="W289" i="6" s="1"/>
  <c r="K282" i="4"/>
  <c r="H282" i="4"/>
  <c r="V136" i="4"/>
  <c r="W143" i="6" s="1"/>
  <c r="H136" i="4"/>
  <c r="K136" i="4"/>
  <c r="V24" i="4"/>
  <c r="W31" i="6" s="1"/>
  <c r="H24" i="4"/>
  <c r="K24" i="4"/>
  <c r="V27" i="4"/>
  <c r="W34" i="6" s="1"/>
  <c r="K27" i="4"/>
  <c r="H27" i="4"/>
  <c r="V349" i="4"/>
  <c r="W356" i="6" s="1"/>
  <c r="K349" i="4"/>
  <c r="H349" i="4"/>
  <c r="F70" i="4"/>
  <c r="G77" i="6"/>
  <c r="F266" i="4"/>
  <c r="G273" i="6"/>
  <c r="F246" i="4"/>
  <c r="G253" i="6"/>
  <c r="F328" i="4"/>
  <c r="G335" i="6"/>
  <c r="H242" i="4"/>
  <c r="V242" i="4"/>
  <c r="W249" i="6" s="1"/>
  <c r="K242" i="4"/>
  <c r="K164" i="4"/>
  <c r="H164" i="4"/>
  <c r="V164" i="4"/>
  <c r="W171" i="6" s="1"/>
  <c r="V353" i="4"/>
  <c r="W360" i="6" s="1"/>
  <c r="K353" i="4"/>
  <c r="H353" i="4"/>
  <c r="V129" i="4"/>
  <c r="W136" i="6" s="1"/>
  <c r="H129" i="4"/>
  <c r="K129" i="4"/>
  <c r="H241" i="4"/>
  <c r="V241" i="4"/>
  <c r="W248" i="6" s="1"/>
  <c r="K241" i="4"/>
  <c r="K314" i="4"/>
  <c r="H314" i="4"/>
  <c r="V314" i="4"/>
  <c r="W321" i="6" s="1"/>
  <c r="V189" i="4"/>
  <c r="W196" i="6" s="1"/>
  <c r="H189" i="4"/>
  <c r="K189" i="4"/>
  <c r="V88" i="4"/>
  <c r="W95" i="6" s="1"/>
  <c r="K88" i="4"/>
  <c r="H88" i="4"/>
  <c r="V70" i="4"/>
  <c r="G85" i="6"/>
  <c r="F310" i="4"/>
  <c r="G317" i="6"/>
  <c r="F151" i="4"/>
  <c r="G158" i="6"/>
  <c r="F252" i="4"/>
  <c r="G259" i="6"/>
  <c r="F249" i="4"/>
  <c r="G256" i="6"/>
  <c r="F221" i="4"/>
  <c r="G228" i="6"/>
  <c r="F168" i="4"/>
  <c r="G175" i="6"/>
  <c r="F367" i="4"/>
  <c r="G374" i="6"/>
  <c r="V237" i="4"/>
  <c r="W244" i="6" s="1"/>
  <c r="H237" i="4"/>
  <c r="K237" i="4"/>
  <c r="V89" i="4"/>
  <c r="W96" i="6" s="1"/>
  <c r="K89" i="4"/>
  <c r="H89" i="4"/>
  <c r="K77" i="4"/>
  <c r="V77" i="4"/>
  <c r="W84" i="6" s="1"/>
  <c r="H77" i="4"/>
  <c r="F186" i="4"/>
  <c r="G193" i="6"/>
  <c r="F164" i="4"/>
  <c r="G171" i="6"/>
  <c r="F163" i="4"/>
  <c r="G170" i="6"/>
  <c r="F323" i="4"/>
  <c r="G330" i="6"/>
  <c r="V318" i="4"/>
  <c r="W325" i="6" s="1"/>
  <c r="H318" i="4"/>
  <c r="K318" i="4"/>
  <c r="V23" i="4"/>
  <c r="W30" i="6" s="1"/>
  <c r="K23" i="4"/>
  <c r="H23" i="4"/>
  <c r="H101" i="4"/>
  <c r="V101" i="4"/>
  <c r="W108" i="6" s="1"/>
  <c r="K101" i="4"/>
  <c r="H92" i="4"/>
  <c r="V92" i="4"/>
  <c r="W99" i="6" s="1"/>
  <c r="K92" i="4"/>
  <c r="V223" i="4"/>
  <c r="W230" i="6" s="1"/>
  <c r="K223" i="4"/>
  <c r="H223" i="4"/>
  <c r="K292" i="4"/>
  <c r="V292" i="4"/>
  <c r="W299" i="6" s="1"/>
  <c r="H292" i="4"/>
  <c r="V329" i="4"/>
  <c r="W336" i="6" s="1"/>
  <c r="K329" i="4"/>
  <c r="H329" i="4"/>
  <c r="V262" i="4"/>
  <c r="W269" i="6" s="1"/>
  <c r="K262" i="4"/>
  <c r="H262" i="4"/>
  <c r="K363" i="4"/>
  <c r="V363" i="4"/>
  <c r="W370" i="6" s="1"/>
  <c r="H363" i="4"/>
  <c r="K193" i="4"/>
  <c r="V193" i="4"/>
  <c r="W200" i="6" s="1"/>
  <c r="H193" i="4"/>
  <c r="V128" i="4"/>
  <c r="W135" i="6" s="1"/>
  <c r="K128" i="4"/>
  <c r="H128" i="4"/>
  <c r="F108" i="4"/>
  <c r="G115" i="6"/>
  <c r="F46" i="4"/>
  <c r="G53" i="6"/>
  <c r="F104" i="4"/>
  <c r="G111" i="6"/>
  <c r="F147" i="4"/>
  <c r="G154" i="6"/>
  <c r="F171" i="4"/>
  <c r="G178" i="6"/>
  <c r="F231" i="4"/>
  <c r="G238" i="6"/>
  <c r="V25" i="4"/>
  <c r="W32" i="6" s="1"/>
  <c r="H25" i="4"/>
  <c r="K25" i="4"/>
  <c r="V366" i="4"/>
  <c r="W373" i="6" s="1"/>
  <c r="H366" i="4"/>
  <c r="K366" i="4"/>
  <c r="V362" i="4"/>
  <c r="W369" i="6" s="1"/>
  <c r="H362" i="4"/>
  <c r="K362" i="4"/>
  <c r="K33" i="4"/>
  <c r="V33" i="4"/>
  <c r="W40" i="6" s="1"/>
  <c r="H33" i="4"/>
  <c r="K234" i="4"/>
  <c r="V234" i="4"/>
  <c r="W241" i="6" s="1"/>
  <c r="H234" i="4"/>
  <c r="V207" i="4"/>
  <c r="W214" i="6" s="1"/>
  <c r="H207" i="4"/>
  <c r="K207" i="4"/>
  <c r="V326" i="4"/>
  <c r="W333" i="6" s="1"/>
  <c r="K326" i="4"/>
  <c r="H326" i="4"/>
  <c r="H113" i="4"/>
  <c r="K113" i="4"/>
  <c r="V113" i="4"/>
  <c r="W120" i="6" s="1"/>
  <c r="V369" i="4"/>
  <c r="W376" i="6" s="1"/>
  <c r="H369" i="4"/>
  <c r="K369" i="4"/>
  <c r="G145" i="6"/>
  <c r="G322" i="6"/>
  <c r="G244" i="6"/>
  <c r="G144" i="6"/>
  <c r="G321" i="6"/>
  <c r="G143" i="6"/>
  <c r="G345" i="6"/>
  <c r="G280" i="6"/>
  <c r="G142" i="6"/>
  <c r="G206" i="6"/>
  <c r="G140" i="6"/>
  <c r="G306" i="6"/>
  <c r="G204" i="6"/>
  <c r="G341" i="6"/>
  <c r="G266" i="6"/>
  <c r="G203" i="6"/>
  <c r="G103" i="6"/>
  <c r="G102" i="6"/>
  <c r="G264" i="6"/>
  <c r="G201" i="6"/>
  <c r="G65" i="6"/>
  <c r="G161" i="6"/>
  <c r="V322" i="4"/>
  <c r="W329" i="6" s="1"/>
  <c r="K322" i="4"/>
  <c r="H322" i="4"/>
  <c r="V130" i="4"/>
  <c r="W137" i="6" s="1"/>
  <c r="K130" i="4"/>
  <c r="H130" i="4"/>
  <c r="V308" i="4"/>
  <c r="W315" i="6" s="1"/>
  <c r="H308" i="4"/>
  <c r="K308" i="4"/>
  <c r="H17" i="4"/>
  <c r="K17" i="4"/>
  <c r="V17" i="4"/>
  <c r="W24" i="6" s="1"/>
  <c r="V178" i="4"/>
  <c r="W185" i="6" s="1"/>
  <c r="H178" i="4"/>
  <c r="K178" i="4"/>
  <c r="V107" i="4"/>
  <c r="W114" i="6" s="1"/>
  <c r="K107" i="4"/>
  <c r="H107" i="4"/>
  <c r="V303" i="4"/>
  <c r="W310" i="6" s="1"/>
  <c r="K303" i="4"/>
  <c r="H303" i="4"/>
  <c r="H219" i="4"/>
  <c r="V219" i="4"/>
  <c r="W226" i="6" s="1"/>
  <c r="K219" i="4"/>
  <c r="V310" i="4"/>
  <c r="W317" i="6" s="1"/>
  <c r="H310" i="4"/>
  <c r="K310" i="4"/>
  <c r="G298" i="6"/>
  <c r="K162" i="4"/>
  <c r="H162" i="4"/>
  <c r="V162" i="4"/>
  <c r="W169" i="6" s="1"/>
  <c r="V267" i="4"/>
  <c r="W274" i="6" s="1"/>
  <c r="K267" i="4"/>
  <c r="H267" i="4"/>
  <c r="V115" i="4"/>
  <c r="W122" i="6" s="1"/>
  <c r="H115" i="4"/>
  <c r="K115" i="4"/>
  <c r="H251" i="4"/>
  <c r="V251" i="4"/>
  <c r="W258" i="6" s="1"/>
  <c r="K251" i="4"/>
  <c r="V117" i="4"/>
  <c r="W124" i="6" s="1"/>
  <c r="H117" i="4"/>
  <c r="K117" i="4"/>
  <c r="V152" i="4"/>
  <c r="W159" i="6" s="1"/>
  <c r="H152" i="4"/>
  <c r="K152" i="4"/>
  <c r="V214" i="4"/>
  <c r="W221" i="6" s="1"/>
  <c r="H214" i="4"/>
  <c r="K214" i="4"/>
  <c r="K59" i="4"/>
  <c r="V59" i="4"/>
  <c r="W66" i="6" s="1"/>
  <c r="H59" i="4"/>
  <c r="V372" i="4"/>
  <c r="W379" i="6" s="1"/>
  <c r="H372" i="4"/>
  <c r="K372" i="4"/>
  <c r="V263" i="4"/>
  <c r="W270" i="6" s="1"/>
  <c r="K263" i="4"/>
  <c r="H263" i="4"/>
  <c r="K184" i="4"/>
  <c r="H184" i="4"/>
  <c r="V184" i="4"/>
  <c r="W191" i="6" s="1"/>
  <c r="V123" i="4"/>
  <c r="W130" i="6" s="1"/>
  <c r="K123" i="4"/>
  <c r="H123" i="4"/>
  <c r="H315" i="4"/>
  <c r="K315" i="4"/>
  <c r="V315" i="4"/>
  <c r="W322" i="6" s="1"/>
  <c r="H196" i="4"/>
  <c r="K196" i="4"/>
  <c r="V196" i="4"/>
  <c r="W203" i="6" s="1"/>
  <c r="V182" i="4"/>
  <c r="W189" i="6" s="1"/>
  <c r="H182" i="4"/>
  <c r="K182" i="4"/>
  <c r="K103" i="4"/>
  <c r="H103" i="4"/>
  <c r="V103" i="4"/>
  <c r="W110" i="6" s="1"/>
  <c r="V209" i="4"/>
  <c r="W216" i="6" s="1"/>
  <c r="H209" i="4"/>
  <c r="K209" i="4"/>
  <c r="V63" i="4"/>
  <c r="W70" i="6" s="1"/>
  <c r="K63" i="4"/>
  <c r="H63" i="4"/>
  <c r="G316" i="6"/>
  <c r="G196" i="6"/>
  <c r="V126" i="4"/>
  <c r="W133" i="6" s="1"/>
  <c r="K126" i="4"/>
  <c r="H126" i="4"/>
  <c r="V295" i="4"/>
  <c r="W302" i="6" s="1"/>
  <c r="K295" i="4"/>
  <c r="H295" i="4"/>
  <c r="H100" i="4"/>
  <c r="V100" i="4"/>
  <c r="W107" i="6" s="1"/>
  <c r="K100" i="4"/>
  <c r="K132" i="4"/>
  <c r="H132" i="4"/>
  <c r="V132" i="4"/>
  <c r="W139" i="6" s="1"/>
  <c r="V232" i="4"/>
  <c r="W239" i="6" s="1"/>
  <c r="H232" i="4"/>
  <c r="K232" i="4"/>
  <c r="V179" i="4"/>
  <c r="W186" i="6" s="1"/>
  <c r="K179" i="4"/>
  <c r="H179" i="4"/>
  <c r="V304" i="4"/>
  <c r="W311" i="6" s="1"/>
  <c r="H304" i="4"/>
  <c r="K304" i="4"/>
  <c r="V277" i="4"/>
  <c r="W284" i="6" s="1"/>
  <c r="H277" i="4"/>
  <c r="K277" i="4"/>
  <c r="H15" i="4"/>
  <c r="K15" i="4"/>
  <c r="V15" i="4"/>
  <c r="W22" i="6" s="1"/>
  <c r="G255" i="6"/>
  <c r="V167" i="4"/>
  <c r="W174" i="6" s="1"/>
  <c r="H167" i="4"/>
  <c r="K167" i="4"/>
  <c r="K94" i="4"/>
  <c r="V94" i="4"/>
  <c r="W101" i="6" s="1"/>
  <c r="H94" i="4"/>
  <c r="K230" i="4"/>
  <c r="H230" i="4"/>
  <c r="V230" i="4"/>
  <c r="W237" i="6" s="1"/>
  <c r="H160" i="4"/>
  <c r="V160" i="4"/>
  <c r="W167" i="6" s="1"/>
  <c r="K160" i="4"/>
  <c r="V254" i="4"/>
  <c r="W261" i="6" s="1"/>
  <c r="H254" i="4"/>
  <c r="K254" i="4"/>
  <c r="H173" i="4"/>
  <c r="K173" i="4"/>
  <c r="V173" i="4"/>
  <c r="W180" i="6" s="1"/>
  <c r="K208" i="4"/>
  <c r="V208" i="4"/>
  <c r="W215" i="6" s="1"/>
  <c r="H208" i="4"/>
  <c r="V268" i="4"/>
  <c r="W275" i="6" s="1"/>
  <c r="H268" i="4"/>
  <c r="K268" i="4"/>
  <c r="V55" i="4"/>
  <c r="W62" i="6" s="1"/>
  <c r="K55" i="4"/>
  <c r="H55" i="4"/>
  <c r="G334" i="6"/>
  <c r="G294" i="6"/>
  <c r="G234" i="6"/>
  <c r="G194" i="6"/>
  <c r="V288" i="4"/>
  <c r="W295" i="6" s="1"/>
  <c r="K288" i="4"/>
  <c r="H288" i="4"/>
  <c r="V72" i="4"/>
  <c r="W79" i="6" s="1"/>
  <c r="K72" i="4"/>
  <c r="H72" i="4"/>
  <c r="V111" i="4"/>
  <c r="W118" i="6" s="1"/>
  <c r="H111" i="4"/>
  <c r="K111" i="4"/>
  <c r="V335" i="4"/>
  <c r="W342" i="6" s="1"/>
  <c r="K335" i="4"/>
  <c r="H335" i="4"/>
  <c r="V260" i="4"/>
  <c r="W267" i="6" s="1"/>
  <c r="K260" i="4"/>
  <c r="H260" i="4"/>
  <c r="H299" i="4"/>
  <c r="K299" i="4"/>
  <c r="V299" i="4"/>
  <c r="W306" i="6" s="1"/>
  <c r="H116" i="4"/>
  <c r="V116" i="4"/>
  <c r="W123" i="6" s="1"/>
  <c r="K116" i="4"/>
  <c r="V351" i="4"/>
  <c r="W358" i="6" s="1"/>
  <c r="H351" i="4"/>
  <c r="K351" i="4"/>
  <c r="V186" i="4"/>
  <c r="W193" i="6" s="1"/>
  <c r="K186" i="4"/>
  <c r="H186" i="4"/>
  <c r="K137" i="4"/>
  <c r="V137" i="4"/>
  <c r="W144" i="6" s="1"/>
  <c r="H137" i="4"/>
  <c r="V287" i="4"/>
  <c r="W294" i="6" s="1"/>
  <c r="H287" i="4"/>
  <c r="K287" i="4"/>
  <c r="V49" i="4"/>
  <c r="W56" i="6" s="1"/>
  <c r="K49" i="4"/>
  <c r="H49" i="4"/>
  <c r="K331" i="4"/>
  <c r="H331" i="4"/>
  <c r="V331" i="4"/>
  <c r="W338" i="6" s="1"/>
  <c r="H212" i="4"/>
  <c r="K212" i="4"/>
  <c r="V212" i="4"/>
  <c r="W219" i="6" s="1"/>
  <c r="V255" i="4"/>
  <c r="W262" i="6" s="1"/>
  <c r="H255" i="4"/>
  <c r="K255" i="4"/>
  <c r="K31" i="4"/>
  <c r="V31" i="4"/>
  <c r="W38" i="6" s="1"/>
  <c r="H31" i="4"/>
  <c r="V66" i="4"/>
  <c r="W73" i="6" s="1"/>
  <c r="K66" i="4"/>
  <c r="H66" i="4"/>
  <c r="D13" i="4"/>
  <c r="J13" i="4" s="1"/>
  <c r="G292" i="6"/>
  <c r="G212" i="6"/>
  <c r="G172" i="6"/>
  <c r="G92" i="6"/>
  <c r="G52" i="6"/>
  <c r="V294" i="4"/>
  <c r="W301" i="6" s="1"/>
  <c r="K294" i="4"/>
  <c r="H294" i="4"/>
  <c r="V40" i="4"/>
  <c r="W47" i="6" s="1"/>
  <c r="H40" i="4"/>
  <c r="K40" i="4"/>
  <c r="V348" i="4"/>
  <c r="W355" i="6" s="1"/>
  <c r="H348" i="4"/>
  <c r="K348" i="4"/>
  <c r="V161" i="4"/>
  <c r="W168" i="6" s="1"/>
  <c r="H161" i="4"/>
  <c r="K161" i="4"/>
  <c r="V140" i="4"/>
  <c r="W147" i="6" s="1"/>
  <c r="K140" i="4"/>
  <c r="H140" i="4"/>
  <c r="V341" i="4"/>
  <c r="W348" i="6" s="1"/>
  <c r="H341" i="4"/>
  <c r="K341" i="4"/>
  <c r="K249" i="4"/>
  <c r="H249" i="4"/>
  <c r="V249" i="4"/>
  <c r="W256" i="6" s="1"/>
  <c r="H302" i="4"/>
  <c r="V302" i="4"/>
  <c r="W309" i="6" s="1"/>
  <c r="K302" i="4"/>
  <c r="V289" i="4"/>
  <c r="W296" i="6" s="1"/>
  <c r="K289" i="4"/>
  <c r="H289" i="4"/>
  <c r="V293" i="4"/>
  <c r="W300" i="6" s="1"/>
  <c r="K293" i="4"/>
  <c r="H293" i="4"/>
  <c r="G91" i="6"/>
  <c r="G51" i="6"/>
  <c r="K257" i="4"/>
  <c r="V257" i="4"/>
  <c r="W264" i="6" s="1"/>
  <c r="H257" i="4"/>
  <c r="V75" i="4"/>
  <c r="W82" i="6" s="1"/>
  <c r="H75" i="4"/>
  <c r="K75" i="4"/>
  <c r="V143" i="4"/>
  <c r="W150" i="6" s="1"/>
  <c r="H143" i="4"/>
  <c r="K143" i="4"/>
  <c r="H138" i="4"/>
  <c r="V138" i="4"/>
  <c r="W145" i="6" s="1"/>
  <c r="K138" i="4"/>
  <c r="V142" i="4"/>
  <c r="W149" i="6" s="1"/>
  <c r="K142" i="4"/>
  <c r="H142" i="4"/>
  <c r="V206" i="4"/>
  <c r="W213" i="6" s="1"/>
  <c r="K206" i="4"/>
  <c r="H206" i="4"/>
  <c r="V332" i="4"/>
  <c r="W339" i="6" s="1"/>
  <c r="K332" i="4"/>
  <c r="H332" i="4"/>
  <c r="V121" i="4"/>
  <c r="W128" i="6" s="1"/>
  <c r="H121" i="4"/>
  <c r="K121" i="4"/>
  <c r="V106" i="4"/>
  <c r="W113" i="6" s="1"/>
  <c r="K106" i="4"/>
  <c r="H106" i="4"/>
  <c r="G290" i="6"/>
  <c r="G250" i="6"/>
  <c r="G210" i="6"/>
  <c r="G130" i="6"/>
  <c r="G50" i="6"/>
  <c r="V148" i="4"/>
  <c r="W155" i="6" s="1"/>
  <c r="K148" i="4"/>
  <c r="H148" i="4"/>
  <c r="V330" i="4"/>
  <c r="W337" i="6" s="1"/>
  <c r="H330" i="4"/>
  <c r="K330" i="4"/>
  <c r="H246" i="4"/>
  <c r="K246" i="4"/>
  <c r="V246" i="4"/>
  <c r="W253" i="6" s="1"/>
  <c r="V359" i="4"/>
  <c r="W366" i="6" s="1"/>
  <c r="H359" i="4"/>
  <c r="K359" i="4"/>
  <c r="V44" i="4"/>
  <c r="W51" i="6" s="1"/>
  <c r="H44" i="4"/>
  <c r="K44" i="4"/>
  <c r="V270" i="4"/>
  <c r="W277" i="6" s="1"/>
  <c r="K270" i="4"/>
  <c r="H270" i="4"/>
  <c r="V43" i="4"/>
  <c r="W50" i="6" s="1"/>
  <c r="H43" i="4"/>
  <c r="K43" i="4"/>
  <c r="V343" i="4"/>
  <c r="W350" i="6" s="1"/>
  <c r="K343" i="4"/>
  <c r="H343" i="4"/>
  <c r="V95" i="4"/>
  <c r="W102" i="6" s="1"/>
  <c r="H95" i="4"/>
  <c r="K95" i="4"/>
  <c r="G369" i="6"/>
  <c r="G349" i="6"/>
  <c r="G309" i="6"/>
  <c r="G289" i="6"/>
  <c r="G229" i="6"/>
  <c r="G189" i="6"/>
  <c r="V61" i="4"/>
  <c r="W68" i="6" s="1"/>
  <c r="H61" i="4"/>
  <c r="K61" i="4"/>
  <c r="H333" i="4"/>
  <c r="K333" i="4"/>
  <c r="V333" i="4"/>
  <c r="W340" i="6" s="1"/>
  <c r="H231" i="4"/>
  <c r="K231" i="4"/>
  <c r="V231" i="4"/>
  <c r="W238" i="6" s="1"/>
  <c r="V355" i="4"/>
  <c r="W362" i="6" s="1"/>
  <c r="H355" i="4"/>
  <c r="K355" i="4"/>
  <c r="K313" i="4"/>
  <c r="V313" i="4"/>
  <c r="W320" i="6" s="1"/>
  <c r="H313" i="4"/>
  <c r="K131" i="4"/>
  <c r="H131" i="4"/>
  <c r="V131" i="4"/>
  <c r="W138" i="6" s="1"/>
  <c r="V345" i="4"/>
  <c r="W352" i="6" s="1"/>
  <c r="K345" i="4"/>
  <c r="H345" i="4"/>
  <c r="V327" i="4"/>
  <c r="W334" i="6" s="1"/>
  <c r="H327" i="4"/>
  <c r="K327" i="4"/>
  <c r="V47" i="4"/>
  <c r="W54" i="6" s="1"/>
  <c r="K47" i="4"/>
  <c r="H47" i="4"/>
  <c r="K85" i="4"/>
  <c r="H85" i="4"/>
  <c r="V85" i="4"/>
  <c r="W92" i="6" s="1"/>
  <c r="V265" i="4"/>
  <c r="W272" i="6" s="1"/>
  <c r="K265" i="4"/>
  <c r="H265" i="4"/>
  <c r="V108" i="4"/>
  <c r="W115" i="6" s="1"/>
  <c r="K108" i="4"/>
  <c r="H108" i="4"/>
  <c r="H204" i="4"/>
  <c r="V204" i="4"/>
  <c r="W211" i="6" s="1"/>
  <c r="K204" i="4"/>
  <c r="V52" i="4"/>
  <c r="W59" i="6" s="1"/>
  <c r="H52" i="4"/>
  <c r="K52" i="4"/>
  <c r="H305" i="4"/>
  <c r="V305" i="4"/>
  <c r="W312" i="6" s="1"/>
  <c r="K305" i="4"/>
  <c r="V334" i="4"/>
  <c r="W341" i="6" s="1"/>
  <c r="H334" i="4"/>
  <c r="K334" i="4"/>
  <c r="K20" i="4"/>
  <c r="H20" i="4"/>
  <c r="V20" i="4"/>
  <c r="W27" i="6" s="1"/>
  <c r="K197" i="4"/>
  <c r="V197" i="4"/>
  <c r="W204" i="6" s="1"/>
  <c r="H197" i="4"/>
  <c r="V213" i="4"/>
  <c r="W220" i="6" s="1"/>
  <c r="H213" i="4"/>
  <c r="K213" i="4"/>
  <c r="K210" i="4"/>
  <c r="V210" i="4"/>
  <c r="W217" i="6" s="1"/>
  <c r="H210" i="4"/>
  <c r="V169" i="4"/>
  <c r="W176" i="6" s="1"/>
  <c r="H169" i="4"/>
  <c r="K169" i="4"/>
  <c r="H370" i="4"/>
  <c r="K370" i="4"/>
  <c r="V370" i="4"/>
  <c r="W377" i="6" s="1"/>
  <c r="K248" i="4"/>
  <c r="V248" i="4"/>
  <c r="W255" i="6" s="1"/>
  <c r="H248" i="4"/>
  <c r="V239" i="4"/>
  <c r="W246" i="6" s="1"/>
  <c r="K239" i="4"/>
  <c r="H239" i="4"/>
  <c r="V166" i="4"/>
  <c r="W173" i="6" s="1"/>
  <c r="H166" i="4"/>
  <c r="K166" i="4"/>
  <c r="H93" i="4"/>
  <c r="K93" i="4"/>
  <c r="V93" i="4"/>
  <c r="W100" i="6" s="1"/>
  <c r="K157" i="4"/>
  <c r="H157" i="4"/>
  <c r="V157" i="4"/>
  <c r="W164" i="6" s="1"/>
  <c r="H244" i="4"/>
  <c r="V244" i="4"/>
  <c r="W251" i="6" s="1"/>
  <c r="K244" i="4"/>
  <c r="V90" i="4"/>
  <c r="W97" i="6" s="1"/>
  <c r="K90" i="4"/>
  <c r="H90" i="4"/>
  <c r="V283" i="4"/>
  <c r="W290" i="6" s="1"/>
  <c r="H283" i="4"/>
  <c r="K283" i="4"/>
  <c r="V151" i="4"/>
  <c r="W158" i="6" s="1"/>
  <c r="K151" i="4"/>
  <c r="H151" i="4"/>
  <c r="K22" i="4"/>
  <c r="H22" i="4"/>
  <c r="V22" i="4"/>
  <c r="W29" i="6" s="1"/>
  <c r="K258" i="4"/>
  <c r="V258" i="4"/>
  <c r="W265" i="6" s="1"/>
  <c r="H258" i="4"/>
  <c r="V177" i="4"/>
  <c r="W184" i="6" s="1"/>
  <c r="H177" i="4"/>
  <c r="K177" i="4"/>
  <c r="V14" i="4"/>
  <c r="W21" i="6" s="1"/>
  <c r="H14" i="4"/>
  <c r="K14" i="4"/>
  <c r="L23" i="2"/>
  <c r="D11" i="4"/>
  <c r="J11" i="4" s="1"/>
  <c r="V19" i="4"/>
  <c r="W26" i="6" s="1"/>
  <c r="K19" i="4"/>
  <c r="H19" i="4"/>
  <c r="V340" i="4"/>
  <c r="W347" i="6" s="1"/>
  <c r="K340" i="4"/>
  <c r="H340" i="4"/>
  <c r="V325" i="4"/>
  <c r="W332" i="6" s="1"/>
  <c r="K325" i="4"/>
  <c r="H325" i="4"/>
  <c r="H357" i="4"/>
  <c r="V357" i="4"/>
  <c r="W364" i="6" s="1"/>
  <c r="K357" i="4"/>
  <c r="V69" i="4"/>
  <c r="W76" i="6" s="1"/>
  <c r="K69" i="4"/>
  <c r="H69" i="4"/>
  <c r="K218" i="4"/>
  <c r="V218" i="4"/>
  <c r="W225" i="6" s="1"/>
  <c r="H218" i="4"/>
  <c r="V76" i="4"/>
  <c r="W83" i="6" s="1"/>
  <c r="H76" i="4"/>
  <c r="K76" i="4"/>
  <c r="V146" i="4"/>
  <c r="W153" i="6" s="1"/>
  <c r="K146" i="4"/>
  <c r="H146" i="4"/>
  <c r="H316" i="4"/>
  <c r="V316" i="4"/>
  <c r="W323" i="6" s="1"/>
  <c r="K316" i="4"/>
  <c r="V297" i="4"/>
  <c r="W304" i="6" s="1"/>
  <c r="H297" i="4"/>
  <c r="K297" i="4"/>
  <c r="G216" i="6"/>
  <c r="G96" i="6"/>
  <c r="V48" i="4"/>
  <c r="W55" i="6" s="1"/>
  <c r="H48" i="4"/>
  <c r="K48" i="4"/>
  <c r="K68" i="4"/>
  <c r="H68" i="4"/>
  <c r="V68" i="4"/>
  <c r="W75" i="6" s="1"/>
  <c r="V168" i="4"/>
  <c r="W175" i="6" s="1"/>
  <c r="H168" i="4"/>
  <c r="K168" i="4"/>
  <c r="K147" i="4"/>
  <c r="V147" i="4"/>
  <c r="W154" i="6" s="1"/>
  <c r="H147" i="4"/>
  <c r="H154" i="4"/>
  <c r="K154" i="4"/>
  <c r="V154" i="4"/>
  <c r="W161" i="6" s="1"/>
  <c r="H274" i="4"/>
  <c r="K274" i="4"/>
  <c r="V274" i="4"/>
  <c r="W281" i="6" s="1"/>
  <c r="V180" i="4"/>
  <c r="W187" i="6" s="1"/>
  <c r="K180" i="4"/>
  <c r="H180" i="4"/>
  <c r="V252" i="4"/>
  <c r="W259" i="6" s="1"/>
  <c r="H252" i="4"/>
  <c r="K252" i="4"/>
  <c r="V228" i="4"/>
  <c r="W235" i="6" s="1"/>
  <c r="K228" i="4"/>
  <c r="H228" i="4"/>
  <c r="G355" i="6"/>
  <c r="G315" i="6"/>
  <c r="G95" i="6"/>
  <c r="V71" i="4"/>
  <c r="W78" i="6" s="1"/>
  <c r="K71" i="4"/>
  <c r="V188" i="4"/>
  <c r="W195" i="6" s="1"/>
  <c r="H188" i="4"/>
  <c r="K188" i="4"/>
  <c r="V224" i="4"/>
  <c r="W231" i="6" s="1"/>
  <c r="K224" i="4"/>
  <c r="H224" i="4"/>
  <c r="V195" i="4"/>
  <c r="W202" i="6" s="1"/>
  <c r="K195" i="4"/>
  <c r="H195" i="4"/>
  <c r="V156" i="4"/>
  <c r="W163" i="6" s="1"/>
  <c r="H156" i="4"/>
  <c r="K156" i="4"/>
  <c r="V79" i="4"/>
  <c r="W86" i="6" s="1"/>
  <c r="H79" i="4"/>
  <c r="K79" i="4"/>
  <c r="H336" i="4"/>
  <c r="V336" i="4"/>
  <c r="W343" i="6" s="1"/>
  <c r="K336" i="4"/>
  <c r="V26" i="4"/>
  <c r="W33" i="6" s="1"/>
  <c r="K26" i="4"/>
  <c r="H26" i="4"/>
  <c r="V122" i="4"/>
  <c r="W129" i="6" s="1"/>
  <c r="H122" i="4"/>
  <c r="K122" i="4"/>
  <c r="G314" i="6"/>
  <c r="G54" i="6"/>
  <c r="V105" i="4"/>
  <c r="W112" i="6" s="1"/>
  <c r="K105" i="4"/>
  <c r="H105" i="4"/>
  <c r="D12" i="4"/>
  <c r="J12" i="4" s="1"/>
  <c r="K158" i="4"/>
  <c r="H158" i="4"/>
  <c r="V158" i="4"/>
  <c r="W165" i="6" s="1"/>
  <c r="V34" i="4"/>
  <c r="W41" i="6" s="1"/>
  <c r="H34" i="4"/>
  <c r="K34" i="4"/>
  <c r="H278" i="4"/>
  <c r="K278" i="4"/>
  <c r="V278" i="4"/>
  <c r="W285" i="6" s="1"/>
  <c r="K272" i="4"/>
  <c r="H272" i="4"/>
  <c r="V272" i="4"/>
  <c r="W279" i="6" s="1"/>
  <c r="K81" i="4"/>
  <c r="H81" i="4"/>
  <c r="V81" i="4"/>
  <c r="W88" i="6" s="1"/>
  <c r="V28" i="4"/>
  <c r="W35" i="6" s="1"/>
  <c r="K28" i="4"/>
  <c r="H28" i="4"/>
  <c r="V16" i="4"/>
  <c r="W23" i="6" s="1"/>
  <c r="K16" i="4"/>
  <c r="H16" i="4"/>
  <c r="G313" i="6"/>
  <c r="G153" i="6"/>
  <c r="G73" i="6"/>
  <c r="V291" i="4"/>
  <c r="W298" i="6" s="1"/>
  <c r="K291" i="4"/>
  <c r="H291" i="4"/>
  <c r="V150" i="4"/>
  <c r="W157" i="6" s="1"/>
  <c r="K150" i="4"/>
  <c r="H150" i="4"/>
  <c r="V276" i="4"/>
  <c r="W283" i="6" s="1"/>
  <c r="K276" i="4"/>
  <c r="H276" i="4"/>
  <c r="V56" i="4"/>
  <c r="W63" i="6" s="1"/>
  <c r="H56" i="4"/>
  <c r="K56" i="4"/>
  <c r="V225" i="4"/>
  <c r="W232" i="6" s="1"/>
  <c r="K225" i="4"/>
  <c r="H225" i="4"/>
  <c r="H37" i="4"/>
  <c r="K37" i="4"/>
  <c r="V37" i="4"/>
  <c r="W44" i="6" s="1"/>
  <c r="K192" i="4"/>
  <c r="H192" i="4"/>
  <c r="V192" i="4"/>
  <c r="W199" i="6" s="1"/>
  <c r="V86" i="4"/>
  <c r="W93" i="6" s="1"/>
  <c r="K86" i="4"/>
  <c r="H86" i="4"/>
  <c r="H273" i="4"/>
  <c r="K273" i="4"/>
  <c r="V273" i="4"/>
  <c r="W280" i="6" s="1"/>
  <c r="G352" i="6"/>
  <c r="G312" i="6"/>
  <c r="G272" i="6"/>
  <c r="G192" i="6"/>
  <c r="G152" i="6"/>
  <c r="V153" i="4"/>
  <c r="W160" i="6" s="1"/>
  <c r="H153" i="4"/>
  <c r="K153" i="4"/>
  <c r="V64" i="4"/>
  <c r="W71" i="6" s="1"/>
  <c r="H64" i="4"/>
  <c r="K64" i="4"/>
  <c r="V135" i="4"/>
  <c r="W142" i="6" s="1"/>
  <c r="H135" i="4"/>
  <c r="K135" i="4"/>
  <c r="V367" i="4"/>
  <c r="W374" i="6" s="1"/>
  <c r="H367" i="4"/>
  <c r="K367" i="4"/>
  <c r="V145" i="4"/>
  <c r="W152" i="6" s="1"/>
  <c r="H145" i="4"/>
  <c r="K145" i="4"/>
  <c r="V60" i="4"/>
  <c r="W67" i="6" s="1"/>
  <c r="H60" i="4"/>
  <c r="K60" i="4"/>
  <c r="V309" i="4"/>
  <c r="W316" i="6" s="1"/>
  <c r="K309" i="4"/>
  <c r="H309" i="4"/>
  <c r="H356" i="4"/>
  <c r="K356" i="4"/>
  <c r="V356" i="4"/>
  <c r="W363" i="6" s="1"/>
  <c r="G351" i="6"/>
  <c r="G271" i="6"/>
  <c r="G191" i="6"/>
  <c r="G71" i="6"/>
  <c r="K80" i="4"/>
  <c r="H80" i="4"/>
  <c r="V80" i="4"/>
  <c r="W87" i="6" s="1"/>
  <c r="V175" i="4"/>
  <c r="W182" i="6" s="1"/>
  <c r="K175" i="4"/>
  <c r="H175" i="4"/>
  <c r="H35" i="4"/>
  <c r="K35" i="4"/>
  <c r="V35" i="4"/>
  <c r="W42" i="6" s="1"/>
  <c r="V360" i="4"/>
  <c r="W367" i="6" s="1"/>
  <c r="H360" i="4"/>
  <c r="K360" i="4"/>
  <c r="V42" i="4"/>
  <c r="W49" i="6" s="1"/>
  <c r="H42" i="4"/>
  <c r="K42" i="4"/>
  <c r="V361" i="4"/>
  <c r="W368" i="6" s="1"/>
  <c r="H361" i="4"/>
  <c r="K361" i="4"/>
  <c r="H141" i="4"/>
  <c r="V141" i="4"/>
  <c r="W148" i="6" s="1"/>
  <c r="K141" i="4"/>
  <c r="V311" i="4"/>
  <c r="W318" i="6" s="1"/>
  <c r="H311" i="4"/>
  <c r="K311" i="4"/>
  <c r="V321" i="4"/>
  <c r="W328" i="6" s="1"/>
  <c r="K321" i="4"/>
  <c r="H321" i="4"/>
  <c r="G310" i="6"/>
  <c r="G190" i="6"/>
  <c r="G150" i="6"/>
  <c r="G110" i="6"/>
  <c r="G70" i="6"/>
  <c r="K306" i="4"/>
  <c r="H306" i="4"/>
  <c r="V306" i="4"/>
  <c r="W313" i="6" s="1"/>
  <c r="V112" i="4"/>
  <c r="W119" i="6" s="1"/>
  <c r="H112" i="4"/>
  <c r="K112" i="4"/>
  <c r="V250" i="4"/>
  <c r="W257" i="6" s="1"/>
  <c r="K250" i="4"/>
  <c r="H250" i="4"/>
  <c r="V125" i="4"/>
  <c r="W132" i="6" s="1"/>
  <c r="K125" i="4"/>
  <c r="H125" i="4"/>
  <c r="K203" i="4"/>
  <c r="H203" i="4"/>
  <c r="V203" i="4"/>
  <c r="W210" i="6" s="1"/>
  <c r="V50" i="4"/>
  <c r="W57" i="6" s="1"/>
  <c r="K50" i="4"/>
  <c r="H50" i="4"/>
  <c r="V328" i="4"/>
  <c r="W335" i="6" s="1"/>
  <c r="K328" i="4"/>
  <c r="H328" i="4"/>
  <c r="V176" i="4"/>
  <c r="W183" i="6" s="1"/>
  <c r="H176" i="4"/>
  <c r="K176" i="4"/>
  <c r="V253" i="4"/>
  <c r="W260" i="6" s="1"/>
  <c r="K253" i="4"/>
  <c r="H253" i="4"/>
  <c r="G368" i="6"/>
  <c r="G348" i="6"/>
  <c r="G308" i="6"/>
  <c r="G288" i="6"/>
  <c r="G268" i="6"/>
  <c r="G208" i="6"/>
  <c r="G188" i="6"/>
  <c r="G168" i="6"/>
  <c r="G148" i="6"/>
  <c r="G128" i="6"/>
  <c r="G108" i="6"/>
  <c r="G88" i="6"/>
  <c r="G68" i="6"/>
  <c r="V373" i="4"/>
  <c r="W380" i="6" s="1"/>
  <c r="K373" i="4"/>
  <c r="H373" i="4"/>
  <c r="H200" i="4"/>
  <c r="K200" i="4"/>
  <c r="V200" i="4"/>
  <c r="W207" i="6" s="1"/>
  <c r="V264" i="4"/>
  <c r="W271" i="6" s="1"/>
  <c r="K264" i="4"/>
  <c r="H264" i="4"/>
  <c r="V317" i="4"/>
  <c r="W324" i="6" s="1"/>
  <c r="H317" i="4"/>
  <c r="K317" i="4"/>
  <c r="V256" i="4"/>
  <c r="W263" i="6" s="1"/>
  <c r="H256" i="4"/>
  <c r="K256" i="4"/>
  <c r="V144" i="4"/>
  <c r="W151" i="6" s="1"/>
  <c r="H144" i="4"/>
  <c r="K144" i="4"/>
  <c r="V109" i="4"/>
  <c r="W116" i="6" s="1"/>
  <c r="H109" i="4"/>
  <c r="K109" i="4"/>
  <c r="K134" i="4"/>
  <c r="V134" i="4"/>
  <c r="W141" i="6" s="1"/>
  <c r="H134" i="4"/>
  <c r="V46" i="4"/>
  <c r="W53" i="6" s="1"/>
  <c r="K46" i="4"/>
  <c r="H46" i="4"/>
  <c r="K36" i="4"/>
  <c r="V36" i="4"/>
  <c r="W43" i="6" s="1"/>
  <c r="H36" i="4"/>
  <c r="V211" i="4"/>
  <c r="W218" i="6" s="1"/>
  <c r="H211" i="4"/>
  <c r="K211" i="4"/>
  <c r="V97" i="4"/>
  <c r="W104" i="6" s="1"/>
  <c r="H97" i="4"/>
  <c r="K97" i="4"/>
  <c r="H307" i="4"/>
  <c r="K307" i="4"/>
  <c r="V307" i="4"/>
  <c r="W314" i="6" s="1"/>
  <c r="V344" i="4"/>
  <c r="W351" i="6" s="1"/>
  <c r="K344" i="4"/>
  <c r="H344" i="4"/>
  <c r="V139" i="4"/>
  <c r="W146" i="6" s="1"/>
  <c r="K139" i="4"/>
  <c r="H139" i="4"/>
  <c r="K352" i="4"/>
  <c r="H352" i="4"/>
  <c r="V352" i="4"/>
  <c r="W359" i="6" s="1"/>
  <c r="V374" i="4"/>
  <c r="W381" i="6" s="1"/>
  <c r="K374" i="4"/>
  <c r="H374" i="4"/>
  <c r="H279" i="4"/>
  <c r="V279" i="4"/>
  <c r="W286" i="6" s="1"/>
  <c r="K279" i="4"/>
  <c r="V27" i="5"/>
  <c r="U28" i="5"/>
  <c r="E21" i="16"/>
  <c r="H20" i="16"/>
  <c r="I20" i="16" s="1"/>
  <c r="D22" i="16"/>
  <c r="G21" i="16"/>
  <c r="C21" i="16"/>
  <c r="F21" i="16" s="1"/>
  <c r="D21" i="8"/>
  <c r="N19" i="8"/>
  <c r="G19" i="8"/>
  <c r="D22" i="5"/>
  <c r="E22" i="5" s="1"/>
  <c r="N18" i="6"/>
  <c r="X25" i="2"/>
  <c r="X26" i="2" s="1"/>
  <c r="X27" i="2" s="1"/>
  <c r="X28" i="2" s="1"/>
  <c r="X29" i="2" s="1"/>
  <c r="X30" i="2" s="1"/>
  <c r="X31" i="2" s="1"/>
  <c r="X32" i="2" s="1"/>
  <c r="X33" i="2" s="1"/>
  <c r="X34" i="2" s="1"/>
  <c r="X35" i="2" s="1"/>
  <c r="X36" i="2" s="1"/>
  <c r="X37" i="2" s="1"/>
  <c r="X38" i="2" s="1"/>
  <c r="X39" i="2" s="1"/>
  <c r="X40" i="2" s="1"/>
  <c r="X41" i="2" s="1"/>
  <c r="X42" i="2" s="1"/>
  <c r="X43" i="2" s="1"/>
  <c r="X44" i="2" s="1"/>
  <c r="X45" i="2" s="1"/>
  <c r="X46" i="2" s="1"/>
  <c r="X47" i="2" s="1"/>
  <c r="X48" i="2" s="1"/>
  <c r="X49" i="2" s="1"/>
  <c r="X50" i="2" s="1"/>
  <c r="X51" i="2" s="1"/>
  <c r="X52" i="2" s="1"/>
  <c r="X53" i="2" s="1"/>
  <c r="X54" i="2" s="1"/>
  <c r="Y54" i="2" s="1"/>
  <c r="AW24" i="2"/>
  <c r="AW25" i="2" s="1"/>
  <c r="I77" i="6" l="1"/>
  <c r="J77" i="6" s="1"/>
  <c r="I70" i="4"/>
  <c r="L21" i="8"/>
  <c r="E21" i="8"/>
  <c r="H22" i="5"/>
  <c r="Y27" i="5"/>
  <c r="X27" i="5"/>
  <c r="W70" i="4"/>
  <c r="X77" i="6" s="1"/>
  <c r="W77" i="6"/>
  <c r="M256" i="4"/>
  <c r="L256" i="4" s="1"/>
  <c r="M145" i="4"/>
  <c r="L145" i="4" s="1"/>
  <c r="M330" i="4"/>
  <c r="L330" i="4" s="1"/>
  <c r="M208" i="4"/>
  <c r="L208" i="4" s="1"/>
  <c r="M326" i="4"/>
  <c r="L326" i="4" s="1"/>
  <c r="M363" i="4"/>
  <c r="L363" i="4" s="1"/>
  <c r="M273" i="4"/>
  <c r="L273" i="4" s="1"/>
  <c r="M272" i="4"/>
  <c r="L272" i="4" s="1"/>
  <c r="M151" i="4"/>
  <c r="L151" i="4" s="1"/>
  <c r="M197" i="4"/>
  <c r="L197" i="4" s="1"/>
  <c r="M355" i="4"/>
  <c r="L355" i="4" s="1"/>
  <c r="M293" i="4"/>
  <c r="L293" i="4" s="1"/>
  <c r="M88" i="4"/>
  <c r="L88" i="4" s="1"/>
  <c r="M136" i="4"/>
  <c r="L136" i="4" s="1"/>
  <c r="M261" i="4"/>
  <c r="L261" i="4" s="1"/>
  <c r="M124" i="4"/>
  <c r="L124" i="4" s="1"/>
  <c r="M243" i="4"/>
  <c r="L243" i="4" s="1"/>
  <c r="M211" i="4"/>
  <c r="L211" i="4" s="1"/>
  <c r="M203" i="4"/>
  <c r="L203" i="4" s="1"/>
  <c r="M173" i="4"/>
  <c r="L173" i="4" s="1"/>
  <c r="M196" i="4"/>
  <c r="L196" i="4" s="1"/>
  <c r="M162" i="4"/>
  <c r="L162" i="4" s="1"/>
  <c r="M207" i="4"/>
  <c r="L207" i="4" s="1"/>
  <c r="M262" i="4"/>
  <c r="L262" i="4" s="1"/>
  <c r="M226" i="4"/>
  <c r="L226" i="4" s="1"/>
  <c r="M296" i="4"/>
  <c r="L296" i="4" s="1"/>
  <c r="M317" i="4"/>
  <c r="L317" i="4" s="1"/>
  <c r="M311" i="4"/>
  <c r="L311" i="4" s="1"/>
  <c r="M367" i="4"/>
  <c r="L367" i="4" s="1"/>
  <c r="M336" i="4"/>
  <c r="L336" i="4" s="1"/>
  <c r="M146" i="4"/>
  <c r="L146" i="4" s="1"/>
  <c r="M351" i="4"/>
  <c r="L351" i="4" s="1"/>
  <c r="M277" i="4"/>
  <c r="L277" i="4" s="1"/>
  <c r="M300" i="4"/>
  <c r="L300" i="4" s="1"/>
  <c r="M51" i="4"/>
  <c r="N58" i="6" s="1"/>
  <c r="M78" i="4"/>
  <c r="L78" i="4" s="1"/>
  <c r="M86" i="4"/>
  <c r="L86" i="4" s="1"/>
  <c r="M148" i="4"/>
  <c r="L148" i="4" s="1"/>
  <c r="M289" i="4"/>
  <c r="L289" i="4" s="1"/>
  <c r="M254" i="4"/>
  <c r="L254" i="4" s="1"/>
  <c r="M310" i="4"/>
  <c r="L310" i="4" s="1"/>
  <c r="M187" i="4"/>
  <c r="L187" i="4" s="1"/>
  <c r="M337" i="4"/>
  <c r="L337" i="4" s="1"/>
  <c r="M291" i="4"/>
  <c r="L291" i="4" s="1"/>
  <c r="M168" i="4"/>
  <c r="L168" i="4" s="1"/>
  <c r="M85" i="4"/>
  <c r="L85" i="4" s="1"/>
  <c r="M43" i="4"/>
  <c r="L43" i="4" s="1"/>
  <c r="M288" i="4"/>
  <c r="L288" i="4" s="1"/>
  <c r="M315" i="4"/>
  <c r="L315" i="4" s="1"/>
  <c r="M329" i="4"/>
  <c r="L329" i="4" s="1"/>
  <c r="M342" i="4"/>
  <c r="L342" i="4" s="1"/>
  <c r="M338" i="4"/>
  <c r="L338" i="4" s="1"/>
  <c r="M119" i="4"/>
  <c r="L119" i="4" s="1"/>
  <c r="M259" i="4"/>
  <c r="L259" i="4" s="1"/>
  <c r="M98" i="4"/>
  <c r="L98" i="4" s="1"/>
  <c r="M301" i="4"/>
  <c r="L301" i="4" s="1"/>
  <c r="M80" i="4"/>
  <c r="L80" i="4" s="1"/>
  <c r="M79" i="4"/>
  <c r="L79" i="4" s="1"/>
  <c r="M302" i="4"/>
  <c r="L302" i="4" s="1"/>
  <c r="M212" i="4"/>
  <c r="L212" i="4" s="1"/>
  <c r="M133" i="4"/>
  <c r="L133" i="4" s="1"/>
  <c r="M250" i="4"/>
  <c r="L250" i="4" s="1"/>
  <c r="M160" i="4"/>
  <c r="L160" i="4" s="1"/>
  <c r="M99" i="4"/>
  <c r="L99" i="4" s="1"/>
  <c r="M371" i="4"/>
  <c r="L371" i="4" s="1"/>
  <c r="M215" i="4"/>
  <c r="L215" i="4" s="1"/>
  <c r="M346" i="4"/>
  <c r="L346" i="4" s="1"/>
  <c r="M228" i="4"/>
  <c r="L228" i="4" s="1"/>
  <c r="M370" i="4"/>
  <c r="L370" i="4" s="1"/>
  <c r="M333" i="4"/>
  <c r="L333" i="4" s="1"/>
  <c r="M294" i="4"/>
  <c r="L294" i="4" s="1"/>
  <c r="M117" i="4"/>
  <c r="L117" i="4" s="1"/>
  <c r="M365" i="4"/>
  <c r="L365" i="4" s="1"/>
  <c r="M73" i="4"/>
  <c r="L73" i="4" s="1"/>
  <c r="M352" i="4"/>
  <c r="L352" i="4" s="1"/>
  <c r="M112" i="4"/>
  <c r="L112" i="4" s="1"/>
  <c r="M64" i="4"/>
  <c r="L64" i="4" s="1"/>
  <c r="M244" i="4"/>
  <c r="L244" i="4" s="1"/>
  <c r="M327" i="4"/>
  <c r="L327" i="4" s="1"/>
  <c r="M143" i="4"/>
  <c r="L143" i="4" s="1"/>
  <c r="M364" i="4"/>
  <c r="L364" i="4" s="1"/>
  <c r="M238" i="4"/>
  <c r="L238" i="4" s="1"/>
  <c r="M127" i="4"/>
  <c r="L127" i="4" s="1"/>
  <c r="M227" i="4"/>
  <c r="L227" i="4" s="1"/>
  <c r="M217" i="4"/>
  <c r="L217" i="4" s="1"/>
  <c r="M200" i="4"/>
  <c r="L200" i="4" s="1"/>
  <c r="M158" i="4"/>
  <c r="L158" i="4" s="1"/>
  <c r="M68" i="4"/>
  <c r="L68" i="4" s="1"/>
  <c r="M299" i="4"/>
  <c r="L299" i="4" s="1"/>
  <c r="M63" i="4"/>
  <c r="L63" i="4" s="1"/>
  <c r="M118" i="4"/>
  <c r="L118" i="4" s="1"/>
  <c r="M324" i="4"/>
  <c r="L324" i="4" s="1"/>
  <c r="M174" i="4"/>
  <c r="L174" i="4" s="1"/>
  <c r="M347" i="4"/>
  <c r="L347" i="4" s="1"/>
  <c r="M139" i="4"/>
  <c r="L139" i="4" s="1"/>
  <c r="M176" i="4"/>
  <c r="L176" i="4" s="1"/>
  <c r="M48" i="4"/>
  <c r="L48" i="4" s="1"/>
  <c r="M177" i="4"/>
  <c r="L177" i="4" s="1"/>
  <c r="M52" i="4"/>
  <c r="L52" i="4" s="1"/>
  <c r="M44" i="4"/>
  <c r="L44" i="4" s="1"/>
  <c r="M249" i="4"/>
  <c r="L249" i="4" s="1"/>
  <c r="M251" i="4"/>
  <c r="L251" i="4" s="1"/>
  <c r="M223" i="4"/>
  <c r="L223" i="4" s="1"/>
  <c r="M172" i="4"/>
  <c r="L172" i="4" s="1"/>
  <c r="M358" i="4"/>
  <c r="L358" i="4" s="1"/>
  <c r="M183" i="4"/>
  <c r="L183" i="4" s="1"/>
  <c r="M42" i="4"/>
  <c r="L42" i="4" s="1"/>
  <c r="M153" i="4"/>
  <c r="L153" i="4" s="1"/>
  <c r="M75" i="4"/>
  <c r="L75" i="4" s="1"/>
  <c r="M49" i="4"/>
  <c r="L49" i="4" s="1"/>
  <c r="M232" i="4"/>
  <c r="L232" i="4" s="1"/>
  <c r="M184" i="4"/>
  <c r="L184" i="4" s="1"/>
  <c r="M165" i="4"/>
  <c r="L165" i="4" s="1"/>
  <c r="M134" i="4"/>
  <c r="L134" i="4" s="1"/>
  <c r="M225" i="4"/>
  <c r="L225" i="4" s="1"/>
  <c r="M105" i="4"/>
  <c r="L105" i="4" s="1"/>
  <c r="M55" i="4"/>
  <c r="L55" i="4" s="1"/>
  <c r="M92" i="4"/>
  <c r="L92" i="4" s="1"/>
  <c r="M190" i="4"/>
  <c r="L190" i="4" s="1"/>
  <c r="M185" i="4"/>
  <c r="L185" i="4" s="1"/>
  <c r="M286" i="4"/>
  <c r="L286" i="4" s="1"/>
  <c r="M109" i="4"/>
  <c r="L109" i="4" s="1"/>
  <c r="M306" i="4"/>
  <c r="L306" i="4" s="1"/>
  <c r="M180" i="4"/>
  <c r="L180" i="4" s="1"/>
  <c r="M357" i="4"/>
  <c r="L357" i="4" s="1"/>
  <c r="M204" i="4"/>
  <c r="L204" i="4" s="1"/>
  <c r="M121" i="4"/>
  <c r="L121" i="4" s="1"/>
  <c r="M263" i="4"/>
  <c r="L263" i="4" s="1"/>
  <c r="M107" i="4"/>
  <c r="L107" i="4" s="1"/>
  <c r="M366" i="4"/>
  <c r="L366" i="4" s="1"/>
  <c r="M235" i="4"/>
  <c r="L235" i="4" s="1"/>
  <c r="M368" i="4"/>
  <c r="L368" i="4" s="1"/>
  <c r="M354" i="4"/>
  <c r="L354" i="4" s="1"/>
  <c r="M328" i="4"/>
  <c r="L328" i="4" s="1"/>
  <c r="M309" i="4"/>
  <c r="L309" i="4" s="1"/>
  <c r="M268" i="4"/>
  <c r="L268" i="4" s="1"/>
  <c r="M77" i="4"/>
  <c r="L77" i="4" s="1"/>
  <c r="M53" i="4"/>
  <c r="L53" i="4" s="1"/>
  <c r="M198" i="4"/>
  <c r="L198" i="4" s="1"/>
  <c r="M163" i="4"/>
  <c r="L163" i="4" s="1"/>
  <c r="M102" i="4"/>
  <c r="L102" i="4" s="1"/>
  <c r="M91" i="4"/>
  <c r="L91" i="4" s="1"/>
  <c r="M224" i="4"/>
  <c r="L224" i="4" s="1"/>
  <c r="M297" i="4"/>
  <c r="L297" i="4" s="1"/>
  <c r="M93" i="4"/>
  <c r="L93" i="4" s="1"/>
  <c r="M167" i="4"/>
  <c r="L167" i="4" s="1"/>
  <c r="M372" i="4"/>
  <c r="L372" i="4" s="1"/>
  <c r="M101" i="4"/>
  <c r="L101" i="4" s="1"/>
  <c r="M275" i="4"/>
  <c r="L275" i="4" s="1"/>
  <c r="M181" i="4"/>
  <c r="L181" i="4" s="1"/>
  <c r="M144" i="4"/>
  <c r="L144" i="4" s="1"/>
  <c r="M60" i="4"/>
  <c r="L60" i="4" s="1"/>
  <c r="M274" i="4"/>
  <c r="L274" i="4" s="1"/>
  <c r="M131" i="4"/>
  <c r="L131" i="4" s="1"/>
  <c r="M66" i="4"/>
  <c r="L66" i="4" s="1"/>
  <c r="M103" i="4"/>
  <c r="L103" i="4" s="1"/>
  <c r="M89" i="4"/>
  <c r="L89" i="4" s="1"/>
  <c r="M281" i="4"/>
  <c r="L281" i="4" s="1"/>
  <c r="M284" i="4"/>
  <c r="L284" i="4" s="1"/>
  <c r="M266" i="4"/>
  <c r="L266" i="4" s="1"/>
  <c r="M202" i="4"/>
  <c r="L202" i="4" s="1"/>
  <c r="M50" i="4"/>
  <c r="L50" i="4" s="1"/>
  <c r="M81" i="4"/>
  <c r="L81" i="4" s="1"/>
  <c r="M188" i="4"/>
  <c r="L188" i="4" s="1"/>
  <c r="M166" i="4"/>
  <c r="L166" i="4" s="1"/>
  <c r="M108" i="4"/>
  <c r="L108" i="4" s="1"/>
  <c r="M246" i="4"/>
  <c r="L246" i="4" s="1"/>
  <c r="M332" i="4"/>
  <c r="L332" i="4" s="1"/>
  <c r="M161" i="4"/>
  <c r="L161" i="4" s="1"/>
  <c r="M111" i="4"/>
  <c r="L111" i="4" s="1"/>
  <c r="M100" i="4"/>
  <c r="L100" i="4" s="1"/>
  <c r="M182" i="4"/>
  <c r="L182" i="4" s="1"/>
  <c r="M267" i="4"/>
  <c r="L267" i="4" s="1"/>
  <c r="M70" i="4"/>
  <c r="M191" i="4"/>
  <c r="L191" i="4" s="1"/>
  <c r="M154" i="4"/>
  <c r="L154" i="4" s="1"/>
  <c r="M313" i="4"/>
  <c r="L313" i="4" s="1"/>
  <c r="M164" i="4"/>
  <c r="L164" i="4" s="1"/>
  <c r="M83" i="4"/>
  <c r="L83" i="4" s="1"/>
  <c r="M245" i="4"/>
  <c r="L245" i="4" s="1"/>
  <c r="M279" i="4"/>
  <c r="L279" i="4" s="1"/>
  <c r="M321" i="4"/>
  <c r="L321" i="4" s="1"/>
  <c r="M340" i="4"/>
  <c r="L340" i="4" s="1"/>
  <c r="M265" i="4"/>
  <c r="L265" i="4" s="1"/>
  <c r="M206" i="4"/>
  <c r="L206" i="4" s="1"/>
  <c r="M348" i="4"/>
  <c r="L348" i="4" s="1"/>
  <c r="M186" i="4"/>
  <c r="L186" i="4" s="1"/>
  <c r="M59" i="4"/>
  <c r="L59" i="4" s="1"/>
  <c r="M242" i="4"/>
  <c r="L242" i="4" s="1"/>
  <c r="M205" i="4"/>
  <c r="L205" i="4" s="1"/>
  <c r="M171" i="4"/>
  <c r="L171" i="4" s="1"/>
  <c r="M221" i="4"/>
  <c r="L221" i="4" s="1"/>
  <c r="M175" i="4"/>
  <c r="L175" i="4" s="1"/>
  <c r="M150" i="4"/>
  <c r="L150" i="4" s="1"/>
  <c r="M71" i="4"/>
  <c r="L71" i="4" s="1"/>
  <c r="M239" i="4"/>
  <c r="L239" i="4" s="1"/>
  <c r="M255" i="4"/>
  <c r="L255" i="4" s="1"/>
  <c r="M72" i="4"/>
  <c r="L72" i="4" s="1"/>
  <c r="M295" i="4"/>
  <c r="L295" i="4" s="1"/>
  <c r="M214" i="4"/>
  <c r="L214" i="4" s="1"/>
  <c r="M308" i="4"/>
  <c r="L308" i="4" s="1"/>
  <c r="M318" i="4"/>
  <c r="L318" i="4" s="1"/>
  <c r="M319" i="4"/>
  <c r="L319" i="4" s="1"/>
  <c r="M84" i="4"/>
  <c r="L84" i="4" s="1"/>
  <c r="M278" i="4"/>
  <c r="L278" i="4" s="1"/>
  <c r="M283" i="4"/>
  <c r="L283" i="4" s="1"/>
  <c r="M343" i="4"/>
  <c r="L343" i="4" s="1"/>
  <c r="M189" i="4"/>
  <c r="L189" i="4" s="1"/>
  <c r="M45" i="4"/>
  <c r="L45" i="4" s="1"/>
  <c r="M125" i="4"/>
  <c r="L125" i="4" s="1"/>
  <c r="M147" i="4"/>
  <c r="L147" i="4" s="1"/>
  <c r="M142" i="4"/>
  <c r="L142" i="4" s="1"/>
  <c r="M339" i="4"/>
  <c r="L339" i="4" s="1"/>
  <c r="M280" i="4"/>
  <c r="L280" i="4" s="1"/>
  <c r="M62" i="4"/>
  <c r="L62" i="4" s="1"/>
  <c r="M199" i="4"/>
  <c r="L199" i="4" s="1"/>
  <c r="M374" i="4"/>
  <c r="L374" i="4" s="1"/>
  <c r="M76" i="4"/>
  <c r="L76" i="4" s="1"/>
  <c r="M334" i="4"/>
  <c r="L334" i="4" s="1"/>
  <c r="M231" i="4"/>
  <c r="L231" i="4" s="1"/>
  <c r="M126" i="4"/>
  <c r="L126" i="4" s="1"/>
  <c r="M152" i="4"/>
  <c r="L152" i="4" s="1"/>
  <c r="M282" i="4"/>
  <c r="L282" i="4" s="1"/>
  <c r="M271" i="4"/>
  <c r="L271" i="4" s="1"/>
  <c r="M57" i="4"/>
  <c r="L57" i="4" s="1"/>
  <c r="M323" i="4"/>
  <c r="L323" i="4" s="1"/>
  <c r="M141" i="4"/>
  <c r="L141" i="4" s="1"/>
  <c r="M135" i="4"/>
  <c r="L135" i="4" s="1"/>
  <c r="M248" i="4"/>
  <c r="L248" i="4" s="1"/>
  <c r="M138" i="4"/>
  <c r="L138" i="4" s="1"/>
  <c r="M116" i="4"/>
  <c r="L116" i="4" s="1"/>
  <c r="M304" i="4"/>
  <c r="L304" i="4" s="1"/>
  <c r="M130" i="4"/>
  <c r="L130" i="4" s="1"/>
  <c r="M290" i="4"/>
  <c r="L290" i="4" s="1"/>
  <c r="M229" i="4"/>
  <c r="L229" i="4" s="1"/>
  <c r="M159" i="4"/>
  <c r="L159" i="4" s="1"/>
  <c r="M285" i="4"/>
  <c r="L285" i="4" s="1"/>
  <c r="M264" i="4"/>
  <c r="L264" i="4" s="1"/>
  <c r="M90" i="4"/>
  <c r="L90" i="4" s="1"/>
  <c r="M47" i="4"/>
  <c r="L47" i="4" s="1"/>
  <c r="M219" i="4"/>
  <c r="L219" i="4" s="1"/>
  <c r="M234" i="4"/>
  <c r="L234" i="4" s="1"/>
  <c r="M149" i="4"/>
  <c r="L149" i="4" s="1"/>
  <c r="M58" i="4"/>
  <c r="L58" i="4" s="1"/>
  <c r="M194" i="4"/>
  <c r="L194" i="4" s="1"/>
  <c r="M192" i="4"/>
  <c r="L192" i="4" s="1"/>
  <c r="M305" i="4"/>
  <c r="L305" i="4" s="1"/>
  <c r="M123" i="4"/>
  <c r="L123" i="4" s="1"/>
  <c r="M314" i="4"/>
  <c r="L314" i="4" s="1"/>
  <c r="M74" i="4"/>
  <c r="L74" i="4" s="1"/>
  <c r="M46" i="4"/>
  <c r="L46" i="4" s="1"/>
  <c r="M253" i="4"/>
  <c r="L253" i="4" s="1"/>
  <c r="M361" i="4"/>
  <c r="L361" i="4" s="1"/>
  <c r="M156" i="4"/>
  <c r="L156" i="4" s="1"/>
  <c r="M270" i="4"/>
  <c r="L270" i="4" s="1"/>
  <c r="M322" i="4"/>
  <c r="L322" i="4" s="1"/>
  <c r="M292" i="4"/>
  <c r="L292" i="4" s="1"/>
  <c r="M241" i="4"/>
  <c r="L241" i="4" s="1"/>
  <c r="M247" i="4"/>
  <c r="L247" i="4" s="1"/>
  <c r="M87" i="4"/>
  <c r="L87" i="4" s="1"/>
  <c r="M350" i="4"/>
  <c r="L350" i="4" s="1"/>
  <c r="M252" i="4"/>
  <c r="L252" i="4" s="1"/>
  <c r="M218" i="4"/>
  <c r="L218" i="4" s="1"/>
  <c r="M169" i="4"/>
  <c r="L169" i="4" s="1"/>
  <c r="M61" i="4"/>
  <c r="L61" i="4" s="1"/>
  <c r="M331" i="4"/>
  <c r="L331" i="4" s="1"/>
  <c r="M179" i="4"/>
  <c r="L179" i="4" s="1"/>
  <c r="M312" i="4"/>
  <c r="L312" i="4" s="1"/>
  <c r="M222" i="4"/>
  <c r="L222" i="4" s="1"/>
  <c r="M375" i="4"/>
  <c r="L375" i="4" s="1"/>
  <c r="M303" i="4"/>
  <c r="L303" i="4" s="1"/>
  <c r="M362" i="4"/>
  <c r="L362" i="4" s="1"/>
  <c r="M220" i="4"/>
  <c r="L220" i="4" s="1"/>
  <c r="M356" i="4"/>
  <c r="L356" i="4" s="1"/>
  <c r="M69" i="4"/>
  <c r="L69" i="4" s="1"/>
  <c r="M106" i="4"/>
  <c r="L106" i="4" s="1"/>
  <c r="M341" i="4"/>
  <c r="L341" i="4" s="1"/>
  <c r="M230" i="4"/>
  <c r="L230" i="4" s="1"/>
  <c r="M209" i="4"/>
  <c r="L209" i="4" s="1"/>
  <c r="M129" i="4"/>
  <c r="L129" i="4" s="1"/>
  <c r="M233" i="4"/>
  <c r="L233" i="4" s="1"/>
  <c r="M320" i="4"/>
  <c r="L320" i="4" s="1"/>
  <c r="M54" i="4"/>
  <c r="L54" i="4" s="1"/>
  <c r="M373" i="4"/>
  <c r="L373" i="4" s="1"/>
  <c r="M195" i="4"/>
  <c r="L195" i="4" s="1"/>
  <c r="M345" i="4"/>
  <c r="L345" i="4" s="1"/>
  <c r="M260" i="4"/>
  <c r="L260" i="4" s="1"/>
  <c r="M369" i="4"/>
  <c r="L369" i="4" s="1"/>
  <c r="M128" i="4"/>
  <c r="L128" i="4" s="1"/>
  <c r="M349" i="4"/>
  <c r="L349" i="4" s="1"/>
  <c r="M104" i="4"/>
  <c r="L104" i="4" s="1"/>
  <c r="M236" i="4"/>
  <c r="L236" i="4" s="1"/>
  <c r="M344" i="4"/>
  <c r="L344" i="4" s="1"/>
  <c r="M157" i="4"/>
  <c r="L157" i="4" s="1"/>
  <c r="M359" i="4"/>
  <c r="L359" i="4" s="1"/>
  <c r="M287" i="4"/>
  <c r="L287" i="4" s="1"/>
  <c r="M115" i="4"/>
  <c r="L115" i="4" s="1"/>
  <c r="M240" i="4"/>
  <c r="L240" i="4" s="1"/>
  <c r="M360" i="4"/>
  <c r="L360" i="4" s="1"/>
  <c r="M56" i="4"/>
  <c r="L56" i="4" s="1"/>
  <c r="M210" i="4"/>
  <c r="L210" i="4" s="1"/>
  <c r="M94" i="4"/>
  <c r="L94" i="4" s="1"/>
  <c r="M170" i="4"/>
  <c r="L170" i="4" s="1"/>
  <c r="M258" i="4"/>
  <c r="L258" i="4" s="1"/>
  <c r="M213" i="4"/>
  <c r="L213" i="4" s="1"/>
  <c r="M140" i="4"/>
  <c r="L140" i="4" s="1"/>
  <c r="M335" i="4"/>
  <c r="L335" i="4" s="1"/>
  <c r="M178" i="4"/>
  <c r="L178" i="4" s="1"/>
  <c r="M353" i="4"/>
  <c r="L353" i="4" s="1"/>
  <c r="M298" i="4"/>
  <c r="L298" i="4" s="1"/>
  <c r="M120" i="4"/>
  <c r="L120" i="4" s="1"/>
  <c r="M307" i="4"/>
  <c r="L307" i="4" s="1"/>
  <c r="M122" i="4"/>
  <c r="L122" i="4" s="1"/>
  <c r="M257" i="4"/>
  <c r="L257" i="4" s="1"/>
  <c r="M132" i="4"/>
  <c r="L132" i="4" s="1"/>
  <c r="M113" i="4"/>
  <c r="L113" i="4" s="1"/>
  <c r="M193" i="4"/>
  <c r="L193" i="4" s="1"/>
  <c r="M96" i="4"/>
  <c r="L96" i="4" s="1"/>
  <c r="M82" i="4"/>
  <c r="L82" i="4" s="1"/>
  <c r="M325" i="4"/>
  <c r="L325" i="4" s="1"/>
  <c r="M97" i="4"/>
  <c r="L97" i="4" s="1"/>
  <c r="M276" i="4"/>
  <c r="L276" i="4" s="1"/>
  <c r="M316" i="4"/>
  <c r="L316" i="4" s="1"/>
  <c r="M95" i="4"/>
  <c r="L95" i="4" s="1"/>
  <c r="M137" i="4"/>
  <c r="L137" i="4" s="1"/>
  <c r="M237" i="4"/>
  <c r="L237" i="4" s="1"/>
  <c r="M67" i="4"/>
  <c r="L67" i="4" s="1"/>
  <c r="M155" i="4"/>
  <c r="L155" i="4" s="1"/>
  <c r="M216" i="4"/>
  <c r="L216" i="4" s="1"/>
  <c r="M65" i="4"/>
  <c r="L65" i="4" s="1"/>
  <c r="M201" i="4"/>
  <c r="L201" i="4" s="1"/>
  <c r="M114" i="4"/>
  <c r="L114" i="4" s="1"/>
  <c r="M269" i="4"/>
  <c r="L269" i="4" s="1"/>
  <c r="M110" i="4"/>
  <c r="L110" i="4" s="1"/>
  <c r="AK55" i="2"/>
  <c r="AL55" i="2" s="1"/>
  <c r="AL54" i="2"/>
  <c r="W55" i="4"/>
  <c r="X62" i="6" s="1"/>
  <c r="K58" i="6"/>
  <c r="W97" i="4"/>
  <c r="X104" i="6" s="1"/>
  <c r="I256" i="4"/>
  <c r="I263" i="6"/>
  <c r="I203" i="4"/>
  <c r="I210" i="6"/>
  <c r="I175" i="4"/>
  <c r="I182" i="6"/>
  <c r="I145" i="4"/>
  <c r="I152" i="6"/>
  <c r="I150" i="4"/>
  <c r="I157" i="6"/>
  <c r="I26" i="4"/>
  <c r="I33" i="6"/>
  <c r="W188" i="4"/>
  <c r="X195" i="6" s="1"/>
  <c r="W154" i="4"/>
  <c r="X161" i="6" s="1"/>
  <c r="W325" i="4"/>
  <c r="X332" i="6" s="1"/>
  <c r="I166" i="4"/>
  <c r="I173" i="6"/>
  <c r="I197" i="4"/>
  <c r="I204" i="6"/>
  <c r="I313" i="4"/>
  <c r="I320" i="6"/>
  <c r="I66" i="4"/>
  <c r="I73" i="6"/>
  <c r="W287" i="4"/>
  <c r="X294" i="6" s="1"/>
  <c r="W94" i="4"/>
  <c r="X101" i="6" s="1"/>
  <c r="I232" i="4"/>
  <c r="I239" i="6"/>
  <c r="I209" i="4"/>
  <c r="I216" i="6"/>
  <c r="I263" i="4"/>
  <c r="I270" i="6"/>
  <c r="I251" i="4"/>
  <c r="I258" i="6"/>
  <c r="I107" i="4"/>
  <c r="I114" i="6"/>
  <c r="W362" i="4"/>
  <c r="X369" i="6" s="1"/>
  <c r="W238" i="4"/>
  <c r="X245" i="6" s="1"/>
  <c r="W74" i="4"/>
  <c r="X81" i="6" s="1"/>
  <c r="I87" i="4"/>
  <c r="I94" i="6"/>
  <c r="W350" i="4"/>
  <c r="X357" i="6" s="1"/>
  <c r="I71" i="4"/>
  <c r="I78" i="6"/>
  <c r="W316" i="4"/>
  <c r="X323" i="6" s="1"/>
  <c r="I151" i="4"/>
  <c r="I158" i="6"/>
  <c r="W197" i="4"/>
  <c r="X204" i="6" s="1"/>
  <c r="W108" i="4"/>
  <c r="X115" i="6" s="1"/>
  <c r="I246" i="4"/>
  <c r="P246" i="4" s="1"/>
  <c r="H256" i="14" s="1"/>
  <c r="I253" i="6"/>
  <c r="W332" i="4"/>
  <c r="X339" i="6" s="1"/>
  <c r="W335" i="4"/>
  <c r="X342" i="6" s="1"/>
  <c r="W232" i="4"/>
  <c r="X239" i="6" s="1"/>
  <c r="W209" i="4"/>
  <c r="X216" i="6" s="1"/>
  <c r="I369" i="4"/>
  <c r="I376" i="6"/>
  <c r="W92" i="4"/>
  <c r="X99" i="6" s="1"/>
  <c r="I77" i="4"/>
  <c r="P77" i="4" s="1"/>
  <c r="H87" i="14" s="1"/>
  <c r="I84" i="6"/>
  <c r="I349" i="4"/>
  <c r="I356" i="6"/>
  <c r="I312" i="4"/>
  <c r="I319" i="6"/>
  <c r="I172" i="4"/>
  <c r="I179" i="6"/>
  <c r="W247" i="4"/>
  <c r="X254" i="6" s="1"/>
  <c r="I233" i="4"/>
  <c r="I240" i="6"/>
  <c r="W29" i="4"/>
  <c r="X36" i="6" s="1"/>
  <c r="I222" i="4"/>
  <c r="P222" i="4" s="1"/>
  <c r="H232" i="14" s="1"/>
  <c r="I229" i="6"/>
  <c r="I32" i="4"/>
  <c r="I39" i="6"/>
  <c r="W87" i="4"/>
  <c r="X94" i="6" s="1"/>
  <c r="I324" i="4"/>
  <c r="P324" i="4" s="1"/>
  <c r="H334" i="14" s="1"/>
  <c r="I331" i="6"/>
  <c r="I320" i="4"/>
  <c r="I327" i="6"/>
  <c r="W174" i="4"/>
  <c r="X181" i="6" s="1"/>
  <c r="W347" i="4"/>
  <c r="X354" i="6" s="1"/>
  <c r="I375" i="4"/>
  <c r="I382" i="6"/>
  <c r="I279" i="4"/>
  <c r="I286" i="6"/>
  <c r="I211" i="4"/>
  <c r="I218" i="6"/>
  <c r="I125" i="4"/>
  <c r="I132" i="6"/>
  <c r="W175" i="4"/>
  <c r="X182" i="6" s="1"/>
  <c r="I86" i="4"/>
  <c r="I93" i="6"/>
  <c r="W150" i="4"/>
  <c r="X157" i="6" s="1"/>
  <c r="W26" i="4"/>
  <c r="X33" i="6" s="1"/>
  <c r="I154" i="4"/>
  <c r="I161" i="6"/>
  <c r="I316" i="4"/>
  <c r="I323" i="6"/>
  <c r="I239" i="4"/>
  <c r="P239" i="4" s="1"/>
  <c r="H249" i="14" s="1"/>
  <c r="I246" i="6"/>
  <c r="I265" i="4"/>
  <c r="I272" i="6"/>
  <c r="I95" i="4"/>
  <c r="I102" i="6"/>
  <c r="I206" i="4"/>
  <c r="I213" i="6"/>
  <c r="I293" i="4"/>
  <c r="I300" i="6"/>
  <c r="I190" i="4"/>
  <c r="I197" i="6"/>
  <c r="W222" i="4"/>
  <c r="X229" i="6" s="1"/>
  <c r="W324" i="4"/>
  <c r="X331" i="6" s="1"/>
  <c r="I358" i="4"/>
  <c r="I365" i="6"/>
  <c r="I174" i="4"/>
  <c r="P174" i="4" s="1"/>
  <c r="H184" i="14" s="1"/>
  <c r="I181" i="6"/>
  <c r="I185" i="4"/>
  <c r="I192" i="6"/>
  <c r="W375" i="4"/>
  <c r="X382" i="6" s="1"/>
  <c r="I374" i="4"/>
  <c r="I381" i="6"/>
  <c r="I317" i="4"/>
  <c r="I324" i="6"/>
  <c r="W80" i="4"/>
  <c r="X87" i="6" s="1"/>
  <c r="I367" i="4"/>
  <c r="I374" i="6"/>
  <c r="I291" i="4"/>
  <c r="P291" i="4" s="1"/>
  <c r="H301" i="14" s="1"/>
  <c r="I298" i="6"/>
  <c r="I147" i="4"/>
  <c r="I154" i="6"/>
  <c r="W340" i="4"/>
  <c r="X347" i="6" s="1"/>
  <c r="W151" i="4"/>
  <c r="X158" i="6" s="1"/>
  <c r="W20" i="4"/>
  <c r="X27" i="6" s="1"/>
  <c r="I330" i="4"/>
  <c r="I337" i="6"/>
  <c r="W268" i="4"/>
  <c r="X275" i="6" s="1"/>
  <c r="I132" i="4"/>
  <c r="P132" i="4" s="1"/>
  <c r="H142" i="14" s="1"/>
  <c r="I139" i="6"/>
  <c r="I103" i="4"/>
  <c r="P103" i="4" s="1"/>
  <c r="H113" i="14" s="1"/>
  <c r="I110" i="6"/>
  <c r="W115" i="4"/>
  <c r="X122" i="6" s="1"/>
  <c r="W366" i="4"/>
  <c r="X373" i="6" s="1"/>
  <c r="W193" i="4"/>
  <c r="X200" i="6" s="1"/>
  <c r="W129" i="4"/>
  <c r="X136" i="6" s="1"/>
  <c r="W233" i="4"/>
  <c r="X240" i="6" s="1"/>
  <c r="W32" i="4"/>
  <c r="X39" i="6" s="1"/>
  <c r="W102" i="4"/>
  <c r="X109" i="6" s="1"/>
  <c r="I354" i="4"/>
  <c r="I361" i="6"/>
  <c r="W320" i="4"/>
  <c r="X327" i="6" s="1"/>
  <c r="W317" i="4"/>
  <c r="X324" i="6" s="1"/>
  <c r="W125" i="4"/>
  <c r="X132" i="6" s="1"/>
  <c r="I80" i="4"/>
  <c r="I87" i="6"/>
  <c r="I19" i="4"/>
  <c r="P19" i="4" s="1"/>
  <c r="H29" i="14" s="1"/>
  <c r="I26" i="6"/>
  <c r="W239" i="4"/>
  <c r="X246" i="6" s="1"/>
  <c r="W265" i="4"/>
  <c r="X272" i="6" s="1"/>
  <c r="I343" i="4"/>
  <c r="I350" i="6"/>
  <c r="W206" i="4"/>
  <c r="X213" i="6" s="1"/>
  <c r="I348" i="4"/>
  <c r="I355" i="6"/>
  <c r="I186" i="4"/>
  <c r="I193" i="6"/>
  <c r="I208" i="4"/>
  <c r="P208" i="4" s="1"/>
  <c r="H218" i="14" s="1"/>
  <c r="I215" i="6"/>
  <c r="I372" i="4"/>
  <c r="I379" i="6"/>
  <c r="I178" i="4"/>
  <c r="P178" i="4" s="1"/>
  <c r="H188" i="14" s="1"/>
  <c r="I185" i="6"/>
  <c r="W101" i="4"/>
  <c r="X108" i="6" s="1"/>
  <c r="I34" i="6"/>
  <c r="I27" i="4"/>
  <c r="W198" i="4"/>
  <c r="X205" i="6" s="1"/>
  <c r="I104" i="4"/>
  <c r="I111" i="6"/>
  <c r="I165" i="4"/>
  <c r="P165" i="4" s="1"/>
  <c r="H175" i="14" s="1"/>
  <c r="I172" i="6"/>
  <c r="I236" i="4"/>
  <c r="I243" i="6"/>
  <c r="W185" i="4"/>
  <c r="X192" i="6" s="1"/>
  <c r="I54" i="4"/>
  <c r="I61" i="6"/>
  <c r="I286" i="4"/>
  <c r="I293" i="6"/>
  <c r="W374" i="4"/>
  <c r="X381" i="6" s="1"/>
  <c r="W291" i="4"/>
  <c r="X298" i="6" s="1"/>
  <c r="I336" i="4"/>
  <c r="I343" i="6"/>
  <c r="I248" i="4"/>
  <c r="P248" i="4" s="1"/>
  <c r="H258" i="14" s="1"/>
  <c r="I255" i="6"/>
  <c r="W85" i="4"/>
  <c r="X92" i="6" s="1"/>
  <c r="W355" i="4"/>
  <c r="X362" i="6" s="1"/>
  <c r="I148" i="4"/>
  <c r="I155" i="6"/>
  <c r="I289" i="4"/>
  <c r="I296" i="6"/>
  <c r="I72" i="4"/>
  <c r="I79" i="6"/>
  <c r="W178" i="4"/>
  <c r="X185" i="6" s="1"/>
  <c r="I113" i="4"/>
  <c r="I120" i="6"/>
  <c r="I363" i="4"/>
  <c r="I370" i="6"/>
  <c r="I101" i="4"/>
  <c r="I108" i="6"/>
  <c r="W104" i="4"/>
  <c r="X111" i="6" s="1"/>
  <c r="W240" i="4"/>
  <c r="X247" i="6" s="1"/>
  <c r="W354" i="4"/>
  <c r="X361" i="6" s="1"/>
  <c r="W236" i="4"/>
  <c r="X243" i="6" s="1"/>
  <c r="W202" i="4"/>
  <c r="X209" i="6" s="1"/>
  <c r="I120" i="4"/>
  <c r="I127" i="6"/>
  <c r="W286" i="4"/>
  <c r="X293" i="6" s="1"/>
  <c r="W352" i="4"/>
  <c r="X359" i="6" s="1"/>
  <c r="W141" i="4"/>
  <c r="X148" i="6" s="1"/>
  <c r="I135" i="4"/>
  <c r="I142" i="6"/>
  <c r="I192" i="4"/>
  <c r="I199" i="6"/>
  <c r="W34" i="4"/>
  <c r="X41" i="6" s="1"/>
  <c r="W19" i="4"/>
  <c r="X26" i="6" s="1"/>
  <c r="W283" i="4"/>
  <c r="X290" i="6" s="1"/>
  <c r="W248" i="4"/>
  <c r="X255" i="6" s="1"/>
  <c r="I85" i="4"/>
  <c r="I92" i="6"/>
  <c r="W231" i="4"/>
  <c r="X238" i="6" s="1"/>
  <c r="W343" i="4"/>
  <c r="X350" i="6" s="1"/>
  <c r="W186" i="4"/>
  <c r="X193" i="6" s="1"/>
  <c r="W15" i="4"/>
  <c r="X22" i="6" s="1"/>
  <c r="W100" i="4"/>
  <c r="X107" i="6" s="1"/>
  <c r="I182" i="4"/>
  <c r="I189" i="6"/>
  <c r="I59" i="4"/>
  <c r="I66" i="6"/>
  <c r="W267" i="4"/>
  <c r="X274" i="6" s="1"/>
  <c r="W17" i="4"/>
  <c r="X24" i="6" s="1"/>
  <c r="I326" i="4"/>
  <c r="I333" i="6"/>
  <c r="W25" i="4"/>
  <c r="X32" i="6" s="1"/>
  <c r="W363" i="4"/>
  <c r="X370" i="6" s="1"/>
  <c r="I23" i="4"/>
  <c r="I30" i="6"/>
  <c r="W89" i="4"/>
  <c r="X96" i="6" s="1"/>
  <c r="W353" i="4"/>
  <c r="X360" i="6" s="1"/>
  <c r="W27" i="4"/>
  <c r="X34" i="6" s="1"/>
  <c r="I298" i="4"/>
  <c r="I305" i="6"/>
  <c r="W53" i="4"/>
  <c r="X60" i="6" s="1"/>
  <c r="W368" i="4"/>
  <c r="X375" i="6" s="1"/>
  <c r="I281" i="4"/>
  <c r="I288" i="6"/>
  <c r="W163" i="4"/>
  <c r="X170" i="6" s="1"/>
  <c r="I284" i="4"/>
  <c r="I291" i="6"/>
  <c r="I240" i="4"/>
  <c r="I247" i="6"/>
  <c r="I170" i="4"/>
  <c r="I177" i="6"/>
  <c r="I266" i="4"/>
  <c r="I273" i="6"/>
  <c r="I202" i="4"/>
  <c r="I209" i="6"/>
  <c r="W91" i="4"/>
  <c r="X98" i="6" s="1"/>
  <c r="I53" i="6"/>
  <c r="I46" i="4"/>
  <c r="W250" i="4"/>
  <c r="X257" i="6" s="1"/>
  <c r="W158" i="4"/>
  <c r="X165" i="6" s="1"/>
  <c r="I228" i="4"/>
  <c r="I235" i="6"/>
  <c r="I76" i="4"/>
  <c r="I83" i="6"/>
  <c r="I90" i="4"/>
  <c r="I97" i="6"/>
  <c r="W142" i="4"/>
  <c r="X149" i="6" s="1"/>
  <c r="I40" i="4"/>
  <c r="I47" i="6"/>
  <c r="I255" i="4"/>
  <c r="I262" i="6"/>
  <c r="W72" i="4"/>
  <c r="X79" i="6" s="1"/>
  <c r="W173" i="4"/>
  <c r="X180" i="6" s="1"/>
  <c r="I100" i="4"/>
  <c r="I107" i="6"/>
  <c r="W59" i="4"/>
  <c r="X66" i="6" s="1"/>
  <c r="W164" i="4"/>
  <c r="X171" i="6" s="1"/>
  <c r="W298" i="4"/>
  <c r="X305" i="6" s="1"/>
  <c r="I163" i="4"/>
  <c r="I170" i="6"/>
  <c r="I275" i="4"/>
  <c r="P275" i="4" s="1"/>
  <c r="H285" i="14" s="1"/>
  <c r="I282" i="6"/>
  <c r="W120" i="4"/>
  <c r="X127" i="6" s="1"/>
  <c r="I91" i="4"/>
  <c r="I98" i="6"/>
  <c r="W200" i="4"/>
  <c r="X207" i="6" s="1"/>
  <c r="W79" i="4"/>
  <c r="X86" i="6" s="1"/>
  <c r="W168" i="4"/>
  <c r="X175" i="6" s="1"/>
  <c r="F18" i="6"/>
  <c r="E11" i="4"/>
  <c r="W370" i="4"/>
  <c r="X377" i="6" s="1"/>
  <c r="I54" i="6"/>
  <c r="I47" i="4"/>
  <c r="P47" i="4" s="1"/>
  <c r="H57" i="14" s="1"/>
  <c r="I43" i="4"/>
  <c r="I50" i="6"/>
  <c r="W255" i="4"/>
  <c r="X262" i="6" s="1"/>
  <c r="I295" i="4"/>
  <c r="I302" i="6"/>
  <c r="W196" i="4"/>
  <c r="X203" i="6" s="1"/>
  <c r="I162" i="4"/>
  <c r="I169" i="6"/>
  <c r="W23" i="4"/>
  <c r="X30" i="6" s="1"/>
  <c r="I237" i="4"/>
  <c r="I244" i="6"/>
  <c r="I164" i="4"/>
  <c r="I171" i="6"/>
  <c r="I96" i="4"/>
  <c r="I103" i="6"/>
  <c r="W281" i="4"/>
  <c r="X288" i="6" s="1"/>
  <c r="I155" i="4"/>
  <c r="I162" i="6"/>
  <c r="W284" i="4"/>
  <c r="X291" i="6" s="1"/>
  <c r="I216" i="4"/>
  <c r="I223" i="6"/>
  <c r="W181" i="4"/>
  <c r="X188" i="6" s="1"/>
  <c r="I139" i="4"/>
  <c r="I146" i="6"/>
  <c r="I112" i="4"/>
  <c r="I119" i="6"/>
  <c r="I361" i="4"/>
  <c r="I368" i="6"/>
  <c r="I64" i="4"/>
  <c r="I71" i="6"/>
  <c r="I16" i="4"/>
  <c r="P16" i="4" s="1"/>
  <c r="H26" i="14" s="1"/>
  <c r="I23" i="6"/>
  <c r="W68" i="4"/>
  <c r="X75" i="6" s="1"/>
  <c r="I218" i="4"/>
  <c r="I225" i="6"/>
  <c r="W90" i="4"/>
  <c r="X97" i="6" s="1"/>
  <c r="W302" i="4"/>
  <c r="X309" i="6" s="1"/>
  <c r="W212" i="4"/>
  <c r="X219" i="6" s="1"/>
  <c r="I173" i="4"/>
  <c r="I180" i="6"/>
  <c r="I83" i="4"/>
  <c r="I90" i="6"/>
  <c r="I245" i="4"/>
  <c r="P245" i="4" s="1"/>
  <c r="H255" i="14" s="1"/>
  <c r="I252" i="6"/>
  <c r="I134" i="4"/>
  <c r="I141" i="6"/>
  <c r="W361" i="4"/>
  <c r="X368" i="6" s="1"/>
  <c r="W356" i="4"/>
  <c r="X363" i="6" s="1"/>
  <c r="I37" i="4"/>
  <c r="I44" i="6"/>
  <c r="W218" i="4"/>
  <c r="X225" i="6" s="1"/>
  <c r="I14" i="4"/>
  <c r="P14" i="4" s="1"/>
  <c r="H24" i="14" s="1"/>
  <c r="I21" i="6"/>
  <c r="I370" i="4"/>
  <c r="I377" i="6"/>
  <c r="W47" i="4"/>
  <c r="X54" i="6" s="1"/>
  <c r="I302" i="4"/>
  <c r="P302" i="4" s="1"/>
  <c r="H312" i="14" s="1"/>
  <c r="I309" i="6"/>
  <c r="I277" i="4"/>
  <c r="I284" i="6"/>
  <c r="I196" i="4"/>
  <c r="I203" i="6"/>
  <c r="I214" i="4"/>
  <c r="P214" i="4" s="1"/>
  <c r="H224" i="14" s="1"/>
  <c r="I221" i="6"/>
  <c r="I318" i="4"/>
  <c r="I325" i="6"/>
  <c r="I205" i="4"/>
  <c r="I212" i="6"/>
  <c r="I67" i="4"/>
  <c r="P67" i="4" s="1"/>
  <c r="H77" i="14" s="1"/>
  <c r="I74" i="6"/>
  <c r="W155" i="4"/>
  <c r="X162" i="6" s="1"/>
  <c r="W216" i="4"/>
  <c r="X223" i="6" s="1"/>
  <c r="I72" i="6"/>
  <c r="I65" i="4"/>
  <c r="I201" i="4"/>
  <c r="I208" i="6"/>
  <c r="I114" i="4"/>
  <c r="I121" i="6"/>
  <c r="W110" i="4"/>
  <c r="X117" i="6" s="1"/>
  <c r="W139" i="4"/>
  <c r="X146" i="6" s="1"/>
  <c r="I373" i="4"/>
  <c r="I380" i="6"/>
  <c r="I176" i="4"/>
  <c r="I183" i="6"/>
  <c r="W306" i="4"/>
  <c r="X313" i="6" s="1"/>
  <c r="I225" i="4"/>
  <c r="I232" i="6"/>
  <c r="V12" i="4"/>
  <c r="W19" i="6" s="1"/>
  <c r="K12" i="4"/>
  <c r="H12" i="4"/>
  <c r="W14" i="4"/>
  <c r="X21" i="6" s="1"/>
  <c r="I305" i="4"/>
  <c r="I312" i="6"/>
  <c r="I333" i="4"/>
  <c r="I340" i="6"/>
  <c r="W249" i="4"/>
  <c r="X256" i="6" s="1"/>
  <c r="W277" i="4"/>
  <c r="X284" i="6" s="1"/>
  <c r="W315" i="4"/>
  <c r="X322" i="6" s="1"/>
  <c r="W214" i="4"/>
  <c r="X221" i="6" s="1"/>
  <c r="W308" i="4"/>
  <c r="X315" i="6" s="1"/>
  <c r="W207" i="4"/>
  <c r="X214" i="6" s="1"/>
  <c r="I329" i="4"/>
  <c r="I336" i="6"/>
  <c r="W242" i="4"/>
  <c r="X249" i="6" s="1"/>
  <c r="W67" i="4"/>
  <c r="X74" i="6" s="1"/>
  <c r="W21" i="4"/>
  <c r="X28" i="6" s="1"/>
  <c r="I39" i="4"/>
  <c r="I46" i="6"/>
  <c r="I344" i="4"/>
  <c r="I351" i="6"/>
  <c r="I306" i="4"/>
  <c r="I313" i="6"/>
  <c r="I356" i="4"/>
  <c r="P356" i="4" s="1"/>
  <c r="H366" i="14" s="1"/>
  <c r="I363" i="6"/>
  <c r="I153" i="4"/>
  <c r="I160" i="6"/>
  <c r="I28" i="4"/>
  <c r="I35" i="6"/>
  <c r="I195" i="4"/>
  <c r="I202" i="6"/>
  <c r="W252" i="4"/>
  <c r="X259" i="6" s="1"/>
  <c r="I143" i="4"/>
  <c r="I150" i="6"/>
  <c r="I249" i="4"/>
  <c r="I256" i="6"/>
  <c r="W331" i="4"/>
  <c r="X338" i="6" s="1"/>
  <c r="I116" i="4"/>
  <c r="I123" i="6"/>
  <c r="W254" i="4"/>
  <c r="X261" i="6" s="1"/>
  <c r="I130" i="4"/>
  <c r="I137" i="6"/>
  <c r="I234" i="4"/>
  <c r="I241" i="6"/>
  <c r="I242" i="4"/>
  <c r="I249" i="6"/>
  <c r="W261" i="4"/>
  <c r="X268" i="6" s="1"/>
  <c r="W205" i="4"/>
  <c r="X212" i="6" s="1"/>
  <c r="I300" i="4"/>
  <c r="I307" i="6"/>
  <c r="I58" i="6"/>
  <c r="J58" i="6" s="1"/>
  <c r="Q58" i="6" s="1"/>
  <c r="I51" i="4"/>
  <c r="I124" i="4"/>
  <c r="I131" i="6"/>
  <c r="I221" i="4"/>
  <c r="I228" i="6"/>
  <c r="K27" i="6"/>
  <c r="I309" i="4"/>
  <c r="I316" i="6"/>
  <c r="W225" i="4"/>
  <c r="X232" i="6" s="1"/>
  <c r="W157" i="4"/>
  <c r="X164" i="6" s="1"/>
  <c r="I52" i="4"/>
  <c r="I59" i="6"/>
  <c r="W143" i="4"/>
  <c r="X150" i="6" s="1"/>
  <c r="W299" i="4"/>
  <c r="X306" i="6" s="1"/>
  <c r="I304" i="4"/>
  <c r="P304" i="4" s="1"/>
  <c r="H314" i="14" s="1"/>
  <c r="I311" i="6"/>
  <c r="I315" i="4"/>
  <c r="I322" i="6"/>
  <c r="W234" i="4"/>
  <c r="X241" i="6" s="1"/>
  <c r="W329" i="4"/>
  <c r="X336" i="6" s="1"/>
  <c r="I282" i="4"/>
  <c r="P282" i="4" s="1"/>
  <c r="H292" i="14" s="1"/>
  <c r="I289" i="6"/>
  <c r="I339" i="4"/>
  <c r="I346" i="6"/>
  <c r="W226" i="4"/>
  <c r="X233" i="6" s="1"/>
  <c r="I199" i="4"/>
  <c r="I206" i="6"/>
  <c r="W124" i="4"/>
  <c r="X131" i="6" s="1"/>
  <c r="I296" i="4"/>
  <c r="P296" i="4" s="1"/>
  <c r="H306" i="14" s="1"/>
  <c r="I303" i="6"/>
  <c r="I18" i="4"/>
  <c r="P18" i="4" s="1"/>
  <c r="H28" i="14" s="1"/>
  <c r="I25" i="6"/>
  <c r="I84" i="4"/>
  <c r="I91" i="6"/>
  <c r="W243" i="4"/>
  <c r="X250" i="6" s="1"/>
  <c r="W221" i="4"/>
  <c r="X228" i="6" s="1"/>
  <c r="K26" i="6"/>
  <c r="W344" i="4"/>
  <c r="X351" i="6" s="1"/>
  <c r="W28" i="4"/>
  <c r="X35" i="6" s="1"/>
  <c r="W48" i="4"/>
  <c r="X55" i="6" s="1"/>
  <c r="W177" i="4"/>
  <c r="X184" i="6" s="1"/>
  <c r="I157" i="4"/>
  <c r="I164" i="6"/>
  <c r="I210" i="4"/>
  <c r="I217" i="6"/>
  <c r="I345" i="4"/>
  <c r="P345" i="4" s="1"/>
  <c r="H355" i="14" s="1"/>
  <c r="I352" i="6"/>
  <c r="I44" i="4"/>
  <c r="I51" i="6"/>
  <c r="W160" i="4"/>
  <c r="X167" i="6" s="1"/>
  <c r="W304" i="4"/>
  <c r="X311" i="6" s="1"/>
  <c r="I123" i="4"/>
  <c r="I130" i="6"/>
  <c r="W152" i="4"/>
  <c r="X159" i="6" s="1"/>
  <c r="W130" i="4"/>
  <c r="X137" i="6" s="1"/>
  <c r="I292" i="4"/>
  <c r="I299" i="6"/>
  <c r="I45" i="4"/>
  <c r="I52" i="6"/>
  <c r="W319" i="4"/>
  <c r="X326" i="6" s="1"/>
  <c r="W119" i="4"/>
  <c r="X126" i="6" s="1"/>
  <c r="W296" i="4"/>
  <c r="X303" i="6" s="1"/>
  <c r="W18" i="4"/>
  <c r="X25" i="6" s="1"/>
  <c r="I57" i="4"/>
  <c r="I64" i="6"/>
  <c r="I301" i="4"/>
  <c r="I308" i="6"/>
  <c r="K25" i="6"/>
  <c r="W307" i="4"/>
  <c r="X314" i="6" s="1"/>
  <c r="W309" i="4"/>
  <c r="X316" i="6" s="1"/>
  <c r="I56" i="4"/>
  <c r="I63" i="6"/>
  <c r="I224" i="4"/>
  <c r="I231" i="6"/>
  <c r="W52" i="4"/>
  <c r="X59" i="6" s="1"/>
  <c r="W106" i="4"/>
  <c r="X113" i="6" s="1"/>
  <c r="I341" i="4"/>
  <c r="I348" i="6"/>
  <c r="I49" i="4"/>
  <c r="I56" i="6"/>
  <c r="I179" i="4"/>
  <c r="I186" i="6"/>
  <c r="W219" i="4"/>
  <c r="X226" i="6" s="1"/>
  <c r="W314" i="4"/>
  <c r="X321" i="6" s="1"/>
  <c r="W45" i="4"/>
  <c r="X52" i="6" s="1"/>
  <c r="W339" i="4"/>
  <c r="X346" i="6" s="1"/>
  <c r="I187" i="4"/>
  <c r="I194" i="6"/>
  <c r="I69" i="6"/>
  <c r="I62" i="4"/>
  <c r="W199" i="4"/>
  <c r="X206" i="6" s="1"/>
  <c r="W56" i="4"/>
  <c r="X63" i="6" s="1"/>
  <c r="W258" i="4"/>
  <c r="X265" i="6" s="1"/>
  <c r="W341" i="4"/>
  <c r="X348" i="6" s="1"/>
  <c r="W230" i="4"/>
  <c r="X237" i="6" s="1"/>
  <c r="I63" i="4"/>
  <c r="I70" i="6"/>
  <c r="I117" i="4"/>
  <c r="I124" i="6"/>
  <c r="W33" i="4"/>
  <c r="X40" i="6" s="1"/>
  <c r="I365" i="4"/>
  <c r="I372" i="6"/>
  <c r="I342" i="4"/>
  <c r="I349" i="6"/>
  <c r="W62" i="4"/>
  <c r="X69" i="6" s="1"/>
  <c r="I119" i="4"/>
  <c r="I126" i="6"/>
  <c r="W38" i="4"/>
  <c r="X45" i="6" s="1"/>
  <c r="I346" i="4"/>
  <c r="P346" i="4" s="1"/>
  <c r="H356" i="14" s="1"/>
  <c r="I353" i="6"/>
  <c r="W323" i="4"/>
  <c r="X330" i="6" s="1"/>
  <c r="I144" i="4"/>
  <c r="I151" i="6"/>
  <c r="I60" i="4"/>
  <c r="P60" i="4" s="1"/>
  <c r="H70" i="14" s="1"/>
  <c r="I67" i="6"/>
  <c r="I276" i="4"/>
  <c r="I283" i="6"/>
  <c r="W204" i="4"/>
  <c r="X211" i="6" s="1"/>
  <c r="I359" i="4"/>
  <c r="I366" i="6"/>
  <c r="I257" i="4"/>
  <c r="I264" i="6"/>
  <c r="I140" i="4"/>
  <c r="I147" i="6"/>
  <c r="W49" i="4"/>
  <c r="X56" i="6" s="1"/>
  <c r="I55" i="4"/>
  <c r="I62" i="6"/>
  <c r="W184" i="4"/>
  <c r="X191" i="6" s="1"/>
  <c r="W117" i="4"/>
  <c r="X124" i="6" s="1"/>
  <c r="W322" i="4"/>
  <c r="X329" i="6" s="1"/>
  <c r="I223" i="4"/>
  <c r="I230" i="6"/>
  <c r="I37" i="6"/>
  <c r="I30" i="4"/>
  <c r="W342" i="4"/>
  <c r="X349" i="6" s="1"/>
  <c r="W133" i="4"/>
  <c r="X140" i="6" s="1"/>
  <c r="W338" i="4"/>
  <c r="X345" i="6" s="1"/>
  <c r="W159" i="4"/>
  <c r="X166" i="6" s="1"/>
  <c r="I285" i="4"/>
  <c r="I292" i="6"/>
  <c r="I217" i="4"/>
  <c r="I224" i="6"/>
  <c r="W60" i="4"/>
  <c r="X67" i="6" s="1"/>
  <c r="I325" i="4"/>
  <c r="I332" i="6"/>
  <c r="W22" i="4"/>
  <c r="X29" i="6" s="1"/>
  <c r="I93" i="4"/>
  <c r="I100" i="6"/>
  <c r="I213" i="4"/>
  <c r="I220" i="6"/>
  <c r="I204" i="4"/>
  <c r="I211" i="6"/>
  <c r="I131" i="4"/>
  <c r="P131" i="4" s="1"/>
  <c r="H141" i="14" s="1"/>
  <c r="I138" i="6"/>
  <c r="W359" i="4"/>
  <c r="X366" i="6" s="1"/>
  <c r="W121" i="4"/>
  <c r="X128" i="6" s="1"/>
  <c r="W257" i="4"/>
  <c r="X264" i="6" s="1"/>
  <c r="W260" i="4"/>
  <c r="X267" i="6" s="1"/>
  <c r="W179" i="4"/>
  <c r="X186" i="6" s="1"/>
  <c r="W63" i="4"/>
  <c r="X70" i="6" s="1"/>
  <c r="I184" i="4"/>
  <c r="I191" i="6"/>
  <c r="W365" i="4"/>
  <c r="X372" i="6" s="1"/>
  <c r="W30" i="4"/>
  <c r="X37" i="6" s="1"/>
  <c r="I238" i="4"/>
  <c r="I245" i="6"/>
  <c r="I133" i="4"/>
  <c r="I140" i="6"/>
  <c r="I99" i="4"/>
  <c r="I106" i="6"/>
  <c r="W229" i="4"/>
  <c r="X236" i="6" s="1"/>
  <c r="I149" i="4"/>
  <c r="I156" i="6"/>
  <c r="I371" i="4"/>
  <c r="I378" i="6"/>
  <c r="I127" i="4"/>
  <c r="I134" i="6"/>
  <c r="I159" i="4"/>
  <c r="I166" i="6"/>
  <c r="I58" i="4"/>
  <c r="I65" i="6"/>
  <c r="I350" i="4"/>
  <c r="I357" i="6"/>
  <c r="I215" i="4"/>
  <c r="P215" i="4" s="1"/>
  <c r="H225" i="14" s="1"/>
  <c r="I222" i="6"/>
  <c r="I227" i="4"/>
  <c r="I234" i="6"/>
  <c r="W346" i="4"/>
  <c r="X353" i="6" s="1"/>
  <c r="W285" i="4"/>
  <c r="X292" i="6" s="1"/>
  <c r="W217" i="4"/>
  <c r="X224" i="6" s="1"/>
  <c r="I194" i="4"/>
  <c r="I201" i="6"/>
  <c r="I241" i="4"/>
  <c r="I248" i="6"/>
  <c r="W312" i="4"/>
  <c r="X319" i="6" s="1"/>
  <c r="I247" i="4"/>
  <c r="I254" i="6"/>
  <c r="W127" i="4"/>
  <c r="X134" i="6" s="1"/>
  <c r="W358" i="4"/>
  <c r="X365" i="6" s="1"/>
  <c r="W227" i="4"/>
  <c r="X234" i="6" s="1"/>
  <c r="I183" i="4"/>
  <c r="I190" i="6"/>
  <c r="W279" i="4"/>
  <c r="X286" i="6" s="1"/>
  <c r="W256" i="4"/>
  <c r="X263" i="6" s="1"/>
  <c r="W321" i="4"/>
  <c r="X328" i="6" s="1"/>
  <c r="W145" i="4"/>
  <c r="X152" i="6" s="1"/>
  <c r="I273" i="4"/>
  <c r="I280" i="6"/>
  <c r="W278" i="4"/>
  <c r="X285" i="6" s="1"/>
  <c r="I340" i="4"/>
  <c r="I347" i="6"/>
  <c r="W166" i="4"/>
  <c r="X173" i="6" s="1"/>
  <c r="W313" i="4"/>
  <c r="X320" i="6" s="1"/>
  <c r="I161" i="4"/>
  <c r="I168" i="6"/>
  <c r="I137" i="4"/>
  <c r="I144" i="6"/>
  <c r="W128" i="4"/>
  <c r="X135" i="6" s="1"/>
  <c r="W118" i="4"/>
  <c r="X125" i="6" s="1"/>
  <c r="W161" i="4"/>
  <c r="X168" i="6" s="1"/>
  <c r="W66" i="4"/>
  <c r="X73" i="6" s="1"/>
  <c r="W137" i="4"/>
  <c r="X144" i="6" s="1"/>
  <c r="I268" i="4"/>
  <c r="I275" i="6"/>
  <c r="W132" i="4"/>
  <c r="X139" i="6" s="1"/>
  <c r="W103" i="4"/>
  <c r="X110" i="6" s="1"/>
  <c r="W263" i="4"/>
  <c r="X270" i="6" s="1"/>
  <c r="I115" i="4"/>
  <c r="I122" i="6"/>
  <c r="W107" i="4"/>
  <c r="X114" i="6" s="1"/>
  <c r="W369" i="4"/>
  <c r="X376" i="6" s="1"/>
  <c r="I366" i="4"/>
  <c r="I373" i="6"/>
  <c r="I193" i="4"/>
  <c r="I200" i="6"/>
  <c r="I92" i="4"/>
  <c r="I99" i="6"/>
  <c r="W77" i="4"/>
  <c r="X84" i="6" s="1"/>
  <c r="I129" i="4"/>
  <c r="P129" i="4" s="1"/>
  <c r="H139" i="14" s="1"/>
  <c r="I136" i="6"/>
  <c r="I235" i="4"/>
  <c r="I242" i="6"/>
  <c r="W172" i="4"/>
  <c r="X179" i="6" s="1"/>
  <c r="W220" i="4"/>
  <c r="X227" i="6" s="1"/>
  <c r="I118" i="4"/>
  <c r="I125" i="6"/>
  <c r="W211" i="4"/>
  <c r="X218" i="6" s="1"/>
  <c r="I311" i="4"/>
  <c r="P311" i="4" s="1"/>
  <c r="H321" i="14" s="1"/>
  <c r="I318" i="6"/>
  <c r="I278" i="4"/>
  <c r="I285" i="6"/>
  <c r="W71" i="4"/>
  <c r="X78" i="6" s="1"/>
  <c r="I146" i="4"/>
  <c r="I153" i="6"/>
  <c r="W95" i="4"/>
  <c r="X102" i="6" s="1"/>
  <c r="I31" i="4"/>
  <c r="I38" i="6"/>
  <c r="I111" i="4"/>
  <c r="I118" i="6"/>
  <c r="I167" i="4"/>
  <c r="I174" i="6"/>
  <c r="W113" i="4"/>
  <c r="X120" i="6" s="1"/>
  <c r="W349" i="4"/>
  <c r="X356" i="6" s="1"/>
  <c r="I220" i="4"/>
  <c r="I227" i="6"/>
  <c r="I198" i="4"/>
  <c r="I205" i="6"/>
  <c r="W165" i="4"/>
  <c r="X172" i="6" s="1"/>
  <c r="W54" i="4"/>
  <c r="X61" i="6" s="1"/>
  <c r="I36" i="4"/>
  <c r="I43" i="6"/>
  <c r="W311" i="4"/>
  <c r="X318" i="6" s="1"/>
  <c r="W367" i="4"/>
  <c r="X374" i="6" s="1"/>
  <c r="W86" i="4"/>
  <c r="X93" i="6" s="1"/>
  <c r="W336" i="4"/>
  <c r="X343" i="6" s="1"/>
  <c r="W147" i="4"/>
  <c r="X154" i="6" s="1"/>
  <c r="I20" i="4"/>
  <c r="P20" i="4" s="1"/>
  <c r="H30" i="14" s="1"/>
  <c r="I27" i="6"/>
  <c r="I355" i="4"/>
  <c r="I362" i="6"/>
  <c r="W330" i="4"/>
  <c r="X337" i="6" s="1"/>
  <c r="W293" i="4"/>
  <c r="X300" i="6" s="1"/>
  <c r="W31" i="4"/>
  <c r="X38" i="6" s="1"/>
  <c r="W111" i="4"/>
  <c r="X118" i="6" s="1"/>
  <c r="W167" i="4"/>
  <c r="X174" i="6" s="1"/>
  <c r="I267" i="4"/>
  <c r="I274" i="6"/>
  <c r="I89" i="4"/>
  <c r="I96" i="6"/>
  <c r="I353" i="4"/>
  <c r="I360" i="6"/>
  <c r="W235" i="4"/>
  <c r="X242" i="6" s="1"/>
  <c r="W190" i="4"/>
  <c r="X197" i="6" s="1"/>
  <c r="I102" i="4"/>
  <c r="I109" i="6"/>
  <c r="W36" i="4"/>
  <c r="X43" i="6" s="1"/>
  <c r="I264" i="4"/>
  <c r="I271" i="6"/>
  <c r="I250" i="4"/>
  <c r="I257" i="6"/>
  <c r="W192" i="4"/>
  <c r="X199" i="6" s="1"/>
  <c r="I34" i="4"/>
  <c r="I41" i="6"/>
  <c r="W146" i="4"/>
  <c r="X153" i="6" s="1"/>
  <c r="I283" i="4"/>
  <c r="P283" i="4" s="1"/>
  <c r="H293" i="14" s="1"/>
  <c r="I290" i="6"/>
  <c r="I142" i="4"/>
  <c r="I149" i="6"/>
  <c r="W348" i="4"/>
  <c r="X355" i="6" s="1"/>
  <c r="W208" i="4"/>
  <c r="X215" i="6" s="1"/>
  <c r="W372" i="4"/>
  <c r="X379" i="6" s="1"/>
  <c r="I25" i="4"/>
  <c r="I32" i="6"/>
  <c r="I53" i="4"/>
  <c r="I60" i="6"/>
  <c r="I368" i="4"/>
  <c r="I375" i="6"/>
  <c r="I352" i="4"/>
  <c r="I359" i="6"/>
  <c r="W264" i="4"/>
  <c r="X271" i="6" s="1"/>
  <c r="I253" i="4"/>
  <c r="I260" i="6"/>
  <c r="I141" i="4"/>
  <c r="I148" i="6"/>
  <c r="W135" i="4"/>
  <c r="X142" i="6" s="1"/>
  <c r="I79" i="4"/>
  <c r="I86" i="6"/>
  <c r="I168" i="4"/>
  <c r="I175" i="6"/>
  <c r="V11" i="4"/>
  <c r="W18" i="6" s="1"/>
  <c r="H11" i="4"/>
  <c r="I334" i="4"/>
  <c r="I341" i="6"/>
  <c r="W148" i="4"/>
  <c r="X155" i="6" s="1"/>
  <c r="W289" i="4"/>
  <c r="X296" i="6" s="1"/>
  <c r="W182" i="4"/>
  <c r="X189" i="6" s="1"/>
  <c r="W162" i="4"/>
  <c r="X169" i="6" s="1"/>
  <c r="I191" i="4"/>
  <c r="I198" i="6"/>
  <c r="W170" i="4"/>
  <c r="X177" i="6" s="1"/>
  <c r="I181" i="4"/>
  <c r="I188" i="6"/>
  <c r="W37" i="4"/>
  <c r="X44" i="6" s="1"/>
  <c r="I158" i="4"/>
  <c r="I165" i="6"/>
  <c r="W76" i="4"/>
  <c r="X83" i="6" s="1"/>
  <c r="W334" i="4"/>
  <c r="X341" i="6" s="1"/>
  <c r="I231" i="4"/>
  <c r="I238" i="6"/>
  <c r="I351" i="4"/>
  <c r="P351" i="4" s="1"/>
  <c r="H361" i="14" s="1"/>
  <c r="I358" i="6"/>
  <c r="I288" i="4"/>
  <c r="I295" i="6"/>
  <c r="I15" i="4"/>
  <c r="P15" i="4" s="1"/>
  <c r="H25" i="14" s="1"/>
  <c r="I22" i="6"/>
  <c r="I17" i="4"/>
  <c r="P17" i="4" s="1"/>
  <c r="H27" i="14" s="1"/>
  <c r="I24" i="6"/>
  <c r="W326" i="4"/>
  <c r="X333" i="6" s="1"/>
  <c r="I262" i="4"/>
  <c r="I269" i="6"/>
  <c r="I24" i="4"/>
  <c r="I31" i="6"/>
  <c r="I82" i="4"/>
  <c r="P82" i="4" s="1"/>
  <c r="H92" i="14" s="1"/>
  <c r="I89" i="6"/>
  <c r="W266" i="4"/>
  <c r="X273" i="6" s="1"/>
  <c r="W275" i="4"/>
  <c r="X282" i="6" s="1"/>
  <c r="W201" i="4"/>
  <c r="X208" i="6" s="1"/>
  <c r="W114" i="4"/>
  <c r="X121" i="6" s="1"/>
  <c r="I269" i="4"/>
  <c r="I276" i="6"/>
  <c r="W46" i="4"/>
  <c r="X53" i="6" s="1"/>
  <c r="W253" i="4"/>
  <c r="X260" i="6" s="1"/>
  <c r="W228" i="4"/>
  <c r="X235" i="6" s="1"/>
  <c r="W333" i="4"/>
  <c r="X340" i="6" s="1"/>
  <c r="W43" i="4"/>
  <c r="X50" i="6" s="1"/>
  <c r="W138" i="4"/>
  <c r="X145" i="6" s="1"/>
  <c r="W40" i="4"/>
  <c r="X47" i="6" s="1"/>
  <c r="W351" i="4"/>
  <c r="X358" i="6" s="1"/>
  <c r="I88" i="4"/>
  <c r="I95" i="6"/>
  <c r="W24" i="4"/>
  <c r="X31" i="6" s="1"/>
  <c r="W191" i="4"/>
  <c r="X198" i="6" s="1"/>
  <c r="W96" i="4"/>
  <c r="X103" i="6" s="1"/>
  <c r="W82" i="4"/>
  <c r="X89" i="6" s="1"/>
  <c r="I200" i="4"/>
  <c r="P200" i="4" s="1"/>
  <c r="H210" i="14" s="1"/>
  <c r="I207" i="6"/>
  <c r="W112" i="4"/>
  <c r="X119" i="6" s="1"/>
  <c r="W64" i="4"/>
  <c r="X71" i="6" s="1"/>
  <c r="L24" i="2"/>
  <c r="L25" i="2" s="1"/>
  <c r="L26" i="2" s="1"/>
  <c r="L27" i="2" s="1"/>
  <c r="L28" i="2" s="1"/>
  <c r="L29" i="2" s="1"/>
  <c r="L30" i="2" s="1"/>
  <c r="L31" i="2" s="1"/>
  <c r="L32" i="2" s="1"/>
  <c r="L33" i="2" s="1"/>
  <c r="L34" i="2" s="1"/>
  <c r="L35" i="2" s="1"/>
  <c r="L36" i="2" s="1"/>
  <c r="L37" i="2" s="1"/>
  <c r="L38" i="2" s="1"/>
  <c r="L39" i="2" s="1"/>
  <c r="L40" i="2" s="1"/>
  <c r="L41" i="2" s="1"/>
  <c r="L42" i="2" s="1"/>
  <c r="L43" i="2" s="1"/>
  <c r="L44" i="2" s="1"/>
  <c r="L45" i="2" s="1"/>
  <c r="L46" i="2" s="1"/>
  <c r="L47" i="2" s="1"/>
  <c r="L48" i="2" s="1"/>
  <c r="L49" i="2" s="1"/>
  <c r="L50" i="2" s="1"/>
  <c r="L51" i="2" s="1"/>
  <c r="L52" i="2" s="1"/>
  <c r="L53" i="2" s="1"/>
  <c r="L54" i="2" s="1"/>
  <c r="L55" i="2" s="1"/>
  <c r="L56" i="2" s="1"/>
  <c r="L57" i="2" s="1"/>
  <c r="L58" i="2" s="1"/>
  <c r="L59" i="2" s="1"/>
  <c r="L60" i="2" s="1"/>
  <c r="L61" i="2" s="1"/>
  <c r="L62" i="2" s="1"/>
  <c r="L63" i="2" s="1"/>
  <c r="I156" i="4"/>
  <c r="I163" i="6"/>
  <c r="I68" i="4"/>
  <c r="I75" i="6"/>
  <c r="W305" i="4"/>
  <c r="X312" i="6" s="1"/>
  <c r="I270" i="4"/>
  <c r="P270" i="4" s="1"/>
  <c r="H280" i="14" s="1"/>
  <c r="I277" i="6"/>
  <c r="I138" i="4"/>
  <c r="I145" i="6"/>
  <c r="I294" i="4"/>
  <c r="I301" i="6"/>
  <c r="W288" i="4"/>
  <c r="X295" i="6" s="1"/>
  <c r="W295" i="4"/>
  <c r="X302" i="6" s="1"/>
  <c r="I308" i="4"/>
  <c r="I315" i="6"/>
  <c r="I207" i="4"/>
  <c r="I214" i="6"/>
  <c r="W262" i="4"/>
  <c r="X269" i="6" s="1"/>
  <c r="W237" i="4"/>
  <c r="X244" i="6" s="1"/>
  <c r="I261" i="4"/>
  <c r="I268" i="6"/>
  <c r="I171" i="4"/>
  <c r="I178" i="6"/>
  <c r="W269" i="4"/>
  <c r="X276" i="6" s="1"/>
  <c r="W134" i="4"/>
  <c r="X141" i="6" s="1"/>
  <c r="W16" i="4"/>
  <c r="X23" i="6" s="1"/>
  <c r="W156" i="4"/>
  <c r="X163" i="6" s="1"/>
  <c r="I252" i="4"/>
  <c r="I259" i="6"/>
  <c r="W244" i="4"/>
  <c r="X251" i="6" s="1"/>
  <c r="I212" i="4"/>
  <c r="P212" i="4" s="1"/>
  <c r="H222" i="14" s="1"/>
  <c r="I219" i="6"/>
  <c r="W116" i="4"/>
  <c r="X123" i="6" s="1"/>
  <c r="I254" i="4"/>
  <c r="P254" i="4" s="1"/>
  <c r="H264" i="14" s="1"/>
  <c r="I261" i="6"/>
  <c r="I126" i="4"/>
  <c r="I133" i="6"/>
  <c r="W318" i="4"/>
  <c r="X325" i="6" s="1"/>
  <c r="W88" i="4"/>
  <c r="X95" i="6" s="1"/>
  <c r="I136" i="4"/>
  <c r="I143" i="6"/>
  <c r="I226" i="4"/>
  <c r="I233" i="6"/>
  <c r="W83" i="4"/>
  <c r="X90" i="6" s="1"/>
  <c r="W65" i="4"/>
  <c r="X72" i="6" s="1"/>
  <c r="W245" i="4"/>
  <c r="X252" i="6" s="1"/>
  <c r="W84" i="4"/>
  <c r="X91" i="6" s="1"/>
  <c r="I110" i="4"/>
  <c r="I117" i="6"/>
  <c r="W176" i="4"/>
  <c r="X183" i="6" s="1"/>
  <c r="I42" i="4"/>
  <c r="I49" i="6"/>
  <c r="I105" i="4"/>
  <c r="I112" i="6"/>
  <c r="I69" i="4"/>
  <c r="I76" i="6"/>
  <c r="I244" i="4"/>
  <c r="I251" i="6"/>
  <c r="I169" i="4"/>
  <c r="I176" i="6"/>
  <c r="I327" i="4"/>
  <c r="I334" i="6"/>
  <c r="W270" i="4"/>
  <c r="X277" i="6" s="1"/>
  <c r="W294" i="4"/>
  <c r="X301" i="6" s="1"/>
  <c r="I310" i="4"/>
  <c r="I317" i="6"/>
  <c r="W136" i="4"/>
  <c r="X143" i="6" s="1"/>
  <c r="I21" i="4"/>
  <c r="P21" i="4" s="1"/>
  <c r="H31" i="14" s="1"/>
  <c r="I28" i="6"/>
  <c r="W39" i="4"/>
  <c r="X46" i="6" s="1"/>
  <c r="W171" i="4"/>
  <c r="X178" i="6" s="1"/>
  <c r="I243" i="4"/>
  <c r="I250" i="6"/>
  <c r="K77" i="6"/>
  <c r="W373" i="4"/>
  <c r="X380" i="6" s="1"/>
  <c r="I328" i="4"/>
  <c r="I335" i="6"/>
  <c r="W42" i="4"/>
  <c r="X49" i="6" s="1"/>
  <c r="W153" i="4"/>
  <c r="X160" i="6" s="1"/>
  <c r="I180" i="4"/>
  <c r="I187" i="6"/>
  <c r="I48" i="4"/>
  <c r="I55" i="6"/>
  <c r="I177" i="4"/>
  <c r="I184" i="6"/>
  <c r="W169" i="4"/>
  <c r="X176" i="6" s="1"/>
  <c r="W327" i="4"/>
  <c r="X334" i="6" s="1"/>
  <c r="I61" i="4"/>
  <c r="I68" i="6"/>
  <c r="I106" i="4"/>
  <c r="I113" i="6"/>
  <c r="I331" i="4"/>
  <c r="I338" i="6"/>
  <c r="W126" i="4"/>
  <c r="X133" i="6" s="1"/>
  <c r="I152" i="4"/>
  <c r="I159" i="6"/>
  <c r="W310" i="4"/>
  <c r="X317" i="6" s="1"/>
  <c r="I189" i="4"/>
  <c r="I196" i="6"/>
  <c r="I319" i="4"/>
  <c r="I326" i="6"/>
  <c r="I280" i="4"/>
  <c r="I287" i="6"/>
  <c r="W98" i="4"/>
  <c r="X105" i="6" s="1"/>
  <c r="I109" i="4"/>
  <c r="I116" i="6"/>
  <c r="W105" i="4"/>
  <c r="X112" i="6" s="1"/>
  <c r="W195" i="4"/>
  <c r="X202" i="6" s="1"/>
  <c r="W69" i="4"/>
  <c r="X76" i="6" s="1"/>
  <c r="W61" i="4"/>
  <c r="X68" i="6" s="1"/>
  <c r="W189" i="4"/>
  <c r="X196" i="6" s="1"/>
  <c r="I290" i="4"/>
  <c r="I297" i="6"/>
  <c r="W300" i="4"/>
  <c r="X307" i="6" s="1"/>
  <c r="W51" i="4"/>
  <c r="X58" i="6" s="1"/>
  <c r="I38" i="4"/>
  <c r="I45" i="6"/>
  <c r="I78" i="4"/>
  <c r="I85" i="6"/>
  <c r="I98" i="4"/>
  <c r="I105" i="6"/>
  <c r="I323" i="4"/>
  <c r="I330" i="6"/>
  <c r="W109" i="4"/>
  <c r="X116" i="6" s="1"/>
  <c r="W328" i="4"/>
  <c r="X335" i="6" s="1"/>
  <c r="I360" i="4"/>
  <c r="I367" i="6"/>
  <c r="W81" i="4"/>
  <c r="X88" i="6" s="1"/>
  <c r="I258" i="4"/>
  <c r="I265" i="6"/>
  <c r="W210" i="4"/>
  <c r="X217" i="6" s="1"/>
  <c r="W44" i="4"/>
  <c r="X51" i="6" s="1"/>
  <c r="I75" i="4"/>
  <c r="I82" i="6"/>
  <c r="I299" i="4"/>
  <c r="I306" i="6"/>
  <c r="I160" i="4"/>
  <c r="I167" i="6"/>
  <c r="I322" i="4"/>
  <c r="I329" i="6"/>
  <c r="I33" i="4"/>
  <c r="I40" i="6"/>
  <c r="W292" i="4"/>
  <c r="X299" i="6" s="1"/>
  <c r="W282" i="4"/>
  <c r="X289" i="6" s="1"/>
  <c r="W280" i="4"/>
  <c r="X287" i="6" s="1"/>
  <c r="I337" i="4"/>
  <c r="I344" i="6"/>
  <c r="W78" i="4"/>
  <c r="X85" i="6" s="1"/>
  <c r="K24" i="6"/>
  <c r="I50" i="4"/>
  <c r="I57" i="6"/>
  <c r="W360" i="4"/>
  <c r="X367" i="6" s="1"/>
  <c r="I81" i="4"/>
  <c r="I88" i="6"/>
  <c r="W180" i="4"/>
  <c r="X187" i="6" s="1"/>
  <c r="W357" i="4"/>
  <c r="X364" i="6" s="1"/>
  <c r="W93" i="4"/>
  <c r="X100" i="6" s="1"/>
  <c r="W345" i="4"/>
  <c r="X352" i="6" s="1"/>
  <c r="W75" i="4"/>
  <c r="X82" i="6" s="1"/>
  <c r="I260" i="4"/>
  <c r="P260" i="4" s="1"/>
  <c r="H270" i="14" s="1"/>
  <c r="I267" i="6"/>
  <c r="W123" i="4"/>
  <c r="X130" i="6" s="1"/>
  <c r="I219" i="4"/>
  <c r="I226" i="6"/>
  <c r="I314" i="4"/>
  <c r="I321" i="6"/>
  <c r="W290" i="4"/>
  <c r="X297" i="6" s="1"/>
  <c r="I338" i="4"/>
  <c r="I345" i="6"/>
  <c r="W187" i="4"/>
  <c r="X194" i="6" s="1"/>
  <c r="W337" i="4"/>
  <c r="X344" i="6" s="1"/>
  <c r="I271" i="4"/>
  <c r="I278" i="6"/>
  <c r="I259" i="4"/>
  <c r="I266" i="6"/>
  <c r="W57" i="4"/>
  <c r="X64" i="6" s="1"/>
  <c r="W301" i="4"/>
  <c r="X308" i="6" s="1"/>
  <c r="K23" i="6"/>
  <c r="I307" i="4"/>
  <c r="I314" i="6"/>
  <c r="W35" i="4"/>
  <c r="X42" i="6" s="1"/>
  <c r="W224" i="4"/>
  <c r="X231" i="6" s="1"/>
  <c r="W274" i="4"/>
  <c r="X281" i="6" s="1"/>
  <c r="I357" i="4"/>
  <c r="I364" i="6"/>
  <c r="W131" i="4"/>
  <c r="X138" i="6" s="1"/>
  <c r="I121" i="4"/>
  <c r="I128" i="6"/>
  <c r="I230" i="4"/>
  <c r="I237" i="6"/>
  <c r="I303" i="4"/>
  <c r="I310" i="6"/>
  <c r="W364" i="4"/>
  <c r="X371" i="6" s="1"/>
  <c r="I229" i="4"/>
  <c r="I236" i="6"/>
  <c r="I73" i="4"/>
  <c r="I80" i="6"/>
  <c r="W271" i="4"/>
  <c r="X278" i="6" s="1"/>
  <c r="W259" i="4"/>
  <c r="X266" i="6" s="1"/>
  <c r="I41" i="4"/>
  <c r="I48" i="6"/>
  <c r="K22" i="6"/>
  <c r="W144" i="4"/>
  <c r="X151" i="6" s="1"/>
  <c r="W50" i="4"/>
  <c r="X57" i="6" s="1"/>
  <c r="W272" i="4"/>
  <c r="X279" i="6" s="1"/>
  <c r="I122" i="4"/>
  <c r="P122" i="4" s="1"/>
  <c r="H132" i="14" s="1"/>
  <c r="I129" i="6"/>
  <c r="I297" i="4"/>
  <c r="I304" i="6"/>
  <c r="K21" i="6"/>
  <c r="I97" i="4"/>
  <c r="P97" i="4" s="1"/>
  <c r="H107" i="14" s="1"/>
  <c r="I104" i="6"/>
  <c r="W203" i="4"/>
  <c r="X210" i="6" s="1"/>
  <c r="I321" i="4"/>
  <c r="I328" i="6"/>
  <c r="I35" i="4"/>
  <c r="I42" i="6"/>
  <c r="W273" i="4"/>
  <c r="X280" i="6" s="1"/>
  <c r="W276" i="4"/>
  <c r="X283" i="6" s="1"/>
  <c r="I272" i="4"/>
  <c r="P272" i="4" s="1"/>
  <c r="H282" i="14" s="1"/>
  <c r="I279" i="6"/>
  <c r="W122" i="4"/>
  <c r="X129" i="6" s="1"/>
  <c r="I188" i="4"/>
  <c r="I195" i="6"/>
  <c r="I274" i="4"/>
  <c r="P274" i="4" s="1"/>
  <c r="H284" i="14" s="1"/>
  <c r="I281" i="6"/>
  <c r="W297" i="4"/>
  <c r="X304" i="6" s="1"/>
  <c r="I22" i="4"/>
  <c r="P22" i="4" s="1"/>
  <c r="H32" i="14" s="1"/>
  <c r="I29" i="6"/>
  <c r="W213" i="4"/>
  <c r="X220" i="6" s="1"/>
  <c r="I108" i="4"/>
  <c r="I115" i="6"/>
  <c r="W246" i="4"/>
  <c r="X253" i="6" s="1"/>
  <c r="I332" i="4"/>
  <c r="I339" i="6"/>
  <c r="W140" i="4"/>
  <c r="X147" i="6" s="1"/>
  <c r="V13" i="4"/>
  <c r="W20" i="6" s="1"/>
  <c r="H13" i="4"/>
  <c r="K13" i="4"/>
  <c r="I287" i="4"/>
  <c r="I294" i="6"/>
  <c r="I335" i="4"/>
  <c r="I342" i="6"/>
  <c r="I94" i="4"/>
  <c r="I101" i="6"/>
  <c r="W251" i="4"/>
  <c r="X258" i="6" s="1"/>
  <c r="W303" i="4"/>
  <c r="X310" i="6" s="1"/>
  <c r="I362" i="4"/>
  <c r="I369" i="6"/>
  <c r="I128" i="4"/>
  <c r="I135" i="6"/>
  <c r="W223" i="4"/>
  <c r="X230" i="6" s="1"/>
  <c r="W241" i="4"/>
  <c r="X248" i="6" s="1"/>
  <c r="I364" i="4"/>
  <c r="I371" i="6"/>
  <c r="W99" i="4"/>
  <c r="X106" i="6" s="1"/>
  <c r="I74" i="4"/>
  <c r="I81" i="6"/>
  <c r="I36" i="6"/>
  <c r="I29" i="4"/>
  <c r="W149" i="4"/>
  <c r="X156" i="6" s="1"/>
  <c r="W371" i="4"/>
  <c r="X378" i="6" s="1"/>
  <c r="W58" i="4"/>
  <c r="X65" i="6" s="1"/>
  <c r="W73" i="4"/>
  <c r="X80" i="6" s="1"/>
  <c r="W215" i="4"/>
  <c r="X222" i="6" s="1"/>
  <c r="I347" i="4"/>
  <c r="P347" i="4" s="1"/>
  <c r="H357" i="14" s="1"/>
  <c r="I354" i="6"/>
  <c r="W41" i="4"/>
  <c r="X48" i="6" s="1"/>
  <c r="W183" i="4"/>
  <c r="X190" i="6" s="1"/>
  <c r="W194" i="4"/>
  <c r="X201" i="6" s="1"/>
  <c r="V28" i="5"/>
  <c r="U29" i="5"/>
  <c r="M18" i="6"/>
  <c r="M27" i="6"/>
  <c r="N27" i="6"/>
  <c r="M26" i="6"/>
  <c r="N26" i="6"/>
  <c r="M25" i="6"/>
  <c r="N25" i="6"/>
  <c r="M24" i="6"/>
  <c r="N24" i="6"/>
  <c r="M23" i="6"/>
  <c r="N23" i="6"/>
  <c r="M22" i="6"/>
  <c r="N22" i="6"/>
  <c r="M21" i="6"/>
  <c r="N21"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9" i="6"/>
  <c r="K60" i="6"/>
  <c r="K61" i="6"/>
  <c r="K62" i="6"/>
  <c r="K63" i="6"/>
  <c r="K64" i="6"/>
  <c r="K65" i="6"/>
  <c r="K66" i="6"/>
  <c r="K67" i="6"/>
  <c r="K68" i="6"/>
  <c r="K69" i="6"/>
  <c r="K70" i="6"/>
  <c r="K71" i="6"/>
  <c r="K72" i="6"/>
  <c r="K73" i="6"/>
  <c r="K74" i="6"/>
  <c r="K75" i="6"/>
  <c r="K76" i="6"/>
  <c r="K78" i="6"/>
  <c r="K79" i="6"/>
  <c r="K80" i="6"/>
  <c r="K81" i="6"/>
  <c r="K82" i="6"/>
  <c r="K83" i="6"/>
  <c r="K84" i="6"/>
  <c r="K85" i="6"/>
  <c r="K86" i="6"/>
  <c r="K87" i="6"/>
  <c r="K88" i="6"/>
  <c r="K89" i="6"/>
  <c r="K90" i="6"/>
  <c r="K91" i="6"/>
  <c r="K92" i="6"/>
  <c r="K93" i="6"/>
  <c r="K94" i="6"/>
  <c r="K95" i="6"/>
  <c r="K96" i="6"/>
  <c r="K97" i="6"/>
  <c r="K98" i="6"/>
  <c r="K99" i="6"/>
  <c r="K100" i="6"/>
  <c r="K101" i="6"/>
  <c r="K102" i="6"/>
  <c r="K103" i="6"/>
  <c r="K104" i="6"/>
  <c r="K105" i="6"/>
  <c r="K106" i="6"/>
  <c r="K107" i="6"/>
  <c r="K108" i="6"/>
  <c r="K109" i="6"/>
  <c r="K110" i="6"/>
  <c r="K111" i="6"/>
  <c r="K112" i="6"/>
  <c r="K113" i="6"/>
  <c r="K114" i="6"/>
  <c r="K115" i="6"/>
  <c r="K116" i="6"/>
  <c r="K117" i="6"/>
  <c r="K118" i="6"/>
  <c r="K119" i="6"/>
  <c r="K120" i="6"/>
  <c r="K121" i="6"/>
  <c r="K122" i="6"/>
  <c r="K123" i="6"/>
  <c r="K124" i="6"/>
  <c r="K125" i="6"/>
  <c r="K126" i="6"/>
  <c r="K127" i="6"/>
  <c r="K128" i="6"/>
  <c r="K129" i="6"/>
  <c r="K130" i="6"/>
  <c r="K131" i="6"/>
  <c r="K132" i="6"/>
  <c r="K133" i="6"/>
  <c r="K134" i="6"/>
  <c r="K135" i="6"/>
  <c r="K136" i="6"/>
  <c r="K137" i="6"/>
  <c r="K138" i="6"/>
  <c r="K139" i="6"/>
  <c r="K140" i="6"/>
  <c r="K141" i="6"/>
  <c r="K142" i="6"/>
  <c r="K143" i="6"/>
  <c r="K144" i="6"/>
  <c r="K145" i="6"/>
  <c r="K146" i="6"/>
  <c r="K147" i="6"/>
  <c r="K148" i="6"/>
  <c r="K149" i="6"/>
  <c r="K150" i="6"/>
  <c r="K151" i="6"/>
  <c r="K152" i="6"/>
  <c r="K153" i="6"/>
  <c r="K154" i="6"/>
  <c r="K155" i="6"/>
  <c r="K156" i="6"/>
  <c r="K157" i="6"/>
  <c r="K158" i="6"/>
  <c r="K159" i="6"/>
  <c r="K160" i="6"/>
  <c r="K161" i="6"/>
  <c r="K162" i="6"/>
  <c r="K163" i="6"/>
  <c r="K164" i="6"/>
  <c r="K165" i="6"/>
  <c r="K166" i="6"/>
  <c r="K167" i="6"/>
  <c r="K168" i="6"/>
  <c r="K169" i="6"/>
  <c r="K170" i="6"/>
  <c r="K171" i="6"/>
  <c r="K172" i="6"/>
  <c r="K173" i="6"/>
  <c r="K174" i="6"/>
  <c r="K175" i="6"/>
  <c r="K176" i="6"/>
  <c r="K177" i="6"/>
  <c r="K178" i="6"/>
  <c r="K179" i="6"/>
  <c r="K180" i="6"/>
  <c r="K181" i="6"/>
  <c r="K182" i="6"/>
  <c r="K183" i="6"/>
  <c r="K184" i="6"/>
  <c r="K185" i="6"/>
  <c r="K186" i="6"/>
  <c r="K187" i="6"/>
  <c r="K188" i="6"/>
  <c r="K189" i="6"/>
  <c r="K190" i="6"/>
  <c r="K191" i="6"/>
  <c r="K192" i="6"/>
  <c r="K193" i="6"/>
  <c r="K194" i="6"/>
  <c r="K195" i="6"/>
  <c r="K196" i="6"/>
  <c r="K197" i="6"/>
  <c r="K198" i="6"/>
  <c r="K199" i="6"/>
  <c r="K200" i="6"/>
  <c r="K201" i="6"/>
  <c r="K202" i="6"/>
  <c r="K203" i="6"/>
  <c r="K204" i="6"/>
  <c r="K205" i="6"/>
  <c r="K206" i="6"/>
  <c r="K207" i="6"/>
  <c r="K208" i="6"/>
  <c r="K209" i="6"/>
  <c r="K210" i="6"/>
  <c r="K211" i="6"/>
  <c r="K212" i="6"/>
  <c r="K213" i="6"/>
  <c r="K214" i="6"/>
  <c r="K215" i="6"/>
  <c r="K216" i="6"/>
  <c r="K217" i="6"/>
  <c r="K218" i="6"/>
  <c r="K219" i="6"/>
  <c r="K220" i="6"/>
  <c r="K221" i="6"/>
  <c r="K222" i="6"/>
  <c r="K223" i="6"/>
  <c r="K224" i="6"/>
  <c r="K225" i="6"/>
  <c r="K226" i="6"/>
  <c r="K227" i="6"/>
  <c r="K228" i="6"/>
  <c r="K229" i="6"/>
  <c r="K230" i="6"/>
  <c r="K231" i="6"/>
  <c r="K232" i="6"/>
  <c r="K233" i="6"/>
  <c r="K234" i="6"/>
  <c r="K235" i="6"/>
  <c r="K236" i="6"/>
  <c r="K237" i="6"/>
  <c r="K238" i="6"/>
  <c r="K239" i="6"/>
  <c r="K240" i="6"/>
  <c r="K241" i="6"/>
  <c r="K242" i="6"/>
  <c r="K243" i="6"/>
  <c r="K244" i="6"/>
  <c r="K245" i="6"/>
  <c r="K246" i="6"/>
  <c r="K247" i="6"/>
  <c r="K248" i="6"/>
  <c r="K249" i="6"/>
  <c r="K250" i="6"/>
  <c r="K251" i="6"/>
  <c r="K252" i="6"/>
  <c r="K253" i="6"/>
  <c r="K254" i="6"/>
  <c r="K255" i="6"/>
  <c r="K256" i="6"/>
  <c r="K257" i="6"/>
  <c r="K258" i="6"/>
  <c r="K259" i="6"/>
  <c r="K260" i="6"/>
  <c r="K261" i="6"/>
  <c r="K262" i="6"/>
  <c r="K263" i="6"/>
  <c r="K264" i="6"/>
  <c r="K265" i="6"/>
  <c r="K266" i="6"/>
  <c r="K267" i="6"/>
  <c r="L267" i="6" s="1"/>
  <c r="K268" i="6"/>
  <c r="L268" i="6" s="1"/>
  <c r="K269" i="6"/>
  <c r="L269" i="6" s="1"/>
  <c r="K270" i="6"/>
  <c r="L270" i="6" s="1"/>
  <c r="K271" i="6"/>
  <c r="L271" i="6" s="1"/>
  <c r="K272" i="6"/>
  <c r="L272" i="6" s="1"/>
  <c r="K273" i="6"/>
  <c r="L273" i="6" s="1"/>
  <c r="K274" i="6"/>
  <c r="L274" i="6" s="1"/>
  <c r="K275" i="6"/>
  <c r="L275" i="6" s="1"/>
  <c r="K276" i="6"/>
  <c r="L276" i="6" s="1"/>
  <c r="K277" i="6"/>
  <c r="L277" i="6" s="1"/>
  <c r="K278" i="6"/>
  <c r="L278" i="6" s="1"/>
  <c r="K279" i="6"/>
  <c r="L279" i="6" s="1"/>
  <c r="K280" i="6"/>
  <c r="L280" i="6" s="1"/>
  <c r="K281" i="6"/>
  <c r="L281" i="6" s="1"/>
  <c r="K282" i="6"/>
  <c r="L282" i="6" s="1"/>
  <c r="K283" i="6"/>
  <c r="L283" i="6" s="1"/>
  <c r="K284" i="6"/>
  <c r="L284" i="6" s="1"/>
  <c r="K285" i="6"/>
  <c r="L285" i="6" s="1"/>
  <c r="K286" i="6"/>
  <c r="L286" i="6" s="1"/>
  <c r="K287" i="6"/>
  <c r="L287" i="6" s="1"/>
  <c r="K288" i="6"/>
  <c r="L288" i="6" s="1"/>
  <c r="K289" i="6"/>
  <c r="L289" i="6" s="1"/>
  <c r="K290" i="6"/>
  <c r="L290" i="6" s="1"/>
  <c r="K291" i="6"/>
  <c r="L291" i="6" s="1"/>
  <c r="K292" i="6"/>
  <c r="L292" i="6" s="1"/>
  <c r="K293" i="6"/>
  <c r="L293" i="6" s="1"/>
  <c r="K294" i="6"/>
  <c r="L294" i="6" s="1"/>
  <c r="K295" i="6"/>
  <c r="L295" i="6" s="1"/>
  <c r="K296" i="6"/>
  <c r="L296" i="6" s="1"/>
  <c r="K297" i="6"/>
  <c r="L297" i="6" s="1"/>
  <c r="K298" i="6"/>
  <c r="L298" i="6" s="1"/>
  <c r="K299" i="6"/>
  <c r="L299" i="6" s="1"/>
  <c r="K300" i="6"/>
  <c r="L300" i="6" s="1"/>
  <c r="K301" i="6"/>
  <c r="L301" i="6" s="1"/>
  <c r="K302" i="6"/>
  <c r="L302" i="6" s="1"/>
  <c r="K303" i="6"/>
  <c r="L303" i="6" s="1"/>
  <c r="K304" i="6"/>
  <c r="L304" i="6" s="1"/>
  <c r="K305" i="6"/>
  <c r="L305" i="6" s="1"/>
  <c r="K306" i="6"/>
  <c r="L306" i="6" s="1"/>
  <c r="K307" i="6"/>
  <c r="L307" i="6" s="1"/>
  <c r="K308" i="6"/>
  <c r="L308" i="6" s="1"/>
  <c r="K309" i="6"/>
  <c r="L309" i="6" s="1"/>
  <c r="K310" i="6"/>
  <c r="L310" i="6" s="1"/>
  <c r="K311" i="6"/>
  <c r="L311" i="6" s="1"/>
  <c r="K312" i="6"/>
  <c r="L312" i="6" s="1"/>
  <c r="K313" i="6"/>
  <c r="L313" i="6" s="1"/>
  <c r="K314" i="6"/>
  <c r="L314" i="6" s="1"/>
  <c r="K315" i="6"/>
  <c r="L315" i="6" s="1"/>
  <c r="K316" i="6"/>
  <c r="L316" i="6" s="1"/>
  <c r="K317" i="6"/>
  <c r="L317" i="6" s="1"/>
  <c r="K318" i="6"/>
  <c r="L318" i="6" s="1"/>
  <c r="K319" i="6"/>
  <c r="L319" i="6" s="1"/>
  <c r="K320" i="6"/>
  <c r="L320" i="6" s="1"/>
  <c r="K321" i="6"/>
  <c r="L321" i="6" s="1"/>
  <c r="K322" i="6"/>
  <c r="L322" i="6" s="1"/>
  <c r="K323" i="6"/>
  <c r="L323" i="6" s="1"/>
  <c r="K324" i="6"/>
  <c r="L324" i="6" s="1"/>
  <c r="K325" i="6"/>
  <c r="L325" i="6" s="1"/>
  <c r="K326" i="6"/>
  <c r="L326" i="6" s="1"/>
  <c r="K327" i="6"/>
  <c r="L327" i="6" s="1"/>
  <c r="K328" i="6"/>
  <c r="L328" i="6" s="1"/>
  <c r="K329" i="6"/>
  <c r="L329" i="6" s="1"/>
  <c r="K330" i="6"/>
  <c r="L330" i="6" s="1"/>
  <c r="K331" i="6"/>
  <c r="L331" i="6" s="1"/>
  <c r="K332" i="6"/>
  <c r="L332" i="6" s="1"/>
  <c r="K333" i="6"/>
  <c r="L333" i="6" s="1"/>
  <c r="K334" i="6"/>
  <c r="L334" i="6" s="1"/>
  <c r="K335" i="6"/>
  <c r="L335" i="6" s="1"/>
  <c r="K336" i="6"/>
  <c r="L336" i="6" s="1"/>
  <c r="K337" i="6"/>
  <c r="L337" i="6" s="1"/>
  <c r="K338" i="6"/>
  <c r="L338" i="6" s="1"/>
  <c r="K339" i="6"/>
  <c r="L339" i="6" s="1"/>
  <c r="K340" i="6"/>
  <c r="L340" i="6" s="1"/>
  <c r="K341" i="6"/>
  <c r="L341" i="6" s="1"/>
  <c r="K342" i="6"/>
  <c r="L342" i="6" s="1"/>
  <c r="K343" i="6"/>
  <c r="L343" i="6" s="1"/>
  <c r="K344" i="6"/>
  <c r="L344" i="6" s="1"/>
  <c r="K345" i="6"/>
  <c r="L345" i="6" s="1"/>
  <c r="K346" i="6"/>
  <c r="L346" i="6" s="1"/>
  <c r="K347" i="6"/>
  <c r="L347" i="6" s="1"/>
  <c r="K348" i="6"/>
  <c r="L348" i="6" s="1"/>
  <c r="K349" i="6"/>
  <c r="L349" i="6" s="1"/>
  <c r="K350" i="6"/>
  <c r="L350" i="6" s="1"/>
  <c r="K351" i="6"/>
  <c r="L351" i="6" s="1"/>
  <c r="K352" i="6"/>
  <c r="L352" i="6" s="1"/>
  <c r="K353" i="6"/>
  <c r="L353" i="6" s="1"/>
  <c r="K354" i="6"/>
  <c r="L354" i="6" s="1"/>
  <c r="K355" i="6"/>
  <c r="L355" i="6" s="1"/>
  <c r="K356" i="6"/>
  <c r="L356" i="6" s="1"/>
  <c r="K357" i="6"/>
  <c r="L357" i="6" s="1"/>
  <c r="K358" i="6"/>
  <c r="L358" i="6" s="1"/>
  <c r="K359" i="6"/>
  <c r="L359" i="6" s="1"/>
  <c r="K360" i="6"/>
  <c r="L360" i="6" s="1"/>
  <c r="K361" i="6"/>
  <c r="L361" i="6" s="1"/>
  <c r="K362" i="6"/>
  <c r="L362" i="6" s="1"/>
  <c r="K363" i="6"/>
  <c r="L363" i="6" s="1"/>
  <c r="K364" i="6"/>
  <c r="L364" i="6" s="1"/>
  <c r="K365" i="6"/>
  <c r="L365" i="6" s="1"/>
  <c r="K366" i="6"/>
  <c r="L366" i="6" s="1"/>
  <c r="K367" i="6"/>
  <c r="L367" i="6" s="1"/>
  <c r="K368" i="6"/>
  <c r="L368" i="6" s="1"/>
  <c r="K369" i="6"/>
  <c r="L369" i="6" s="1"/>
  <c r="K370" i="6"/>
  <c r="L370" i="6" s="1"/>
  <c r="K371" i="6"/>
  <c r="L371" i="6" s="1"/>
  <c r="K372" i="6"/>
  <c r="L372" i="6" s="1"/>
  <c r="K373" i="6"/>
  <c r="L373" i="6" s="1"/>
  <c r="K374" i="6"/>
  <c r="L374" i="6" s="1"/>
  <c r="K375" i="6"/>
  <c r="L375" i="6" s="1"/>
  <c r="K376" i="6"/>
  <c r="L376" i="6" s="1"/>
  <c r="K377" i="6"/>
  <c r="L377" i="6" s="1"/>
  <c r="K378" i="6"/>
  <c r="L378" i="6" s="1"/>
  <c r="K379" i="6"/>
  <c r="L379" i="6" s="1"/>
  <c r="K380" i="6"/>
  <c r="L380" i="6" s="1"/>
  <c r="K381" i="6"/>
  <c r="L381" i="6" s="1"/>
  <c r="K382" i="6"/>
  <c r="L382" i="6" s="1"/>
  <c r="E13" i="4"/>
  <c r="D23" i="16"/>
  <c r="G22" i="16"/>
  <c r="E22" i="16"/>
  <c r="H21" i="16"/>
  <c r="I21" i="16" s="1"/>
  <c r="C22" i="16"/>
  <c r="F22" i="16" s="1"/>
  <c r="AK56" i="2"/>
  <c r="D22" i="8"/>
  <c r="N20" i="8"/>
  <c r="G20" i="8"/>
  <c r="D23" i="5"/>
  <c r="E23" i="5" s="1"/>
  <c r="AW26" i="2"/>
  <c r="AW27" i="2" s="1"/>
  <c r="AW28" i="2" s="1"/>
  <c r="X55" i="2"/>
  <c r="L22" i="8" l="1"/>
  <c r="E22" i="8"/>
  <c r="H23" i="5"/>
  <c r="Y28" i="5"/>
  <c r="X28" i="5"/>
  <c r="P360" i="4"/>
  <c r="H370" i="14" s="1"/>
  <c r="P92" i="4"/>
  <c r="H102" i="14" s="1"/>
  <c r="P228" i="4"/>
  <c r="H238" i="14" s="1"/>
  <c r="P189" i="4"/>
  <c r="H199" i="14" s="1"/>
  <c r="P273" i="4"/>
  <c r="H283" i="14" s="1"/>
  <c r="P263" i="4"/>
  <c r="H273" i="14" s="1"/>
  <c r="P203" i="4"/>
  <c r="H213" i="14" s="1"/>
  <c r="P173" i="4"/>
  <c r="H183" i="14" s="1"/>
  <c r="P266" i="4"/>
  <c r="H276" i="14" s="1"/>
  <c r="P192" i="4"/>
  <c r="H202" i="14" s="1"/>
  <c r="P153" i="4"/>
  <c r="H163" i="14" s="1"/>
  <c r="P201" i="4"/>
  <c r="H211" i="14" s="1"/>
  <c r="P343" i="4"/>
  <c r="H353" i="14" s="1"/>
  <c r="P197" i="4"/>
  <c r="H207" i="14" s="1"/>
  <c r="P314" i="4"/>
  <c r="H324" i="14" s="1"/>
  <c r="P161" i="4"/>
  <c r="H171" i="14" s="1"/>
  <c r="P242" i="4"/>
  <c r="H252" i="14" s="1"/>
  <c r="P333" i="4"/>
  <c r="H343" i="14" s="1"/>
  <c r="P65" i="4"/>
  <c r="H75" i="14" s="1"/>
  <c r="P370" i="4"/>
  <c r="H380" i="14" s="1"/>
  <c r="P135" i="4"/>
  <c r="H145" i="14" s="1"/>
  <c r="P288" i="4"/>
  <c r="H298" i="14" s="1"/>
  <c r="P123" i="4"/>
  <c r="H133" i="14" s="1"/>
  <c r="P305" i="4"/>
  <c r="H315" i="14" s="1"/>
  <c r="P369" i="4"/>
  <c r="H379" i="14" s="1"/>
  <c r="P335" i="4"/>
  <c r="H345" i="14" s="1"/>
  <c r="P323" i="4"/>
  <c r="H333" i="14" s="1"/>
  <c r="P204" i="4"/>
  <c r="H214" i="14" s="1"/>
  <c r="P237" i="4"/>
  <c r="H247" i="14" s="1"/>
  <c r="P146" i="4"/>
  <c r="H156" i="14" s="1"/>
  <c r="P366" i="4"/>
  <c r="H376" i="14" s="1"/>
  <c r="P144" i="4"/>
  <c r="H154" i="14" s="1"/>
  <c r="P104" i="4"/>
  <c r="H114" i="14" s="1"/>
  <c r="P171" i="4"/>
  <c r="H181" i="14" s="1"/>
  <c r="P59" i="4"/>
  <c r="H69" i="14" s="1"/>
  <c r="P107" i="4"/>
  <c r="H117" i="14" s="1"/>
  <c r="P353" i="4"/>
  <c r="H363" i="14" s="1"/>
  <c r="P121" i="4"/>
  <c r="H131" i="14" s="1"/>
  <c r="P368" i="4"/>
  <c r="H378" i="14" s="1"/>
  <c r="P137" i="4"/>
  <c r="H147" i="14" s="1"/>
  <c r="P247" i="4"/>
  <c r="H257" i="14" s="1"/>
  <c r="P63" i="4"/>
  <c r="H73" i="14" s="1"/>
  <c r="P292" i="4"/>
  <c r="H302" i="14" s="1"/>
  <c r="P236" i="4"/>
  <c r="H246" i="14" s="1"/>
  <c r="P374" i="4"/>
  <c r="H384" i="14" s="1"/>
  <c r="P87" i="4"/>
  <c r="H97" i="14" s="1"/>
  <c r="P337" i="4"/>
  <c r="H347" i="14" s="1"/>
  <c r="P326" i="4"/>
  <c r="H336" i="14" s="1"/>
  <c r="P371" i="4"/>
  <c r="H381" i="14" s="1"/>
  <c r="P218" i="4"/>
  <c r="H228" i="14" s="1"/>
  <c r="P320" i="4"/>
  <c r="H330" i="14" s="1"/>
  <c r="P94" i="4"/>
  <c r="H104" i="14" s="1"/>
  <c r="P357" i="4"/>
  <c r="H367" i="14" s="1"/>
  <c r="P224" i="4"/>
  <c r="H234" i="14" s="1"/>
  <c r="P84" i="4"/>
  <c r="H94" i="14" s="1"/>
  <c r="P284" i="4"/>
  <c r="H294" i="14" s="1"/>
  <c r="P289" i="4"/>
  <c r="H299" i="14" s="1"/>
  <c r="P185" i="4"/>
  <c r="H195" i="14" s="1"/>
  <c r="P316" i="4"/>
  <c r="H326" i="14" s="1"/>
  <c r="P188" i="4"/>
  <c r="H198" i="14" s="1"/>
  <c r="P334" i="4"/>
  <c r="H344" i="14" s="1"/>
  <c r="P234" i="4"/>
  <c r="H244" i="14" s="1"/>
  <c r="P90" i="4"/>
  <c r="H100" i="14" s="1"/>
  <c r="P226" i="4"/>
  <c r="H236" i="14" s="1"/>
  <c r="P194" i="4"/>
  <c r="H204" i="14" s="1"/>
  <c r="P56" i="4"/>
  <c r="H66" i="14" s="1"/>
  <c r="P52" i="4"/>
  <c r="H62" i="14" s="1"/>
  <c r="P327" i="4"/>
  <c r="H337" i="14" s="1"/>
  <c r="P278" i="4"/>
  <c r="H288" i="14" s="1"/>
  <c r="P340" i="4"/>
  <c r="H350" i="14" s="1"/>
  <c r="P180" i="4"/>
  <c r="H190" i="14" s="1"/>
  <c r="P99" i="4"/>
  <c r="H109" i="14" s="1"/>
  <c r="P213" i="4"/>
  <c r="H223" i="14" s="1"/>
  <c r="P169" i="4"/>
  <c r="H179" i="14" s="1"/>
  <c r="P231" i="4"/>
  <c r="H241" i="14" s="1"/>
  <c r="P168" i="4"/>
  <c r="H178" i="14" s="1"/>
  <c r="P44" i="4"/>
  <c r="H54" i="14" s="1"/>
  <c r="P187" i="4"/>
  <c r="H197" i="14" s="1"/>
  <c r="P198" i="4"/>
  <c r="H208" i="14" s="1"/>
  <c r="P163" i="4"/>
  <c r="H173" i="14" s="1"/>
  <c r="P190" i="4"/>
  <c r="H200" i="14" s="1"/>
  <c r="P209" i="4"/>
  <c r="H219" i="14" s="1"/>
  <c r="P126" i="4"/>
  <c r="H136" i="14" s="1"/>
  <c r="P325" i="4"/>
  <c r="H335" i="14" s="1"/>
  <c r="P295" i="4"/>
  <c r="H305" i="14" s="1"/>
  <c r="P308" i="4"/>
  <c r="H318" i="14" s="1"/>
  <c r="P143" i="4"/>
  <c r="H153" i="14" s="1"/>
  <c r="P83" i="4"/>
  <c r="H93" i="14" s="1"/>
  <c r="P202" i="4"/>
  <c r="H212" i="14" s="1"/>
  <c r="P141" i="4"/>
  <c r="H151" i="14" s="1"/>
  <c r="P140" i="4"/>
  <c r="H150" i="14" s="1"/>
  <c r="P75" i="4"/>
  <c r="H85" i="14" s="1"/>
  <c r="P85" i="4"/>
  <c r="H95" i="14" s="1"/>
  <c r="P101" i="4"/>
  <c r="H111" i="14" s="1"/>
  <c r="P331" i="4"/>
  <c r="H341" i="14" s="1"/>
  <c r="P43" i="4"/>
  <c r="H53" i="14" s="1"/>
  <c r="P167" i="4"/>
  <c r="H177" i="14" s="1"/>
  <c r="P363" i="4"/>
  <c r="H373" i="14" s="1"/>
  <c r="P348" i="4"/>
  <c r="H358" i="14" s="1"/>
  <c r="P332" i="4"/>
  <c r="H342" i="14" s="1"/>
  <c r="P151" i="4"/>
  <c r="H161" i="14" s="1"/>
  <c r="P183" i="4"/>
  <c r="H193" i="14" s="1"/>
  <c r="P179" i="4"/>
  <c r="H189" i="14" s="1"/>
  <c r="P108" i="4"/>
  <c r="H118" i="14" s="1"/>
  <c r="P42" i="4"/>
  <c r="H52" i="14" s="1"/>
  <c r="P186" i="4"/>
  <c r="H196" i="14" s="1"/>
  <c r="P127" i="4"/>
  <c r="H137" i="14" s="1"/>
  <c r="P276" i="4"/>
  <c r="H286" i="14" s="1"/>
  <c r="P240" i="4"/>
  <c r="H250" i="14" s="1"/>
  <c r="P102" i="4"/>
  <c r="H112" i="14" s="1"/>
  <c r="P30" i="4"/>
  <c r="H40" i="14" s="1"/>
  <c r="P166" i="4"/>
  <c r="H176" i="14" s="1"/>
  <c r="P68" i="4"/>
  <c r="H78" i="14" s="1"/>
  <c r="P25" i="4"/>
  <c r="H35" i="14" s="1"/>
  <c r="P154" i="4"/>
  <c r="H164" i="14" s="1"/>
  <c r="P130" i="4"/>
  <c r="H140" i="14" s="1"/>
  <c r="P330" i="4"/>
  <c r="H340" i="14" s="1"/>
  <c r="P29" i="4"/>
  <c r="H39" i="14" s="1"/>
  <c r="P41" i="4"/>
  <c r="H51" i="14" s="1"/>
  <c r="P136" i="4"/>
  <c r="H146" i="14" s="1"/>
  <c r="P269" i="4"/>
  <c r="H279" i="14" s="1"/>
  <c r="P344" i="4"/>
  <c r="H354" i="14" s="1"/>
  <c r="P64" i="4"/>
  <c r="H74" i="14" s="1"/>
  <c r="P80" i="4"/>
  <c r="H90" i="14" s="1"/>
  <c r="P307" i="4"/>
  <c r="H317" i="14" s="1"/>
  <c r="P89" i="4"/>
  <c r="H99" i="14" s="1"/>
  <c r="P115" i="4"/>
  <c r="H125" i="14" s="1"/>
  <c r="P26" i="4"/>
  <c r="H36" i="14" s="1"/>
  <c r="P78" i="4"/>
  <c r="H88" i="14" s="1"/>
  <c r="P142" i="4"/>
  <c r="H152" i="14" s="1"/>
  <c r="P133" i="4"/>
  <c r="H143" i="14" s="1"/>
  <c r="P93" i="4"/>
  <c r="H103" i="14" s="1"/>
  <c r="P309" i="4"/>
  <c r="H319" i="14" s="1"/>
  <c r="P116" i="4"/>
  <c r="H126" i="14" s="1"/>
  <c r="P39" i="4"/>
  <c r="H49" i="14" s="1"/>
  <c r="P205" i="4"/>
  <c r="H215" i="14" s="1"/>
  <c r="P361" i="4"/>
  <c r="H371" i="14" s="1"/>
  <c r="P162" i="4"/>
  <c r="H172" i="14" s="1"/>
  <c r="P86" i="4"/>
  <c r="H96" i="14" s="1"/>
  <c r="P74" i="4"/>
  <c r="H84" i="14" s="1"/>
  <c r="P160" i="4"/>
  <c r="H170" i="14" s="1"/>
  <c r="P244" i="4"/>
  <c r="H254" i="14" s="1"/>
  <c r="P79" i="4"/>
  <c r="H89" i="14" s="1"/>
  <c r="P267" i="4"/>
  <c r="H277" i="14" s="1"/>
  <c r="P227" i="4"/>
  <c r="H237" i="14" s="1"/>
  <c r="P55" i="4"/>
  <c r="H65" i="14" s="1"/>
  <c r="P119" i="4"/>
  <c r="H129" i="14" s="1"/>
  <c r="P301" i="4"/>
  <c r="H311" i="14" s="1"/>
  <c r="P199" i="4"/>
  <c r="H209" i="14" s="1"/>
  <c r="P225" i="4"/>
  <c r="H235" i="14" s="1"/>
  <c r="P298" i="4"/>
  <c r="H308" i="14" s="1"/>
  <c r="P150" i="4"/>
  <c r="H160" i="14" s="1"/>
  <c r="P35" i="4"/>
  <c r="H45" i="14" s="1"/>
  <c r="P73" i="4"/>
  <c r="H83" i="14" s="1"/>
  <c r="P38" i="4"/>
  <c r="H48" i="14" s="1"/>
  <c r="P328" i="4"/>
  <c r="H338" i="14" s="1"/>
  <c r="P207" i="4"/>
  <c r="H217" i="14" s="1"/>
  <c r="P118" i="4"/>
  <c r="H128" i="14" s="1"/>
  <c r="P238" i="4"/>
  <c r="H248" i="14" s="1"/>
  <c r="P318" i="4"/>
  <c r="H328" i="14" s="1"/>
  <c r="P134" i="4"/>
  <c r="H144" i="14" s="1"/>
  <c r="P112" i="4"/>
  <c r="H122" i="14" s="1"/>
  <c r="P46" i="4"/>
  <c r="H56" i="14" s="1"/>
  <c r="P336" i="4"/>
  <c r="H346" i="14" s="1"/>
  <c r="P147" i="4"/>
  <c r="H157" i="14" s="1"/>
  <c r="P299" i="4"/>
  <c r="H309" i="14" s="1"/>
  <c r="P152" i="4"/>
  <c r="H162" i="14" s="1"/>
  <c r="P69" i="4"/>
  <c r="H79" i="14" s="1"/>
  <c r="P158" i="4"/>
  <c r="H168" i="14" s="1"/>
  <c r="P220" i="4"/>
  <c r="H230" i="14" s="1"/>
  <c r="P57" i="4"/>
  <c r="H67" i="14" s="1"/>
  <c r="P210" i="4"/>
  <c r="H220" i="14" s="1"/>
  <c r="P221" i="4"/>
  <c r="H231" i="14" s="1"/>
  <c r="P249" i="4"/>
  <c r="H259" i="14" s="1"/>
  <c r="P372" i="4"/>
  <c r="H382" i="14" s="1"/>
  <c r="P354" i="4"/>
  <c r="H364" i="14" s="1"/>
  <c r="P125" i="4"/>
  <c r="H135" i="14" s="1"/>
  <c r="P233" i="4"/>
  <c r="H243" i="14" s="1"/>
  <c r="P145" i="4"/>
  <c r="H155" i="14" s="1"/>
  <c r="P40" i="4"/>
  <c r="H50" i="14" s="1"/>
  <c r="P109" i="4"/>
  <c r="H119" i="14" s="1"/>
  <c r="P53" i="4"/>
  <c r="H63" i="14" s="1"/>
  <c r="P241" i="4"/>
  <c r="H251" i="14" s="1"/>
  <c r="P219" i="4"/>
  <c r="H229" i="14" s="1"/>
  <c r="P149" i="4"/>
  <c r="H159" i="14" s="1"/>
  <c r="P164" i="4"/>
  <c r="H174" i="14" s="1"/>
  <c r="P280" i="4"/>
  <c r="H290" i="14" s="1"/>
  <c r="P48" i="4"/>
  <c r="H58" i="14" s="1"/>
  <c r="P223" i="4"/>
  <c r="H233" i="14" s="1"/>
  <c r="P306" i="4"/>
  <c r="H316" i="14" s="1"/>
  <c r="P91" i="4"/>
  <c r="H101" i="14" s="1"/>
  <c r="P62" i="4"/>
  <c r="H72" i="14" s="1"/>
  <c r="P281" i="4"/>
  <c r="H291" i="14" s="1"/>
  <c r="P27" i="4"/>
  <c r="H37" i="14" s="1"/>
  <c r="P287" i="4"/>
  <c r="H297" i="14" s="1"/>
  <c r="P319" i="4"/>
  <c r="H329" i="14" s="1"/>
  <c r="P261" i="4"/>
  <c r="H271" i="14" s="1"/>
  <c r="P37" i="4"/>
  <c r="H47" i="14" s="1"/>
  <c r="P120" i="4"/>
  <c r="H130" i="14" s="1"/>
  <c r="P32" i="4"/>
  <c r="H42" i="14" s="1"/>
  <c r="P229" i="4"/>
  <c r="H239" i="14" s="1"/>
  <c r="P268" i="4"/>
  <c r="H278" i="14" s="1"/>
  <c r="P139" i="4"/>
  <c r="H149" i="14" s="1"/>
  <c r="P232" i="4"/>
  <c r="H242" i="14" s="1"/>
  <c r="P81" i="4"/>
  <c r="H91" i="14" s="1"/>
  <c r="P105" i="4"/>
  <c r="H115" i="14" s="1"/>
  <c r="P34" i="4"/>
  <c r="H44" i="14" s="1"/>
  <c r="P350" i="4"/>
  <c r="H360" i="14" s="1"/>
  <c r="P70" i="4"/>
  <c r="H80" i="14" s="1"/>
  <c r="P175" i="4"/>
  <c r="H185" i="14" s="1"/>
  <c r="P271" i="4"/>
  <c r="H281" i="14" s="1"/>
  <c r="P290" i="4"/>
  <c r="H300" i="14" s="1"/>
  <c r="P243" i="4"/>
  <c r="H253" i="14" s="1"/>
  <c r="P24" i="4"/>
  <c r="H34" i="14" s="1"/>
  <c r="P253" i="4"/>
  <c r="H263" i="14" s="1"/>
  <c r="P235" i="4"/>
  <c r="H245" i="14" s="1"/>
  <c r="P217" i="4"/>
  <c r="H227" i="14" s="1"/>
  <c r="P257" i="4"/>
  <c r="H267" i="14" s="1"/>
  <c r="P365" i="4"/>
  <c r="H375" i="14" s="1"/>
  <c r="P51" i="4"/>
  <c r="H61" i="14" s="1"/>
  <c r="P196" i="4"/>
  <c r="H206" i="14" s="1"/>
  <c r="P100" i="4"/>
  <c r="H110" i="14" s="1"/>
  <c r="P367" i="4"/>
  <c r="H377" i="14" s="1"/>
  <c r="P58" i="4"/>
  <c r="H68" i="14" s="1"/>
  <c r="P216" i="4"/>
  <c r="H226" i="14" s="1"/>
  <c r="P50" i="4"/>
  <c r="H60" i="14" s="1"/>
  <c r="P294" i="4"/>
  <c r="H304" i="14" s="1"/>
  <c r="P88" i="4"/>
  <c r="H98" i="14" s="1"/>
  <c r="P262" i="4"/>
  <c r="H272" i="14" s="1"/>
  <c r="P250" i="4"/>
  <c r="H260" i="14" s="1"/>
  <c r="P285" i="4"/>
  <c r="H295" i="14" s="1"/>
  <c r="P195" i="4"/>
  <c r="H205" i="14" s="1"/>
  <c r="P277" i="4"/>
  <c r="H287" i="14" s="1"/>
  <c r="P54" i="4"/>
  <c r="H64" i="14" s="1"/>
  <c r="P71" i="4"/>
  <c r="H81" i="14" s="1"/>
  <c r="P230" i="4"/>
  <c r="H240" i="14" s="1"/>
  <c r="P258" i="4"/>
  <c r="H268" i="14" s="1"/>
  <c r="P191" i="4"/>
  <c r="H201" i="14" s="1"/>
  <c r="P352" i="4"/>
  <c r="H362" i="14" s="1"/>
  <c r="P111" i="4"/>
  <c r="H121" i="14" s="1"/>
  <c r="P159" i="4"/>
  <c r="H169" i="14" s="1"/>
  <c r="P117" i="4"/>
  <c r="H127" i="14" s="1"/>
  <c r="P45" i="4"/>
  <c r="H55" i="14" s="1"/>
  <c r="P300" i="4"/>
  <c r="H310" i="14" s="1"/>
  <c r="P113" i="4"/>
  <c r="H123" i="14" s="1"/>
  <c r="P317" i="4"/>
  <c r="H327" i="14" s="1"/>
  <c r="P375" i="4"/>
  <c r="H385" i="14" s="1"/>
  <c r="P256" i="4"/>
  <c r="H266" i="14" s="1"/>
  <c r="P31" i="4"/>
  <c r="H41" i="14" s="1"/>
  <c r="P72" i="4"/>
  <c r="H82" i="14" s="1"/>
  <c r="P310" i="4"/>
  <c r="H320" i="14" s="1"/>
  <c r="P193" i="4"/>
  <c r="H203" i="14" s="1"/>
  <c r="P96" i="4"/>
  <c r="H106" i="14" s="1"/>
  <c r="P177" i="4"/>
  <c r="H187" i="14" s="1"/>
  <c r="P148" i="4"/>
  <c r="H158" i="14" s="1"/>
  <c r="P33" i="4"/>
  <c r="H43" i="14" s="1"/>
  <c r="P156" i="4"/>
  <c r="H166" i="14" s="1"/>
  <c r="P36" i="4"/>
  <c r="H46" i="14" s="1"/>
  <c r="P76" i="4"/>
  <c r="H86" i="14" s="1"/>
  <c r="P98" i="4"/>
  <c r="H108" i="14" s="1"/>
  <c r="P182" i="4"/>
  <c r="H192" i="14" s="1"/>
  <c r="P358" i="4"/>
  <c r="H368" i="14" s="1"/>
  <c r="P251" i="4"/>
  <c r="H261" i="14" s="1"/>
  <c r="P322" i="4"/>
  <c r="H332" i="14" s="1"/>
  <c r="P364" i="4"/>
  <c r="H374" i="14" s="1"/>
  <c r="P321" i="4"/>
  <c r="H331" i="14" s="1"/>
  <c r="P259" i="4"/>
  <c r="H269" i="14" s="1"/>
  <c r="P342" i="4"/>
  <c r="H352" i="14" s="1"/>
  <c r="P339" i="4"/>
  <c r="H349" i="14" s="1"/>
  <c r="P176" i="4"/>
  <c r="H186" i="14" s="1"/>
  <c r="P293" i="4"/>
  <c r="H303" i="14" s="1"/>
  <c r="P157" i="4"/>
  <c r="H167" i="14" s="1"/>
  <c r="P124" i="4"/>
  <c r="H134" i="14" s="1"/>
  <c r="P329" i="4"/>
  <c r="H339" i="14" s="1"/>
  <c r="P211" i="4"/>
  <c r="H221" i="14" s="1"/>
  <c r="P181" i="4"/>
  <c r="H191" i="14" s="1"/>
  <c r="P184" i="4"/>
  <c r="H194" i="14" s="1"/>
  <c r="P373" i="4"/>
  <c r="H383" i="14" s="1"/>
  <c r="P286" i="4"/>
  <c r="H296" i="14" s="1"/>
  <c r="P206" i="4"/>
  <c r="H216" i="14" s="1"/>
  <c r="P172" i="4"/>
  <c r="H182" i="14" s="1"/>
  <c r="P303" i="4"/>
  <c r="H313" i="14" s="1"/>
  <c r="P279" i="4"/>
  <c r="H289" i="14" s="1"/>
  <c r="P128" i="4"/>
  <c r="H138" i="14" s="1"/>
  <c r="P106" i="4"/>
  <c r="H116" i="14" s="1"/>
  <c r="P355" i="4"/>
  <c r="H365" i="14" s="1"/>
  <c r="P359" i="4"/>
  <c r="H369" i="14" s="1"/>
  <c r="P49" i="4"/>
  <c r="H59" i="14" s="1"/>
  <c r="P23" i="4"/>
  <c r="H33" i="14" s="1"/>
  <c r="P95" i="4"/>
  <c r="H105" i="14" s="1"/>
  <c r="P312" i="4"/>
  <c r="H322" i="14" s="1"/>
  <c r="P66" i="4"/>
  <c r="H76" i="14" s="1"/>
  <c r="P362" i="4"/>
  <c r="H372" i="14" s="1"/>
  <c r="P297" i="4"/>
  <c r="H307" i="14" s="1"/>
  <c r="P338" i="4"/>
  <c r="H348" i="14" s="1"/>
  <c r="P61" i="4"/>
  <c r="H71" i="14" s="1"/>
  <c r="P110" i="4"/>
  <c r="H120" i="14" s="1"/>
  <c r="P252" i="4"/>
  <c r="H262" i="14" s="1"/>
  <c r="P138" i="4"/>
  <c r="H148" i="14" s="1"/>
  <c r="P264" i="4"/>
  <c r="H274" i="14" s="1"/>
  <c r="P341" i="4"/>
  <c r="H351" i="14" s="1"/>
  <c r="P315" i="4"/>
  <c r="H325" i="14" s="1"/>
  <c r="P28" i="4"/>
  <c r="H38" i="14" s="1"/>
  <c r="P114" i="4"/>
  <c r="H124" i="14" s="1"/>
  <c r="P155" i="4"/>
  <c r="H165" i="14" s="1"/>
  <c r="P255" i="4"/>
  <c r="H265" i="14" s="1"/>
  <c r="P170" i="4"/>
  <c r="H180" i="14" s="1"/>
  <c r="P265" i="4"/>
  <c r="H275" i="14" s="1"/>
  <c r="P349" i="4"/>
  <c r="H359" i="14" s="1"/>
  <c r="P313" i="4"/>
  <c r="H323" i="14" s="1"/>
  <c r="E12" i="4"/>
  <c r="L70" i="4"/>
  <c r="M77" i="6" s="1"/>
  <c r="Q16" i="4"/>
  <c r="R23" i="6" s="1"/>
  <c r="Q19" i="4"/>
  <c r="R26" i="6" s="1"/>
  <c r="Q17" i="4"/>
  <c r="R24" i="6" s="1"/>
  <c r="Q15" i="4"/>
  <c r="R22" i="6" s="1"/>
  <c r="Q20" i="4"/>
  <c r="R27" i="6" s="1"/>
  <c r="Q18" i="4"/>
  <c r="R25" i="6" s="1"/>
  <c r="Q21" i="4"/>
  <c r="R28" i="6" s="1"/>
  <c r="Q126" i="4"/>
  <c r="R133" i="6" s="1"/>
  <c r="Q14" i="4"/>
  <c r="R21" i="6" s="1"/>
  <c r="Q22" i="4"/>
  <c r="R29" i="6" s="1"/>
  <c r="Q47" i="4"/>
  <c r="R54" i="6" s="1"/>
  <c r="Q304" i="4"/>
  <c r="R311" i="6" s="1"/>
  <c r="Q189" i="4"/>
  <c r="R196" i="6" s="1"/>
  <c r="Q311" i="4"/>
  <c r="R318" i="6" s="1"/>
  <c r="N77" i="6"/>
  <c r="Q77" i="6" s="1"/>
  <c r="Q60" i="4"/>
  <c r="R67" i="6" s="1"/>
  <c r="Q274" i="4"/>
  <c r="R281" i="6" s="1"/>
  <c r="Q82" i="4"/>
  <c r="R89" i="6" s="1"/>
  <c r="Q356" i="4"/>
  <c r="R363" i="6" s="1"/>
  <c r="L51" i="4"/>
  <c r="M58" i="6" s="1"/>
  <c r="Q345" i="4"/>
  <c r="R352" i="6" s="1"/>
  <c r="Q215" i="4"/>
  <c r="R222" i="6" s="1"/>
  <c r="K18" i="6"/>
  <c r="L18" i="6" s="1"/>
  <c r="K11" i="4"/>
  <c r="I11" i="4"/>
  <c r="P11" i="4" s="1"/>
  <c r="H21" i="14" s="1"/>
  <c r="I21" i="14" s="1"/>
  <c r="J22" i="14" s="1"/>
  <c r="I18" i="6"/>
  <c r="J18" i="6" s="1"/>
  <c r="Q18" i="6" s="1"/>
  <c r="I13" i="4"/>
  <c r="P13" i="4" s="1"/>
  <c r="H23" i="14" s="1"/>
  <c r="I20" i="6"/>
  <c r="W13" i="4"/>
  <c r="X20" i="6" s="1"/>
  <c r="L64" i="2"/>
  <c r="L65" i="2" s="1"/>
  <c r="L66" i="2" s="1"/>
  <c r="L67" i="2" s="1"/>
  <c r="L68" i="2" s="1"/>
  <c r="L69" i="2" s="1"/>
  <c r="L70" i="2" s="1"/>
  <c r="L71" i="2" s="1"/>
  <c r="L72" i="2" s="1"/>
  <c r="L73" i="2" s="1"/>
  <c r="L74" i="2" s="1"/>
  <c r="L75" i="2" s="1"/>
  <c r="L76" i="2" s="1"/>
  <c r="L77" i="2" s="1"/>
  <c r="L78" i="2" s="1"/>
  <c r="L79" i="2" s="1"/>
  <c r="L80" i="2" s="1"/>
  <c r="L81" i="2" s="1"/>
  <c r="L82" i="2" s="1"/>
  <c r="F58" i="6"/>
  <c r="F19" i="6"/>
  <c r="I12" i="4"/>
  <c r="P12" i="4" s="1"/>
  <c r="H22" i="14" s="1"/>
  <c r="I22" i="14" s="1"/>
  <c r="I19" i="6"/>
  <c r="J19" i="6" s="1"/>
  <c r="W12" i="4"/>
  <c r="X19" i="6" s="1"/>
  <c r="W11" i="4"/>
  <c r="K19" i="6"/>
  <c r="K20" i="6"/>
  <c r="V29" i="5"/>
  <c r="U30" i="5"/>
  <c r="M53" i="6"/>
  <c r="N53" i="6"/>
  <c r="E14" i="4"/>
  <c r="F20" i="6"/>
  <c r="M382" i="6"/>
  <c r="N382" i="6"/>
  <c r="M381" i="6"/>
  <c r="N381" i="6"/>
  <c r="M380" i="6"/>
  <c r="N380" i="6"/>
  <c r="M379" i="6"/>
  <c r="N379" i="6"/>
  <c r="M378" i="6"/>
  <c r="N378" i="6"/>
  <c r="M377" i="6"/>
  <c r="N377" i="6"/>
  <c r="M376" i="6"/>
  <c r="N376" i="6"/>
  <c r="M375" i="6"/>
  <c r="N375" i="6"/>
  <c r="M374" i="6"/>
  <c r="N374" i="6"/>
  <c r="M373" i="6"/>
  <c r="N373" i="6"/>
  <c r="M372" i="6"/>
  <c r="N372" i="6"/>
  <c r="M371" i="6"/>
  <c r="N371" i="6"/>
  <c r="M370" i="6"/>
  <c r="N370" i="6"/>
  <c r="M369" i="6"/>
  <c r="N369" i="6"/>
  <c r="M368" i="6"/>
  <c r="N368" i="6"/>
  <c r="M367" i="6"/>
  <c r="N367" i="6"/>
  <c r="M366" i="6"/>
  <c r="N366" i="6"/>
  <c r="M365" i="6"/>
  <c r="N365" i="6"/>
  <c r="M364" i="6"/>
  <c r="N364" i="6"/>
  <c r="M363" i="6"/>
  <c r="N363" i="6"/>
  <c r="M362" i="6"/>
  <c r="N362" i="6"/>
  <c r="M361" i="6"/>
  <c r="N361" i="6"/>
  <c r="M360" i="6"/>
  <c r="N360" i="6"/>
  <c r="M359" i="6"/>
  <c r="N359" i="6"/>
  <c r="M358" i="6"/>
  <c r="N358" i="6"/>
  <c r="M357" i="6"/>
  <c r="N357" i="6"/>
  <c r="M356" i="6"/>
  <c r="N356" i="6"/>
  <c r="M355" i="6"/>
  <c r="N355" i="6"/>
  <c r="M354" i="6"/>
  <c r="N354" i="6"/>
  <c r="M353" i="6"/>
  <c r="N353" i="6"/>
  <c r="M352" i="6"/>
  <c r="N352" i="6"/>
  <c r="M351" i="6"/>
  <c r="N351" i="6"/>
  <c r="M350" i="6"/>
  <c r="N350" i="6"/>
  <c r="M349" i="6"/>
  <c r="N349" i="6"/>
  <c r="M348" i="6"/>
  <c r="N348" i="6"/>
  <c r="M347" i="6"/>
  <c r="N347" i="6"/>
  <c r="M346" i="6"/>
  <c r="N346" i="6"/>
  <c r="M345" i="6"/>
  <c r="N345" i="6"/>
  <c r="M344" i="6"/>
  <c r="N344" i="6"/>
  <c r="M343" i="6"/>
  <c r="N343" i="6"/>
  <c r="M342" i="6"/>
  <c r="N342" i="6"/>
  <c r="M341" i="6"/>
  <c r="N341" i="6"/>
  <c r="M340" i="6"/>
  <c r="N340" i="6"/>
  <c r="M339" i="6"/>
  <c r="N339" i="6"/>
  <c r="M338" i="6"/>
  <c r="N338" i="6"/>
  <c r="M337" i="6"/>
  <c r="N337" i="6"/>
  <c r="M336" i="6"/>
  <c r="N336" i="6"/>
  <c r="M335" i="6"/>
  <c r="N335" i="6"/>
  <c r="M334" i="6"/>
  <c r="N334" i="6"/>
  <c r="M333" i="6"/>
  <c r="N333" i="6"/>
  <c r="M332" i="6"/>
  <c r="N332" i="6"/>
  <c r="M331" i="6"/>
  <c r="N331" i="6"/>
  <c r="M330" i="6"/>
  <c r="N330" i="6"/>
  <c r="M329" i="6"/>
  <c r="N329" i="6"/>
  <c r="M328" i="6"/>
  <c r="N328" i="6"/>
  <c r="M327" i="6"/>
  <c r="N327" i="6"/>
  <c r="M326" i="6"/>
  <c r="N326" i="6"/>
  <c r="M325" i="6"/>
  <c r="N325" i="6"/>
  <c r="M324" i="6"/>
  <c r="N324" i="6"/>
  <c r="M323" i="6"/>
  <c r="N323" i="6"/>
  <c r="M322" i="6"/>
  <c r="N322" i="6"/>
  <c r="M321" i="6"/>
  <c r="N321" i="6"/>
  <c r="M320" i="6"/>
  <c r="N320" i="6"/>
  <c r="M319" i="6"/>
  <c r="N319" i="6"/>
  <c r="M318" i="6"/>
  <c r="N318" i="6"/>
  <c r="M317" i="6"/>
  <c r="N317" i="6"/>
  <c r="M316" i="6"/>
  <c r="N316" i="6"/>
  <c r="M315" i="6"/>
  <c r="N315" i="6"/>
  <c r="M314" i="6"/>
  <c r="N314" i="6"/>
  <c r="M313" i="6"/>
  <c r="N313" i="6"/>
  <c r="M312" i="6"/>
  <c r="N312" i="6"/>
  <c r="M311" i="6"/>
  <c r="N311" i="6"/>
  <c r="M310" i="6"/>
  <c r="N310" i="6"/>
  <c r="M309" i="6"/>
  <c r="N309" i="6"/>
  <c r="M308" i="6"/>
  <c r="N308" i="6"/>
  <c r="M307" i="6"/>
  <c r="N307" i="6"/>
  <c r="M306" i="6"/>
  <c r="N306" i="6"/>
  <c r="M305" i="6"/>
  <c r="N305" i="6"/>
  <c r="M304" i="6"/>
  <c r="N304" i="6"/>
  <c r="M303" i="6"/>
  <c r="N303" i="6"/>
  <c r="M302" i="6"/>
  <c r="N302" i="6"/>
  <c r="M301" i="6"/>
  <c r="N301" i="6"/>
  <c r="M300" i="6"/>
  <c r="N300" i="6"/>
  <c r="M299" i="6"/>
  <c r="N299" i="6"/>
  <c r="M298" i="6"/>
  <c r="N298" i="6"/>
  <c r="M297" i="6"/>
  <c r="N297" i="6"/>
  <c r="M296" i="6"/>
  <c r="N296" i="6"/>
  <c r="M295" i="6"/>
  <c r="N295" i="6"/>
  <c r="M294" i="6"/>
  <c r="N294" i="6"/>
  <c r="M293" i="6"/>
  <c r="N293" i="6"/>
  <c r="M292" i="6"/>
  <c r="N292" i="6"/>
  <c r="M291" i="6"/>
  <c r="N291" i="6"/>
  <c r="M290" i="6"/>
  <c r="N290" i="6"/>
  <c r="M289" i="6"/>
  <c r="N289" i="6"/>
  <c r="M288" i="6"/>
  <c r="N288" i="6"/>
  <c r="M287" i="6"/>
  <c r="N287" i="6"/>
  <c r="M286" i="6"/>
  <c r="N286" i="6"/>
  <c r="M285" i="6"/>
  <c r="N285" i="6"/>
  <c r="M284" i="6"/>
  <c r="N284" i="6"/>
  <c r="M283" i="6"/>
  <c r="N283" i="6"/>
  <c r="M282" i="6"/>
  <c r="N282" i="6"/>
  <c r="M281" i="6"/>
  <c r="N281" i="6"/>
  <c r="M280" i="6"/>
  <c r="N280" i="6"/>
  <c r="M279" i="6"/>
  <c r="N279" i="6"/>
  <c r="M278" i="6"/>
  <c r="N278" i="6"/>
  <c r="M277" i="6"/>
  <c r="N277" i="6"/>
  <c r="M276" i="6"/>
  <c r="N276" i="6"/>
  <c r="M275" i="6"/>
  <c r="N275" i="6"/>
  <c r="M274" i="6"/>
  <c r="N274" i="6"/>
  <c r="M273" i="6"/>
  <c r="N273" i="6"/>
  <c r="M272" i="6"/>
  <c r="N272" i="6"/>
  <c r="M271" i="6"/>
  <c r="N271" i="6"/>
  <c r="M270" i="6"/>
  <c r="N270" i="6"/>
  <c r="M269" i="6"/>
  <c r="N269" i="6"/>
  <c r="M268" i="6"/>
  <c r="N268" i="6"/>
  <c r="M267" i="6"/>
  <c r="N267" i="6"/>
  <c r="M266" i="6"/>
  <c r="N266" i="6"/>
  <c r="M265" i="6"/>
  <c r="N265" i="6"/>
  <c r="M264" i="6"/>
  <c r="N264" i="6"/>
  <c r="M263" i="6"/>
  <c r="N263" i="6"/>
  <c r="M262" i="6"/>
  <c r="N262" i="6"/>
  <c r="M261" i="6"/>
  <c r="N261" i="6"/>
  <c r="M260" i="6"/>
  <c r="N260" i="6"/>
  <c r="M259" i="6"/>
  <c r="N259" i="6"/>
  <c r="M258" i="6"/>
  <c r="N258" i="6"/>
  <c r="M257" i="6"/>
  <c r="N257" i="6"/>
  <c r="M256" i="6"/>
  <c r="N256" i="6"/>
  <c r="M255" i="6"/>
  <c r="N255" i="6"/>
  <c r="M254" i="6"/>
  <c r="N254" i="6"/>
  <c r="M253" i="6"/>
  <c r="N253" i="6"/>
  <c r="M252" i="6"/>
  <c r="N252" i="6"/>
  <c r="M251" i="6"/>
  <c r="N251" i="6"/>
  <c r="M250" i="6"/>
  <c r="N250" i="6"/>
  <c r="M249" i="6"/>
  <c r="N249" i="6"/>
  <c r="M248" i="6"/>
  <c r="N248" i="6"/>
  <c r="M247" i="6"/>
  <c r="N247" i="6"/>
  <c r="M246" i="6"/>
  <c r="N246" i="6"/>
  <c r="M245" i="6"/>
  <c r="N245" i="6"/>
  <c r="M244" i="6"/>
  <c r="N244" i="6"/>
  <c r="M243" i="6"/>
  <c r="N243" i="6"/>
  <c r="M242" i="6"/>
  <c r="N242" i="6"/>
  <c r="M241" i="6"/>
  <c r="N241" i="6"/>
  <c r="M240" i="6"/>
  <c r="N240" i="6"/>
  <c r="M239" i="6"/>
  <c r="N239" i="6"/>
  <c r="M238" i="6"/>
  <c r="N238" i="6"/>
  <c r="M237" i="6"/>
  <c r="N237" i="6"/>
  <c r="M236" i="6"/>
  <c r="N236" i="6"/>
  <c r="M235" i="6"/>
  <c r="N235" i="6"/>
  <c r="M234" i="6"/>
  <c r="N234" i="6"/>
  <c r="M233" i="6"/>
  <c r="N233" i="6"/>
  <c r="M232" i="6"/>
  <c r="N232" i="6"/>
  <c r="M231" i="6"/>
  <c r="N231" i="6"/>
  <c r="M230" i="6"/>
  <c r="N230" i="6"/>
  <c r="M229" i="6"/>
  <c r="N229" i="6"/>
  <c r="M228" i="6"/>
  <c r="N228" i="6"/>
  <c r="M227" i="6"/>
  <c r="N227" i="6"/>
  <c r="M226" i="6"/>
  <c r="N226" i="6"/>
  <c r="M225" i="6"/>
  <c r="N225" i="6"/>
  <c r="M224" i="6"/>
  <c r="N224" i="6"/>
  <c r="M223" i="6"/>
  <c r="N223" i="6"/>
  <c r="M222" i="6"/>
  <c r="N222" i="6"/>
  <c r="M221" i="6"/>
  <c r="N221" i="6"/>
  <c r="M220" i="6"/>
  <c r="N220" i="6"/>
  <c r="M219" i="6"/>
  <c r="N219" i="6"/>
  <c r="M218" i="6"/>
  <c r="N218" i="6"/>
  <c r="M217" i="6"/>
  <c r="N217" i="6"/>
  <c r="M216" i="6"/>
  <c r="N216" i="6"/>
  <c r="M215" i="6"/>
  <c r="N215" i="6"/>
  <c r="M214" i="6"/>
  <c r="N214" i="6"/>
  <c r="M213" i="6"/>
  <c r="N213" i="6"/>
  <c r="M212" i="6"/>
  <c r="N212" i="6"/>
  <c r="M211" i="6"/>
  <c r="N211" i="6"/>
  <c r="M210" i="6"/>
  <c r="N210" i="6"/>
  <c r="M209" i="6"/>
  <c r="N209" i="6"/>
  <c r="M208" i="6"/>
  <c r="N208" i="6"/>
  <c r="M207" i="6"/>
  <c r="N207" i="6"/>
  <c r="M206" i="6"/>
  <c r="N206" i="6"/>
  <c r="M205" i="6"/>
  <c r="N205" i="6"/>
  <c r="M204" i="6"/>
  <c r="N204" i="6"/>
  <c r="M203" i="6"/>
  <c r="N203" i="6"/>
  <c r="M202" i="6"/>
  <c r="N202" i="6"/>
  <c r="M201" i="6"/>
  <c r="N201" i="6"/>
  <c r="M200" i="6"/>
  <c r="N200" i="6"/>
  <c r="M199" i="6"/>
  <c r="N199" i="6"/>
  <c r="M198" i="6"/>
  <c r="N198" i="6"/>
  <c r="M197" i="6"/>
  <c r="N197" i="6"/>
  <c r="M196" i="6"/>
  <c r="N196" i="6"/>
  <c r="M195" i="6"/>
  <c r="N195" i="6"/>
  <c r="M194" i="6"/>
  <c r="N194" i="6"/>
  <c r="M193" i="6"/>
  <c r="N193" i="6"/>
  <c r="M192" i="6"/>
  <c r="N192" i="6"/>
  <c r="M191" i="6"/>
  <c r="N191" i="6"/>
  <c r="M190" i="6"/>
  <c r="N190" i="6"/>
  <c r="M189" i="6"/>
  <c r="N189" i="6"/>
  <c r="M188" i="6"/>
  <c r="N188" i="6"/>
  <c r="M187" i="6"/>
  <c r="N187" i="6"/>
  <c r="M186" i="6"/>
  <c r="N186" i="6"/>
  <c r="M185" i="6"/>
  <c r="N185" i="6"/>
  <c r="M184" i="6"/>
  <c r="N184" i="6"/>
  <c r="M183" i="6"/>
  <c r="N183" i="6"/>
  <c r="M182" i="6"/>
  <c r="N182" i="6"/>
  <c r="M181" i="6"/>
  <c r="N181" i="6"/>
  <c r="M180" i="6"/>
  <c r="N180" i="6"/>
  <c r="M179" i="6"/>
  <c r="N179" i="6"/>
  <c r="M178" i="6"/>
  <c r="N178" i="6"/>
  <c r="M177" i="6"/>
  <c r="N177" i="6"/>
  <c r="M176" i="6"/>
  <c r="N176" i="6"/>
  <c r="M175" i="6"/>
  <c r="N175" i="6"/>
  <c r="M174" i="6"/>
  <c r="N174" i="6"/>
  <c r="M173" i="6"/>
  <c r="N173" i="6"/>
  <c r="M172" i="6"/>
  <c r="N172" i="6"/>
  <c r="M171" i="6"/>
  <c r="N171" i="6"/>
  <c r="M170" i="6"/>
  <c r="N170" i="6"/>
  <c r="M169" i="6"/>
  <c r="N169" i="6"/>
  <c r="M168" i="6"/>
  <c r="N168" i="6"/>
  <c r="M167" i="6"/>
  <c r="N167" i="6"/>
  <c r="M166" i="6"/>
  <c r="N166" i="6"/>
  <c r="M165" i="6"/>
  <c r="N165" i="6"/>
  <c r="M164" i="6"/>
  <c r="N164" i="6"/>
  <c r="M163" i="6"/>
  <c r="N163" i="6"/>
  <c r="M162" i="6"/>
  <c r="N162" i="6"/>
  <c r="M161" i="6"/>
  <c r="N161" i="6"/>
  <c r="M160" i="6"/>
  <c r="N160" i="6"/>
  <c r="M159" i="6"/>
  <c r="N159" i="6"/>
  <c r="M158" i="6"/>
  <c r="N158" i="6"/>
  <c r="M157" i="6"/>
  <c r="N157" i="6"/>
  <c r="M156" i="6"/>
  <c r="N156" i="6"/>
  <c r="M155" i="6"/>
  <c r="N155" i="6"/>
  <c r="M154" i="6"/>
  <c r="N154" i="6"/>
  <c r="M153" i="6"/>
  <c r="N153" i="6"/>
  <c r="M152" i="6"/>
  <c r="N152" i="6"/>
  <c r="M151" i="6"/>
  <c r="N151" i="6"/>
  <c r="M150" i="6"/>
  <c r="N150" i="6"/>
  <c r="M149" i="6"/>
  <c r="N149" i="6"/>
  <c r="M148" i="6"/>
  <c r="N148" i="6"/>
  <c r="M147" i="6"/>
  <c r="N147" i="6"/>
  <c r="M146" i="6"/>
  <c r="N146" i="6"/>
  <c r="M145" i="6"/>
  <c r="N145" i="6"/>
  <c r="M144" i="6"/>
  <c r="N144" i="6"/>
  <c r="M143" i="6"/>
  <c r="N143" i="6"/>
  <c r="M142" i="6"/>
  <c r="N142" i="6"/>
  <c r="M141" i="6"/>
  <c r="N141" i="6"/>
  <c r="M140" i="6"/>
  <c r="N140" i="6"/>
  <c r="M139" i="6"/>
  <c r="N139" i="6"/>
  <c r="M138" i="6"/>
  <c r="N138" i="6"/>
  <c r="M137" i="6"/>
  <c r="N137" i="6"/>
  <c r="M136" i="6"/>
  <c r="N136" i="6"/>
  <c r="M135" i="6"/>
  <c r="N135" i="6"/>
  <c r="M134" i="6"/>
  <c r="N134" i="6"/>
  <c r="M133" i="6"/>
  <c r="N133" i="6"/>
  <c r="M132" i="6"/>
  <c r="N132" i="6"/>
  <c r="M131" i="6"/>
  <c r="N131" i="6"/>
  <c r="M130" i="6"/>
  <c r="N130" i="6"/>
  <c r="M129" i="6"/>
  <c r="N129" i="6"/>
  <c r="M128" i="6"/>
  <c r="N128" i="6"/>
  <c r="M127" i="6"/>
  <c r="N127" i="6"/>
  <c r="M126" i="6"/>
  <c r="N126" i="6"/>
  <c r="M125" i="6"/>
  <c r="N125" i="6"/>
  <c r="M124" i="6"/>
  <c r="N124" i="6"/>
  <c r="M123" i="6"/>
  <c r="N123" i="6"/>
  <c r="M122" i="6"/>
  <c r="N122" i="6"/>
  <c r="M121" i="6"/>
  <c r="N121" i="6"/>
  <c r="M120" i="6"/>
  <c r="N120" i="6"/>
  <c r="M119" i="6"/>
  <c r="N119" i="6"/>
  <c r="M118" i="6"/>
  <c r="N118" i="6"/>
  <c r="M117" i="6"/>
  <c r="N117" i="6"/>
  <c r="M116" i="6"/>
  <c r="N116" i="6"/>
  <c r="M115" i="6"/>
  <c r="N115" i="6"/>
  <c r="M114" i="6"/>
  <c r="N114" i="6"/>
  <c r="M113" i="6"/>
  <c r="N113" i="6"/>
  <c r="M112" i="6"/>
  <c r="N112" i="6"/>
  <c r="M111" i="6"/>
  <c r="N111" i="6"/>
  <c r="M110" i="6"/>
  <c r="N110" i="6"/>
  <c r="M109" i="6"/>
  <c r="N109" i="6"/>
  <c r="M108" i="6"/>
  <c r="N108" i="6"/>
  <c r="M107" i="6"/>
  <c r="N107" i="6"/>
  <c r="M106" i="6"/>
  <c r="N106" i="6"/>
  <c r="M105" i="6"/>
  <c r="N105" i="6"/>
  <c r="M104" i="6"/>
  <c r="N104" i="6"/>
  <c r="M103" i="6"/>
  <c r="N103" i="6"/>
  <c r="M102" i="6"/>
  <c r="N102" i="6"/>
  <c r="M101" i="6"/>
  <c r="N101" i="6"/>
  <c r="M100" i="6"/>
  <c r="N100" i="6"/>
  <c r="M99" i="6"/>
  <c r="N99" i="6"/>
  <c r="M98" i="6"/>
  <c r="N98" i="6"/>
  <c r="M97" i="6"/>
  <c r="N97" i="6"/>
  <c r="M96" i="6"/>
  <c r="N96" i="6"/>
  <c r="M95" i="6"/>
  <c r="N95" i="6"/>
  <c r="M94" i="6"/>
  <c r="N94" i="6"/>
  <c r="M93" i="6"/>
  <c r="N93" i="6"/>
  <c r="M92" i="6"/>
  <c r="N92" i="6"/>
  <c r="M91" i="6"/>
  <c r="N91" i="6"/>
  <c r="M90" i="6"/>
  <c r="N90" i="6"/>
  <c r="M89" i="6"/>
  <c r="N89" i="6"/>
  <c r="M88" i="6"/>
  <c r="N88" i="6"/>
  <c r="M87" i="6"/>
  <c r="N87" i="6"/>
  <c r="M86" i="6"/>
  <c r="N86" i="6"/>
  <c r="M85" i="6"/>
  <c r="N85" i="6"/>
  <c r="M84" i="6"/>
  <c r="N84" i="6"/>
  <c r="M83" i="6"/>
  <c r="N83" i="6"/>
  <c r="M82" i="6"/>
  <c r="N82" i="6"/>
  <c r="M81" i="6"/>
  <c r="N81" i="6"/>
  <c r="M80" i="6"/>
  <c r="N80" i="6"/>
  <c r="M79" i="6"/>
  <c r="N79" i="6"/>
  <c r="M78" i="6"/>
  <c r="N78" i="6"/>
  <c r="M76" i="6"/>
  <c r="N76" i="6"/>
  <c r="M75" i="6"/>
  <c r="N75" i="6"/>
  <c r="M74" i="6"/>
  <c r="N74" i="6"/>
  <c r="M73" i="6"/>
  <c r="N73" i="6"/>
  <c r="M72" i="6"/>
  <c r="N72" i="6"/>
  <c r="M71" i="6"/>
  <c r="N71" i="6"/>
  <c r="M70" i="6"/>
  <c r="N70" i="6"/>
  <c r="M69" i="6"/>
  <c r="N69" i="6"/>
  <c r="M68" i="6"/>
  <c r="N68" i="6"/>
  <c r="M67" i="6"/>
  <c r="N67" i="6"/>
  <c r="M66" i="6"/>
  <c r="N66" i="6"/>
  <c r="M65" i="6"/>
  <c r="N65" i="6"/>
  <c r="M64" i="6"/>
  <c r="N64" i="6"/>
  <c r="M63" i="6"/>
  <c r="N63" i="6"/>
  <c r="M62" i="6"/>
  <c r="N62" i="6"/>
  <c r="M61" i="6"/>
  <c r="N61" i="6"/>
  <c r="M60" i="6"/>
  <c r="N60" i="6"/>
  <c r="M59" i="6"/>
  <c r="N59" i="6"/>
  <c r="M57" i="6"/>
  <c r="N57" i="6"/>
  <c r="M56" i="6"/>
  <c r="N56" i="6"/>
  <c r="M55" i="6"/>
  <c r="N55" i="6"/>
  <c r="M54" i="6"/>
  <c r="N54" i="6"/>
  <c r="M52" i="6"/>
  <c r="N52" i="6"/>
  <c r="M51" i="6"/>
  <c r="N51" i="6"/>
  <c r="M50" i="6"/>
  <c r="N50" i="6"/>
  <c r="M49" i="6"/>
  <c r="N49" i="6"/>
  <c r="M48" i="6"/>
  <c r="N48" i="6"/>
  <c r="M47" i="6"/>
  <c r="N47" i="6"/>
  <c r="M46" i="6"/>
  <c r="N46" i="6"/>
  <c r="M45" i="6"/>
  <c r="N45" i="6"/>
  <c r="M44" i="6"/>
  <c r="N44" i="6"/>
  <c r="M43" i="6"/>
  <c r="N43" i="6"/>
  <c r="M42" i="6"/>
  <c r="N42" i="6"/>
  <c r="M41" i="6"/>
  <c r="N41" i="6"/>
  <c r="M40" i="6"/>
  <c r="N40" i="6"/>
  <c r="M39" i="6"/>
  <c r="N39" i="6"/>
  <c r="M38" i="6"/>
  <c r="N38" i="6"/>
  <c r="M37" i="6"/>
  <c r="N37" i="6"/>
  <c r="M36" i="6"/>
  <c r="N36" i="6"/>
  <c r="M35" i="6"/>
  <c r="N35" i="6"/>
  <c r="M34" i="6"/>
  <c r="N34" i="6"/>
  <c r="M33" i="6"/>
  <c r="N33" i="6"/>
  <c r="M32" i="6"/>
  <c r="N32" i="6"/>
  <c r="M31" i="6"/>
  <c r="N31" i="6"/>
  <c r="M30" i="6"/>
  <c r="N30" i="6"/>
  <c r="M29" i="6"/>
  <c r="N29" i="6"/>
  <c r="M28" i="6"/>
  <c r="N28" i="6"/>
  <c r="M19" i="6"/>
  <c r="N19" i="6"/>
  <c r="M20" i="6"/>
  <c r="N20" i="6"/>
  <c r="L238" i="6"/>
  <c r="L239" i="6"/>
  <c r="L240" i="6"/>
  <c r="L241" i="6"/>
  <c r="L242" i="6"/>
  <c r="L243" i="6"/>
  <c r="L244" i="6"/>
  <c r="L245" i="6"/>
  <c r="L246" i="6"/>
  <c r="L247" i="6"/>
  <c r="L248" i="6"/>
  <c r="L249" i="6"/>
  <c r="L250" i="6"/>
  <c r="L251" i="6"/>
  <c r="L252" i="6"/>
  <c r="L253" i="6"/>
  <c r="L254" i="6"/>
  <c r="L255" i="6"/>
  <c r="L256" i="6"/>
  <c r="L257" i="6"/>
  <c r="L258" i="6"/>
  <c r="L259" i="6"/>
  <c r="L260" i="6"/>
  <c r="L261" i="6"/>
  <c r="L262" i="6"/>
  <c r="L263" i="6"/>
  <c r="L264" i="6"/>
  <c r="L265" i="6"/>
  <c r="L266" i="6"/>
  <c r="E23" i="16"/>
  <c r="H22" i="16"/>
  <c r="I22" i="16" s="1"/>
  <c r="D24" i="16"/>
  <c r="G23" i="16"/>
  <c r="C23" i="16"/>
  <c r="F23" i="16" s="1"/>
  <c r="X56" i="2"/>
  <c r="Y56" i="2" s="1"/>
  <c r="Y55" i="2"/>
  <c r="AK57" i="2"/>
  <c r="AL56" i="2"/>
  <c r="D23" i="8"/>
  <c r="N21" i="8"/>
  <c r="G21" i="8"/>
  <c r="D24" i="5"/>
  <c r="E24" i="5" s="1"/>
  <c r="AW29" i="2"/>
  <c r="AW30" i="2" s="1"/>
  <c r="AW31" i="2" s="1"/>
  <c r="AW32" i="2" s="1"/>
  <c r="AW33" i="2" s="1"/>
  <c r="AW34" i="2" s="1"/>
  <c r="AW35" i="2" s="1"/>
  <c r="AW36" i="2" s="1"/>
  <c r="AW37" i="2" s="1"/>
  <c r="AW38" i="2" s="1"/>
  <c r="AW39" i="2" s="1"/>
  <c r="AW40" i="2" s="1"/>
  <c r="AW41" i="2" s="1"/>
  <c r="AW42" i="2" s="1"/>
  <c r="AW43" i="2" s="1"/>
  <c r="AW44" i="2" s="1"/>
  <c r="AW45" i="2" s="1"/>
  <c r="AW46" i="2" s="1"/>
  <c r="AW47" i="2" s="1"/>
  <c r="AW48" i="2" s="1"/>
  <c r="AW49" i="2" s="1"/>
  <c r="AW50" i="2" s="1"/>
  <c r="AW51" i="2" s="1"/>
  <c r="AW52" i="2" s="1"/>
  <c r="AW53" i="2" s="1"/>
  <c r="AW54" i="2" s="1"/>
  <c r="AX54" i="2" s="1"/>
  <c r="J23" i="14" l="1"/>
  <c r="O19" i="14"/>
  <c r="K22" i="14"/>
  <c r="I23" i="14"/>
  <c r="Q12" i="4"/>
  <c r="Q11" i="4"/>
  <c r="L23" i="8"/>
  <c r="E23" i="8"/>
  <c r="H24" i="5"/>
  <c r="Y29" i="5"/>
  <c r="X29" i="5"/>
  <c r="Q369" i="4"/>
  <c r="R376" i="6" s="1"/>
  <c r="Q308" i="4"/>
  <c r="R315" i="6" s="1"/>
  <c r="Q218" i="4"/>
  <c r="R225" i="6" s="1"/>
  <c r="Q348" i="4"/>
  <c r="R355" i="6" s="1"/>
  <c r="Q171" i="4"/>
  <c r="R178" i="6" s="1"/>
  <c r="Q362" i="4"/>
  <c r="R369" i="6" s="1"/>
  <c r="Q141" i="4"/>
  <c r="R148" i="6" s="1"/>
  <c r="Q299" i="4"/>
  <c r="R306" i="6" s="1"/>
  <c r="Q263" i="4"/>
  <c r="R270" i="6" s="1"/>
  <c r="Q202" i="4"/>
  <c r="R209" i="6" s="1"/>
  <c r="Q309" i="4"/>
  <c r="R316" i="6" s="1"/>
  <c r="Q150" i="4"/>
  <c r="R157" i="6" s="1"/>
  <c r="Q305" i="4"/>
  <c r="R312" i="6" s="1"/>
  <c r="Q372" i="4"/>
  <c r="R379" i="6" s="1"/>
  <c r="Q290" i="4"/>
  <c r="R297" i="6" s="1"/>
  <c r="Q185" i="4"/>
  <c r="R192" i="6" s="1"/>
  <c r="Q201" i="4"/>
  <c r="R208" i="6" s="1"/>
  <c r="Q140" i="4"/>
  <c r="R147" i="6" s="1"/>
  <c r="Q198" i="4"/>
  <c r="R205" i="6" s="1"/>
  <c r="Q188" i="4"/>
  <c r="R195" i="6" s="1"/>
  <c r="Q146" i="4"/>
  <c r="R153" i="6" s="1"/>
  <c r="Q320" i="4"/>
  <c r="R327" i="6" s="1"/>
  <c r="Q190" i="4"/>
  <c r="R197" i="6" s="1"/>
  <c r="Q163" i="4"/>
  <c r="R170" i="6" s="1"/>
  <c r="Q107" i="4"/>
  <c r="R114" i="6" s="1"/>
  <c r="Q101" i="4"/>
  <c r="R108" i="6" s="1"/>
  <c r="Q231" i="4"/>
  <c r="R238" i="6" s="1"/>
  <c r="Q124" i="4"/>
  <c r="R131" i="6" s="1"/>
  <c r="Q183" i="4"/>
  <c r="R190" i="6" s="1"/>
  <c r="Q338" i="4"/>
  <c r="R345" i="6" s="1"/>
  <c r="Q23" i="4"/>
  <c r="R30" i="6" s="1"/>
  <c r="Q38" i="4"/>
  <c r="R45" i="6" s="1"/>
  <c r="Q250" i="4"/>
  <c r="R257" i="6" s="1"/>
  <c r="Q206" i="4"/>
  <c r="R213" i="6" s="1"/>
  <c r="Q102" i="4"/>
  <c r="R109" i="6" s="1"/>
  <c r="Q127" i="4"/>
  <c r="R134" i="6" s="1"/>
  <c r="Q109" i="4"/>
  <c r="R116" i="6" s="1"/>
  <c r="Q120" i="4"/>
  <c r="R127" i="6" s="1"/>
  <c r="Q162" i="4"/>
  <c r="R169" i="6" s="1"/>
  <c r="Q312" i="4"/>
  <c r="R319" i="6" s="1"/>
  <c r="Q350" i="4"/>
  <c r="R357" i="6" s="1"/>
  <c r="Q186" i="4"/>
  <c r="R193" i="6" s="1"/>
  <c r="Q151" i="4"/>
  <c r="R158" i="6" s="1"/>
  <c r="Q358" i="4"/>
  <c r="R365" i="6" s="1"/>
  <c r="Q27" i="4"/>
  <c r="R34" i="6" s="1"/>
  <c r="Q40" i="4"/>
  <c r="R47" i="6" s="1"/>
  <c r="Q28" i="4"/>
  <c r="R35" i="6" s="1"/>
  <c r="Q81" i="4"/>
  <c r="R88" i="6" s="1"/>
  <c r="Q321" i="4"/>
  <c r="R328" i="6" s="1"/>
  <c r="Q25" i="4"/>
  <c r="R32" i="6" s="1"/>
  <c r="Q301" i="4"/>
  <c r="R308" i="6" s="1"/>
  <c r="Q279" i="4"/>
  <c r="R286" i="6" s="1"/>
  <c r="Q232" i="4"/>
  <c r="R239" i="6" s="1"/>
  <c r="Q106" i="4"/>
  <c r="R113" i="6" s="1"/>
  <c r="Q142" i="4"/>
  <c r="R149" i="6" s="1"/>
  <c r="Q114" i="4"/>
  <c r="R121" i="6" s="1"/>
  <c r="Q364" i="4"/>
  <c r="R371" i="6" s="1"/>
  <c r="Q310" i="4"/>
  <c r="R317" i="6" s="1"/>
  <c r="Q306" i="4"/>
  <c r="R313" i="6" s="1"/>
  <c r="Q238" i="4"/>
  <c r="R245" i="6" s="1"/>
  <c r="Q68" i="4"/>
  <c r="R75" i="6" s="1"/>
  <c r="Q227" i="4"/>
  <c r="R234" i="6" s="1"/>
  <c r="Q217" i="4"/>
  <c r="R224" i="6" s="1"/>
  <c r="Q115" i="4"/>
  <c r="R122" i="6" s="1"/>
  <c r="Q269" i="4"/>
  <c r="R276" i="6" s="1"/>
  <c r="Q322" i="4"/>
  <c r="R329" i="6" s="1"/>
  <c r="Q223" i="4"/>
  <c r="R230" i="6" s="1"/>
  <c r="Q160" i="4"/>
  <c r="R167" i="6" s="1"/>
  <c r="Q166" i="4"/>
  <c r="R173" i="6" s="1"/>
  <c r="Q31" i="4"/>
  <c r="R38" i="6" s="1"/>
  <c r="Q207" i="4"/>
  <c r="R214" i="6" s="1"/>
  <c r="J20" i="6"/>
  <c r="Q111" i="4"/>
  <c r="R118" i="6" s="1"/>
  <c r="Q98" i="4"/>
  <c r="R105" i="6" s="1"/>
  <c r="Q184" i="4"/>
  <c r="R191" i="6" s="1"/>
  <c r="Q286" i="4"/>
  <c r="R293" i="6" s="1"/>
  <c r="Q251" i="4"/>
  <c r="R258" i="6" s="1"/>
  <c r="Q285" i="4"/>
  <c r="R292" i="6" s="1"/>
  <c r="Q32" i="4"/>
  <c r="R39" i="6" s="1"/>
  <c r="Q30" i="4"/>
  <c r="R37" i="6" s="1"/>
  <c r="Q259" i="4"/>
  <c r="R266" i="6" s="1"/>
  <c r="Q249" i="4"/>
  <c r="R256" i="6" s="1"/>
  <c r="Q256" i="4"/>
  <c r="R263" i="6" s="1"/>
  <c r="Q24" i="4"/>
  <c r="R31" i="6" s="1"/>
  <c r="Q210" i="4"/>
  <c r="R217" i="6" s="1"/>
  <c r="X11" i="4"/>
  <c r="Y18" i="6" s="1"/>
  <c r="X18" i="6"/>
  <c r="Q196" i="4"/>
  <c r="R203" i="6" s="1"/>
  <c r="Q91" i="4"/>
  <c r="R98" i="6" s="1"/>
  <c r="Q233" i="4"/>
  <c r="R240" i="6" s="1"/>
  <c r="Q46" i="4"/>
  <c r="R53" i="6" s="1"/>
  <c r="Q342" i="4"/>
  <c r="R349" i="6" s="1"/>
  <c r="Q303" i="4"/>
  <c r="R310" i="6" s="1"/>
  <c r="Q54" i="4"/>
  <c r="R61" i="6" s="1"/>
  <c r="Q267" i="4"/>
  <c r="R274" i="6" s="1"/>
  <c r="Q276" i="4"/>
  <c r="R283" i="6" s="1"/>
  <c r="Q221" i="4"/>
  <c r="R228" i="6" s="1"/>
  <c r="Q352" i="4"/>
  <c r="R359" i="6" s="1"/>
  <c r="Q113" i="4"/>
  <c r="R120" i="6" s="1"/>
  <c r="Q36" i="4"/>
  <c r="R43" i="6" s="1"/>
  <c r="Q319" i="4"/>
  <c r="R326" i="6" s="1"/>
  <c r="Q152" i="4"/>
  <c r="R159" i="6" s="1"/>
  <c r="Q33" i="4"/>
  <c r="R40" i="6" s="1"/>
  <c r="Q34" i="4"/>
  <c r="R41" i="6" s="1"/>
  <c r="Q330" i="4"/>
  <c r="R337" i="6" s="1"/>
  <c r="Q133" i="4"/>
  <c r="R140" i="6" s="1"/>
  <c r="Q258" i="4"/>
  <c r="R265" i="6" s="1"/>
  <c r="Q26" i="4"/>
  <c r="R33" i="6" s="1"/>
  <c r="Q145" i="4"/>
  <c r="R152" i="6" s="1"/>
  <c r="Q55" i="4"/>
  <c r="R62" i="6" s="1"/>
  <c r="Q149" i="4"/>
  <c r="R156" i="6" s="1"/>
  <c r="Q37" i="4"/>
  <c r="R44" i="6" s="1"/>
  <c r="Q240" i="4"/>
  <c r="R247" i="6" s="1"/>
  <c r="Q219" i="4"/>
  <c r="R226" i="6" s="1"/>
  <c r="Q35" i="4"/>
  <c r="R42" i="6" s="1"/>
  <c r="Q344" i="4"/>
  <c r="R351" i="6" s="1"/>
  <c r="Q39" i="4"/>
  <c r="R46" i="6" s="1"/>
  <c r="Q41" i="4"/>
  <c r="R48" i="6" s="1"/>
  <c r="Q336" i="4"/>
  <c r="R343" i="6" s="1"/>
  <c r="Q29" i="4"/>
  <c r="R36" i="6" s="1"/>
  <c r="Q57" i="4"/>
  <c r="R64" i="6" s="1"/>
  <c r="Q365" i="4"/>
  <c r="R372" i="6" s="1"/>
  <c r="Q122" i="4"/>
  <c r="R129" i="6" s="1"/>
  <c r="Q325" i="4"/>
  <c r="R332" i="6" s="1"/>
  <c r="Q255" i="4"/>
  <c r="R262" i="6" s="1"/>
  <c r="Q181" i="4"/>
  <c r="R188" i="6" s="1"/>
  <c r="Q214" i="4"/>
  <c r="R221" i="6" s="1"/>
  <c r="Q280" i="4"/>
  <c r="R287" i="6" s="1"/>
  <c r="Q164" i="4"/>
  <c r="R171" i="6" s="1"/>
  <c r="Q86" i="4"/>
  <c r="R93" i="6" s="1"/>
  <c r="Q125" i="4"/>
  <c r="R132" i="6" s="1"/>
  <c r="Q134" i="4"/>
  <c r="R141" i="6" s="1"/>
  <c r="Q260" i="4"/>
  <c r="R267" i="6" s="1"/>
  <c r="Q85" i="4"/>
  <c r="R92" i="6" s="1"/>
  <c r="Q254" i="4"/>
  <c r="R261" i="6" s="1"/>
  <c r="Q241" i="4"/>
  <c r="R248" i="6" s="1"/>
  <c r="Q317" i="4"/>
  <c r="R324" i="6" s="1"/>
  <c r="Q315" i="4"/>
  <c r="R322" i="6" s="1"/>
  <c r="Q272" i="4"/>
  <c r="R279" i="6" s="1"/>
  <c r="Q333" i="4"/>
  <c r="R340" i="6" s="1"/>
  <c r="Q110" i="4"/>
  <c r="R117" i="6" s="1"/>
  <c r="Q44" i="4"/>
  <c r="R51" i="6" s="1"/>
  <c r="Q366" i="4"/>
  <c r="R373" i="6" s="1"/>
  <c r="Q156" i="4"/>
  <c r="R163" i="6" s="1"/>
  <c r="Q294" i="4"/>
  <c r="R301" i="6" s="1"/>
  <c r="Q289" i="4"/>
  <c r="R296" i="6" s="1"/>
  <c r="Q357" i="4"/>
  <c r="R364" i="6" s="1"/>
  <c r="Q169" i="4"/>
  <c r="R176" i="6" s="1"/>
  <c r="Q137" i="4"/>
  <c r="R144" i="6" s="1"/>
  <c r="Q324" i="4"/>
  <c r="R331" i="6" s="1"/>
  <c r="Q53" i="4"/>
  <c r="R60" i="6" s="1"/>
  <c r="Q205" i="4"/>
  <c r="R212" i="6" s="1"/>
  <c r="Q87" i="4"/>
  <c r="R94" i="6" s="1"/>
  <c r="Q143" i="4"/>
  <c r="R150" i="6" s="1"/>
  <c r="Q129" i="4"/>
  <c r="R136" i="6" s="1"/>
  <c r="Q222" i="4"/>
  <c r="R229" i="6" s="1"/>
  <c r="Q257" i="4"/>
  <c r="R264" i="6" s="1"/>
  <c r="Q266" i="4"/>
  <c r="R273" i="6" s="1"/>
  <c r="Q334" i="4"/>
  <c r="R341" i="6" s="1"/>
  <c r="Q270" i="4"/>
  <c r="R277" i="6" s="1"/>
  <c r="Q209" i="4"/>
  <c r="R216" i="6" s="1"/>
  <c r="Q80" i="4"/>
  <c r="R87" i="6" s="1"/>
  <c r="Q211" i="4"/>
  <c r="R218" i="6" s="1"/>
  <c r="Q359" i="4"/>
  <c r="R366" i="6" s="1"/>
  <c r="Q264" i="4"/>
  <c r="R271" i="6" s="1"/>
  <c r="Q244" i="4"/>
  <c r="R251" i="6" s="1"/>
  <c r="Q295" i="4"/>
  <c r="R302" i="6" s="1"/>
  <c r="Q48" i="4"/>
  <c r="R55" i="6" s="1"/>
  <c r="Q167" i="4"/>
  <c r="R174" i="6" s="1"/>
  <c r="Q187" i="4"/>
  <c r="R194" i="6" s="1"/>
  <c r="Q242" i="4"/>
  <c r="R249" i="6" s="1"/>
  <c r="Q42" i="4"/>
  <c r="R49" i="6" s="1"/>
  <c r="Q349" i="4"/>
  <c r="R356" i="6" s="1"/>
  <c r="Q179" i="4"/>
  <c r="R186" i="6" s="1"/>
  <c r="Q105" i="4"/>
  <c r="R112" i="6" s="1"/>
  <c r="Q314" i="4"/>
  <c r="R321" i="6" s="1"/>
  <c r="Q95" i="4"/>
  <c r="R102" i="6" s="1"/>
  <c r="Q136" i="4"/>
  <c r="R143" i="6" s="1"/>
  <c r="Q132" i="4"/>
  <c r="R139" i="6" s="1"/>
  <c r="Q281" i="4"/>
  <c r="R288" i="6" s="1"/>
  <c r="Q216" i="4"/>
  <c r="R223" i="6" s="1"/>
  <c r="Q271" i="4"/>
  <c r="R278" i="6" s="1"/>
  <c r="Q335" i="4"/>
  <c r="R342" i="6" s="1"/>
  <c r="Q283" i="4"/>
  <c r="R290" i="6" s="1"/>
  <c r="Q293" i="4"/>
  <c r="R300" i="6" s="1"/>
  <c r="Q204" i="4"/>
  <c r="R211" i="6" s="1"/>
  <c r="Q92" i="4"/>
  <c r="R99" i="6" s="1"/>
  <c r="Q262" i="4"/>
  <c r="R269" i="6" s="1"/>
  <c r="Q248" i="4"/>
  <c r="R255" i="6" s="1"/>
  <c r="Q195" i="4"/>
  <c r="R202" i="6" s="1"/>
  <c r="Q228" i="4"/>
  <c r="R235" i="6" s="1"/>
  <c r="Q346" i="4"/>
  <c r="R353" i="6" s="1"/>
  <c r="Q94" i="4"/>
  <c r="R101" i="6" s="1"/>
  <c r="Q243" i="4"/>
  <c r="R250" i="6" s="1"/>
  <c r="Q235" i="4"/>
  <c r="R242" i="6" s="1"/>
  <c r="Q73" i="4"/>
  <c r="R80" i="6" s="1"/>
  <c r="Q282" i="4"/>
  <c r="R289" i="6" s="1"/>
  <c r="Q237" i="4"/>
  <c r="R244" i="6" s="1"/>
  <c r="Q119" i="4"/>
  <c r="R126" i="6" s="1"/>
  <c r="Q62" i="4"/>
  <c r="R69" i="6" s="1"/>
  <c r="Q112" i="4"/>
  <c r="R119" i="6" s="1"/>
  <c r="Q300" i="4"/>
  <c r="R307" i="6" s="1"/>
  <c r="Q84" i="4"/>
  <c r="R91" i="6" s="1"/>
  <c r="Q331" i="4"/>
  <c r="R338" i="6" s="1"/>
  <c r="Q173" i="4"/>
  <c r="R180" i="6" s="1"/>
  <c r="Q170" i="4"/>
  <c r="R177" i="6" s="1"/>
  <c r="Q291" i="4"/>
  <c r="R298" i="6" s="1"/>
  <c r="Q236" i="4"/>
  <c r="R243" i="6" s="1"/>
  <c r="Q268" i="4"/>
  <c r="R275" i="6" s="1"/>
  <c r="Q83" i="4"/>
  <c r="R90" i="6" s="1"/>
  <c r="Q213" i="4"/>
  <c r="R220" i="6" s="1"/>
  <c r="Q61" i="4"/>
  <c r="R68" i="6" s="1"/>
  <c r="Q288" i="4"/>
  <c r="R295" i="6" s="1"/>
  <c r="Q203" i="4"/>
  <c r="R210" i="6" s="1"/>
  <c r="Q56" i="4"/>
  <c r="R63" i="6" s="1"/>
  <c r="Q131" i="4"/>
  <c r="R138" i="6" s="1"/>
  <c r="Q368" i="4"/>
  <c r="R375" i="6" s="1"/>
  <c r="Q275" i="4"/>
  <c r="R282" i="6" s="1"/>
  <c r="Q178" i="4"/>
  <c r="R185" i="6" s="1"/>
  <c r="Q135" i="4"/>
  <c r="R142" i="6" s="1"/>
  <c r="Q234" i="4"/>
  <c r="R241" i="6" s="1"/>
  <c r="Q328" i="4"/>
  <c r="R335" i="6" s="1"/>
  <c r="Q79" i="4"/>
  <c r="R86" i="6" s="1"/>
  <c r="Q121" i="4"/>
  <c r="R128" i="6" s="1"/>
  <c r="Q93" i="4"/>
  <c r="R100" i="6" s="1"/>
  <c r="Q71" i="4"/>
  <c r="R78" i="6" s="1"/>
  <c r="Q370" i="4"/>
  <c r="R377" i="6" s="1"/>
  <c r="Q77" i="4"/>
  <c r="R84" i="6" s="1"/>
  <c r="Q212" i="4"/>
  <c r="R219" i="6" s="1"/>
  <c r="Q104" i="4"/>
  <c r="R111" i="6" s="1"/>
  <c r="Q100" i="4"/>
  <c r="R107" i="6" s="1"/>
  <c r="Q75" i="4"/>
  <c r="R82" i="6" s="1"/>
  <c r="Q59" i="4"/>
  <c r="R66" i="6" s="1"/>
  <c r="Q353" i="4"/>
  <c r="R360" i="6" s="1"/>
  <c r="Q154" i="4"/>
  <c r="R161" i="6" s="1"/>
  <c r="Q159" i="4"/>
  <c r="R166" i="6" s="1"/>
  <c r="Q371" i="4"/>
  <c r="R378" i="6" s="1"/>
  <c r="Q332" i="4"/>
  <c r="R339" i="6" s="1"/>
  <c r="Q220" i="4"/>
  <c r="R227" i="6" s="1"/>
  <c r="Q208" i="4"/>
  <c r="R215" i="6" s="1"/>
  <c r="Q139" i="4"/>
  <c r="R146" i="6" s="1"/>
  <c r="Q72" i="4"/>
  <c r="R79" i="6" s="1"/>
  <c r="Q355" i="4"/>
  <c r="R362" i="6" s="1"/>
  <c r="Q175" i="4"/>
  <c r="R182" i="6" s="1"/>
  <c r="Q158" i="4"/>
  <c r="R165" i="6" s="1"/>
  <c r="Q367" i="4"/>
  <c r="R374" i="6" s="1"/>
  <c r="Q99" i="4"/>
  <c r="R106" i="6" s="1"/>
  <c r="Q329" i="4"/>
  <c r="R336" i="6" s="1"/>
  <c r="Q318" i="4"/>
  <c r="R325" i="6" s="1"/>
  <c r="Q298" i="4"/>
  <c r="R305" i="6" s="1"/>
  <c r="Q296" i="4"/>
  <c r="R303" i="6" s="1"/>
  <c r="Q347" i="4"/>
  <c r="R354" i="6" s="1"/>
  <c r="Q297" i="4"/>
  <c r="R304" i="6" s="1"/>
  <c r="Q360" i="4"/>
  <c r="R367" i="6" s="1"/>
  <c r="Q375" i="4"/>
  <c r="R382" i="6" s="1"/>
  <c r="Q273" i="4"/>
  <c r="R280" i="6" s="1"/>
  <c r="Q50" i="4"/>
  <c r="R57" i="6" s="1"/>
  <c r="Q97" i="4"/>
  <c r="R104" i="6" s="1"/>
  <c r="Q351" i="4"/>
  <c r="R358" i="6" s="1"/>
  <c r="Q327" i="4"/>
  <c r="R334" i="6" s="1"/>
  <c r="Q123" i="4"/>
  <c r="R130" i="6" s="1"/>
  <c r="Q90" i="4"/>
  <c r="R97" i="6" s="1"/>
  <c r="Q117" i="4"/>
  <c r="R124" i="6" s="1"/>
  <c r="Q200" i="4"/>
  <c r="R207" i="6" s="1"/>
  <c r="Q96" i="4"/>
  <c r="R103" i="6" s="1"/>
  <c r="Q341" i="4"/>
  <c r="R348" i="6" s="1"/>
  <c r="Q225" i="4"/>
  <c r="R232" i="6" s="1"/>
  <c r="Q337" i="4"/>
  <c r="R344" i="6" s="1"/>
  <c r="Q63" i="4"/>
  <c r="R70" i="6" s="1"/>
  <c r="Q199" i="4"/>
  <c r="R206" i="6" s="1"/>
  <c r="Q191" i="4"/>
  <c r="R198" i="6" s="1"/>
  <c r="Q284" i="4"/>
  <c r="R291" i="6" s="1"/>
  <c r="Q76" i="4"/>
  <c r="R83" i="6" s="1"/>
  <c r="Q245" i="4"/>
  <c r="R252" i="6" s="1"/>
  <c r="Q148" i="4"/>
  <c r="R155" i="6" s="1"/>
  <c r="Q168" i="4"/>
  <c r="R175" i="6" s="1"/>
  <c r="Q302" i="4"/>
  <c r="R309" i="6" s="1"/>
  <c r="Q69" i="4"/>
  <c r="R76" i="6" s="1"/>
  <c r="Q78" i="4"/>
  <c r="R85" i="6" s="1"/>
  <c r="Q180" i="4"/>
  <c r="R187" i="6" s="1"/>
  <c r="Q313" i="4"/>
  <c r="R320" i="6" s="1"/>
  <c r="Q252" i="4"/>
  <c r="R259" i="6" s="1"/>
  <c r="Q323" i="4"/>
  <c r="R330" i="6" s="1"/>
  <c r="Q67" i="4"/>
  <c r="R74" i="6" s="1"/>
  <c r="Q116" i="4"/>
  <c r="R123" i="6" s="1"/>
  <c r="Q130" i="4"/>
  <c r="R137" i="6" s="1"/>
  <c r="Q65" i="4"/>
  <c r="R72" i="6" s="1"/>
  <c r="Q103" i="4"/>
  <c r="R110" i="6" s="1"/>
  <c r="Q224" i="4"/>
  <c r="R231" i="6" s="1"/>
  <c r="Q361" i="4"/>
  <c r="R368" i="6" s="1"/>
  <c r="Q197" i="4"/>
  <c r="R204" i="6" s="1"/>
  <c r="Q108" i="4"/>
  <c r="R115" i="6" s="1"/>
  <c r="Q239" i="4"/>
  <c r="R246" i="6" s="1"/>
  <c r="Q278" i="4"/>
  <c r="R285" i="6" s="1"/>
  <c r="Q307" i="4"/>
  <c r="R314" i="6" s="1"/>
  <c r="Q316" i="4"/>
  <c r="R323" i="6" s="1"/>
  <c r="Q74" i="4"/>
  <c r="R81" i="6" s="1"/>
  <c r="Q339" i="4"/>
  <c r="R346" i="6" s="1"/>
  <c r="Q292" i="4"/>
  <c r="R299" i="6" s="1"/>
  <c r="Q192" i="4"/>
  <c r="R199" i="6" s="1"/>
  <c r="Q144" i="4"/>
  <c r="R151" i="6" s="1"/>
  <c r="Q13" i="4"/>
  <c r="Q88" i="4"/>
  <c r="R95" i="6" s="1"/>
  <c r="Q193" i="4"/>
  <c r="R200" i="6" s="1"/>
  <c r="Q230" i="4"/>
  <c r="R237" i="6" s="1"/>
  <c r="Q176" i="4"/>
  <c r="R183" i="6" s="1"/>
  <c r="Q43" i="4"/>
  <c r="R50" i="6" s="1"/>
  <c r="Q64" i="4"/>
  <c r="R71" i="6" s="1"/>
  <c r="Q354" i="4"/>
  <c r="R361" i="6" s="1"/>
  <c r="Q157" i="4"/>
  <c r="R164" i="6" s="1"/>
  <c r="Q58" i="4"/>
  <c r="R65" i="6" s="1"/>
  <c r="Q277" i="4"/>
  <c r="R284" i="6" s="1"/>
  <c r="Q246" i="4"/>
  <c r="R253" i="6" s="1"/>
  <c r="Q66" i="4"/>
  <c r="R73" i="6" s="1"/>
  <c r="Q138" i="4"/>
  <c r="R145" i="6" s="1"/>
  <c r="Q229" i="4"/>
  <c r="R236" i="6" s="1"/>
  <c r="Q147" i="4"/>
  <c r="R154" i="6" s="1"/>
  <c r="Q261" i="4"/>
  <c r="R268" i="6" s="1"/>
  <c r="Q373" i="4"/>
  <c r="R380" i="6" s="1"/>
  <c r="Q118" i="4"/>
  <c r="R125" i="6" s="1"/>
  <c r="Q174" i="4"/>
  <c r="R181" i="6" s="1"/>
  <c r="Q226" i="4"/>
  <c r="R233" i="6" s="1"/>
  <c r="Q70" i="4"/>
  <c r="Q128" i="4"/>
  <c r="R135" i="6" s="1"/>
  <c r="Q153" i="4"/>
  <c r="R160" i="6" s="1"/>
  <c r="Q52" i="4"/>
  <c r="R59" i="6" s="1"/>
  <c r="Q155" i="4"/>
  <c r="R162" i="6" s="1"/>
  <c r="Q253" i="4"/>
  <c r="R260" i="6" s="1"/>
  <c r="Q49" i="4"/>
  <c r="R56" i="6" s="1"/>
  <c r="Q374" i="4"/>
  <c r="R381" i="6" s="1"/>
  <c r="Q194" i="4"/>
  <c r="R201" i="6" s="1"/>
  <c r="Q51" i="4"/>
  <c r="R58" i="6" s="1"/>
  <c r="Q45" i="4"/>
  <c r="R52" i="6" s="1"/>
  <c r="Q326" i="4"/>
  <c r="R333" i="6" s="1"/>
  <c r="Q247" i="4"/>
  <c r="R254" i="6" s="1"/>
  <c r="Q340" i="4"/>
  <c r="R347" i="6" s="1"/>
  <c r="Q172" i="4"/>
  <c r="R179" i="6" s="1"/>
  <c r="Q265" i="4"/>
  <c r="R272" i="6" s="1"/>
  <c r="Q343" i="4"/>
  <c r="R350" i="6" s="1"/>
  <c r="Q177" i="4"/>
  <c r="R184" i="6" s="1"/>
  <c r="Q287" i="4"/>
  <c r="R294" i="6" s="1"/>
  <c r="Q363" i="4"/>
  <c r="R370" i="6" s="1"/>
  <c r="Q182" i="4"/>
  <c r="R189" i="6" s="1"/>
  <c r="Q161" i="4"/>
  <c r="R168" i="6" s="1"/>
  <c r="Q89" i="4"/>
  <c r="R96" i="6" s="1"/>
  <c r="Q165" i="4"/>
  <c r="R172" i="6" s="1"/>
  <c r="X57" i="2"/>
  <c r="Y57" i="2" s="1"/>
  <c r="L83" i="2"/>
  <c r="L84" i="2" s="1"/>
  <c r="L85" i="2" s="1"/>
  <c r="L86" i="2" s="1"/>
  <c r="L87" i="2" s="1"/>
  <c r="L88" i="2" s="1"/>
  <c r="L89" i="2" s="1"/>
  <c r="L90" i="2" s="1"/>
  <c r="L91" i="2" s="1"/>
  <c r="L92" i="2" s="1"/>
  <c r="L93" i="2" s="1"/>
  <c r="L94" i="2" s="1"/>
  <c r="L95" i="2" s="1"/>
  <c r="L96" i="2" s="1"/>
  <c r="L97" i="2" s="1"/>
  <c r="L98" i="2" s="1"/>
  <c r="L99" i="2" s="1"/>
  <c r="L100" i="2" s="1"/>
  <c r="L101" i="2" s="1"/>
  <c r="L102" i="2" s="1"/>
  <c r="L103" i="2" s="1"/>
  <c r="L104" i="2" s="1"/>
  <c r="L105" i="2" s="1"/>
  <c r="L106" i="2" s="1"/>
  <c r="L107" i="2" s="1"/>
  <c r="L108" i="2" s="1"/>
  <c r="L109" i="2" s="1"/>
  <c r="L110" i="2" s="1"/>
  <c r="L111" i="2" s="1"/>
  <c r="L112" i="2" s="1"/>
  <c r="L113" i="2" s="1"/>
  <c r="L114" i="2" s="1"/>
  <c r="L115" i="2" s="1"/>
  <c r="L116" i="2" s="1"/>
  <c r="L117" i="2" s="1"/>
  <c r="L118" i="2" s="1"/>
  <c r="L119" i="2" s="1"/>
  <c r="L120" i="2" s="1"/>
  <c r="L121" i="2" s="1"/>
  <c r="L122" i="2" s="1"/>
  <c r="L123" i="2" s="1"/>
  <c r="L124" i="2" s="1"/>
  <c r="L125" i="2" s="1"/>
  <c r="L126" i="2" s="1"/>
  <c r="L127" i="2" s="1"/>
  <c r="L128" i="2" s="1"/>
  <c r="L129" i="2" s="1"/>
  <c r="L130" i="2" s="1"/>
  <c r="L131" i="2" s="1"/>
  <c r="L132" i="2" s="1"/>
  <c r="L133" i="2" s="1"/>
  <c r="L134" i="2" s="1"/>
  <c r="L135" i="2" s="1"/>
  <c r="L136" i="2" s="1"/>
  <c r="L137" i="2" s="1"/>
  <c r="L138" i="2" s="1"/>
  <c r="L139" i="2" s="1"/>
  <c r="L140" i="2" s="1"/>
  <c r="L141" i="2" s="1"/>
  <c r="L142" i="2" s="1"/>
  <c r="L143" i="2" s="1"/>
  <c r="L144" i="2" s="1"/>
  <c r="L145" i="2" s="1"/>
  <c r="L146" i="2" s="1"/>
  <c r="L147" i="2" s="1"/>
  <c r="L148" i="2" s="1"/>
  <c r="L149" i="2" s="1"/>
  <c r="L150" i="2" s="1"/>
  <c r="L151" i="2" s="1"/>
  <c r="L152" i="2" s="1"/>
  <c r="L153" i="2" s="1"/>
  <c r="L154" i="2" s="1"/>
  <c r="L155" i="2" s="1"/>
  <c r="L156" i="2" s="1"/>
  <c r="L157" i="2" s="1"/>
  <c r="L158" i="2" s="1"/>
  <c r="L159" i="2" s="1"/>
  <c r="L160" i="2" s="1"/>
  <c r="L161" i="2" s="1"/>
  <c r="L162" i="2" s="1"/>
  <c r="L163" i="2" s="1"/>
  <c r="L164" i="2" s="1"/>
  <c r="L165" i="2" s="1"/>
  <c r="L166" i="2" s="1"/>
  <c r="L167" i="2" s="1"/>
  <c r="L168" i="2" s="1"/>
  <c r="L169" i="2" s="1"/>
  <c r="L170" i="2" s="1"/>
  <c r="L171" i="2" s="1"/>
  <c r="L172" i="2" s="1"/>
  <c r="L173" i="2" s="1"/>
  <c r="L174" i="2" s="1"/>
  <c r="L175" i="2" s="1"/>
  <c r="L176" i="2" s="1"/>
  <c r="L177" i="2" s="1"/>
  <c r="L178" i="2" s="1"/>
  <c r="L179" i="2" s="1"/>
  <c r="L180" i="2" s="1"/>
  <c r="L181" i="2" s="1"/>
  <c r="L182" i="2" s="1"/>
  <c r="L183" i="2" s="1"/>
  <c r="L184" i="2" s="1"/>
  <c r="L185" i="2" s="1"/>
  <c r="L186" i="2" s="1"/>
  <c r="L187" i="2" s="1"/>
  <c r="L188" i="2" s="1"/>
  <c r="L189" i="2" s="1"/>
  <c r="L190" i="2" s="1"/>
  <c r="L191" i="2" s="1"/>
  <c r="L192" i="2" s="1"/>
  <c r="L193" i="2" s="1"/>
  <c r="L194" i="2" s="1"/>
  <c r="L195" i="2" s="1"/>
  <c r="L196" i="2" s="1"/>
  <c r="L197" i="2" s="1"/>
  <c r="L198" i="2" s="1"/>
  <c r="L199" i="2" s="1"/>
  <c r="L200" i="2" s="1"/>
  <c r="L201" i="2" s="1"/>
  <c r="L202" i="2" s="1"/>
  <c r="L203" i="2" s="1"/>
  <c r="L204" i="2" s="1"/>
  <c r="L205" i="2" s="1"/>
  <c r="L206" i="2" s="1"/>
  <c r="L207" i="2" s="1"/>
  <c r="L208" i="2" s="1"/>
  <c r="L209" i="2" s="1"/>
  <c r="L210" i="2" s="1"/>
  <c r="L211" i="2" s="1"/>
  <c r="L212" i="2" s="1"/>
  <c r="L213" i="2" s="1"/>
  <c r="L214" i="2" s="1"/>
  <c r="L215" i="2" s="1"/>
  <c r="L216" i="2" s="1"/>
  <c r="L217" i="2" s="1"/>
  <c r="L218" i="2" s="1"/>
  <c r="L219" i="2" s="1"/>
  <c r="L220" i="2" s="1"/>
  <c r="L221" i="2" s="1"/>
  <c r="L222" i="2" s="1"/>
  <c r="L223" i="2" s="1"/>
  <c r="L224" i="2" s="1"/>
  <c r="L225" i="2" s="1"/>
  <c r="L226" i="2" s="1"/>
  <c r="L227" i="2" s="1"/>
  <c r="L228" i="2" s="1"/>
  <c r="L229" i="2" s="1"/>
  <c r="L230" i="2" s="1"/>
  <c r="L231" i="2" s="1"/>
  <c r="L232" i="2" s="1"/>
  <c r="L233" i="2" s="1"/>
  <c r="L234" i="2" s="1"/>
  <c r="L235" i="2" s="1"/>
  <c r="L236" i="2" s="1"/>
  <c r="L237" i="2" s="1"/>
  <c r="L238" i="2" s="1"/>
  <c r="L239" i="2" s="1"/>
  <c r="L240" i="2" s="1"/>
  <c r="L241" i="2" s="1"/>
  <c r="L242" i="2" s="1"/>
  <c r="L243" i="2" s="1"/>
  <c r="L244" i="2" s="1"/>
  <c r="L245" i="2" s="1"/>
  <c r="L246" i="2" s="1"/>
  <c r="L247" i="2" s="1"/>
  <c r="L248" i="2" s="1"/>
  <c r="L249" i="2" s="1"/>
  <c r="L250" i="2" s="1"/>
  <c r="L251" i="2" s="1"/>
  <c r="L252" i="2" s="1"/>
  <c r="L253" i="2" s="1"/>
  <c r="L254" i="2" s="1"/>
  <c r="L255" i="2" s="1"/>
  <c r="L256" i="2" s="1"/>
  <c r="L257" i="2" s="1"/>
  <c r="L258" i="2" s="1"/>
  <c r="L259" i="2" s="1"/>
  <c r="L260" i="2" s="1"/>
  <c r="L261" i="2" s="1"/>
  <c r="L262" i="2" s="1"/>
  <c r="L263" i="2" s="1"/>
  <c r="L264" i="2" s="1"/>
  <c r="L265" i="2" s="1"/>
  <c r="L266" i="2" s="1"/>
  <c r="L267" i="2" s="1"/>
  <c r="L268" i="2" s="1"/>
  <c r="L269" i="2" s="1"/>
  <c r="L270" i="2" s="1"/>
  <c r="L271" i="2" s="1"/>
  <c r="L272" i="2" s="1"/>
  <c r="F267" i="6" s="1"/>
  <c r="J267" i="6" s="1"/>
  <c r="Q267" i="6" s="1"/>
  <c r="F77" i="6"/>
  <c r="V30" i="5"/>
  <c r="U31" i="5"/>
  <c r="E15" i="4"/>
  <c r="F21" i="6"/>
  <c r="J21" i="6" s="1"/>
  <c r="L237" i="6"/>
  <c r="L236" i="6"/>
  <c r="L235" i="6"/>
  <c r="L234" i="6"/>
  <c r="L233" i="6"/>
  <c r="L232" i="6"/>
  <c r="L231" i="6"/>
  <c r="L230" i="6"/>
  <c r="L229" i="6"/>
  <c r="L228" i="6"/>
  <c r="L227" i="6"/>
  <c r="L226" i="6"/>
  <c r="L225" i="6"/>
  <c r="L224" i="6"/>
  <c r="L223" i="6"/>
  <c r="L222" i="6"/>
  <c r="L221" i="6"/>
  <c r="L220" i="6"/>
  <c r="L219" i="6"/>
  <c r="L218" i="6"/>
  <c r="L217" i="6"/>
  <c r="L216" i="6"/>
  <c r="L215" i="6"/>
  <c r="L214" i="6"/>
  <c r="L213" i="6"/>
  <c r="L212" i="6"/>
  <c r="L211" i="6"/>
  <c r="L210" i="6"/>
  <c r="L209" i="6"/>
  <c r="D25" i="16"/>
  <c r="G24" i="16"/>
  <c r="E24" i="16"/>
  <c r="H23" i="16"/>
  <c r="I23" i="16" s="1"/>
  <c r="C24" i="16"/>
  <c r="F24" i="16" s="1"/>
  <c r="AK58" i="2"/>
  <c r="AL57" i="2"/>
  <c r="D24" i="8"/>
  <c r="N22" i="8"/>
  <c r="G22" i="8"/>
  <c r="D25" i="5"/>
  <c r="E25" i="5" s="1"/>
  <c r="AW55" i="2"/>
  <c r="AX55" i="2" s="1"/>
  <c r="K23" i="14" l="1"/>
  <c r="J24" i="14"/>
  <c r="I24" i="14"/>
  <c r="J25" i="14" s="1"/>
  <c r="R20" i="6"/>
  <c r="Q5" i="4"/>
  <c r="D5" i="15" s="1"/>
  <c r="T11" i="4"/>
  <c r="U11" i="4" s="1"/>
  <c r="D10" i="15"/>
  <c r="E10" i="15" s="1"/>
  <c r="F10" i="15" s="1"/>
  <c r="G10" i="15" s="1"/>
  <c r="L24" i="8"/>
  <c r="E24" i="8"/>
  <c r="H25" i="5"/>
  <c r="Y30" i="5"/>
  <c r="X30" i="5"/>
  <c r="T12" i="4"/>
  <c r="U12" i="4" s="1"/>
  <c r="R18" i="6"/>
  <c r="R11" i="4"/>
  <c r="S11" i="4" s="1"/>
  <c r="T18" i="6" s="1"/>
  <c r="T13" i="4"/>
  <c r="X12" i="4"/>
  <c r="X13" i="4" s="1"/>
  <c r="Y12" i="4"/>
  <c r="Z19" i="6" s="1"/>
  <c r="Y19" i="6"/>
  <c r="X58" i="2"/>
  <c r="Y58" i="2" s="1"/>
  <c r="R77" i="6"/>
  <c r="B58" i="10"/>
  <c r="D58" i="10" s="1"/>
  <c r="R19" i="6"/>
  <c r="E245" i="4"/>
  <c r="E235" i="4"/>
  <c r="E255" i="4"/>
  <c r="E254" i="4"/>
  <c r="E244" i="4"/>
  <c r="E234" i="4"/>
  <c r="E253" i="4"/>
  <c r="E243" i="4"/>
  <c r="E233" i="4"/>
  <c r="E252" i="4"/>
  <c r="E242" i="4"/>
  <c r="E232" i="4"/>
  <c r="E258" i="4"/>
  <c r="E248" i="4"/>
  <c r="E238" i="4"/>
  <c r="E257" i="4"/>
  <c r="L273" i="2"/>
  <c r="E260" i="4"/>
  <c r="E251" i="4"/>
  <c r="E241" i="4"/>
  <c r="E231" i="4"/>
  <c r="E250" i="4"/>
  <c r="E240" i="4"/>
  <c r="E259" i="4"/>
  <c r="E249" i="4"/>
  <c r="E239" i="4"/>
  <c r="E247" i="4"/>
  <c r="E237" i="4"/>
  <c r="E256" i="4"/>
  <c r="E246" i="4"/>
  <c r="E236" i="4"/>
  <c r="V31" i="5"/>
  <c r="U32" i="5"/>
  <c r="E16" i="4"/>
  <c r="F22" i="6"/>
  <c r="J22" i="6" s="1"/>
  <c r="E230" i="4"/>
  <c r="F266" i="6"/>
  <c r="J266" i="6" s="1"/>
  <c r="Q266" i="6" s="1"/>
  <c r="E229" i="4"/>
  <c r="F265" i="6"/>
  <c r="J265" i="6" s="1"/>
  <c r="Q265" i="6" s="1"/>
  <c r="E228" i="4"/>
  <c r="F264" i="6"/>
  <c r="J264" i="6" s="1"/>
  <c r="Q264" i="6" s="1"/>
  <c r="E227" i="4"/>
  <c r="F263" i="6"/>
  <c r="J263" i="6" s="1"/>
  <c r="Q263" i="6" s="1"/>
  <c r="E226" i="4"/>
  <c r="F262" i="6"/>
  <c r="J262" i="6" s="1"/>
  <c r="Q262" i="6" s="1"/>
  <c r="E225" i="4"/>
  <c r="F261" i="6"/>
  <c r="J261" i="6" s="1"/>
  <c r="Q261" i="6" s="1"/>
  <c r="E224" i="4"/>
  <c r="F260" i="6"/>
  <c r="J260" i="6" s="1"/>
  <c r="Q260" i="6" s="1"/>
  <c r="E223" i="4"/>
  <c r="F259" i="6"/>
  <c r="J259" i="6" s="1"/>
  <c r="Q259" i="6" s="1"/>
  <c r="E222" i="4"/>
  <c r="F258" i="6"/>
  <c r="J258" i="6" s="1"/>
  <c r="Q258" i="6" s="1"/>
  <c r="E221" i="4"/>
  <c r="F257" i="6"/>
  <c r="J257" i="6" s="1"/>
  <c r="Q257" i="6" s="1"/>
  <c r="E220" i="4"/>
  <c r="F256" i="6"/>
  <c r="J256" i="6" s="1"/>
  <c r="Q256" i="6" s="1"/>
  <c r="E219" i="4"/>
  <c r="F255" i="6"/>
  <c r="J255" i="6" s="1"/>
  <c r="Q255" i="6" s="1"/>
  <c r="E218" i="4"/>
  <c r="F254" i="6"/>
  <c r="J254" i="6" s="1"/>
  <c r="Q254" i="6" s="1"/>
  <c r="E217" i="4"/>
  <c r="F253" i="6"/>
  <c r="J253" i="6" s="1"/>
  <c r="Q253" i="6" s="1"/>
  <c r="E216" i="4"/>
  <c r="F252" i="6"/>
  <c r="J252" i="6" s="1"/>
  <c r="Q252" i="6" s="1"/>
  <c r="E215" i="4"/>
  <c r="F251" i="6"/>
  <c r="J251" i="6" s="1"/>
  <c r="Q251" i="6" s="1"/>
  <c r="E214" i="4"/>
  <c r="F250" i="6"/>
  <c r="J250" i="6" s="1"/>
  <c r="Q250" i="6" s="1"/>
  <c r="E213" i="4"/>
  <c r="F249" i="6"/>
  <c r="J249" i="6" s="1"/>
  <c r="Q249" i="6" s="1"/>
  <c r="E212" i="4"/>
  <c r="F248" i="6"/>
  <c r="J248" i="6" s="1"/>
  <c r="Q248" i="6" s="1"/>
  <c r="E211" i="4"/>
  <c r="F247" i="6"/>
  <c r="J247" i="6" s="1"/>
  <c r="Q247" i="6" s="1"/>
  <c r="E210" i="4"/>
  <c r="F246" i="6"/>
  <c r="J246" i="6" s="1"/>
  <c r="Q246" i="6" s="1"/>
  <c r="E209" i="4"/>
  <c r="F245" i="6"/>
  <c r="J245" i="6" s="1"/>
  <c r="Q245" i="6" s="1"/>
  <c r="E208" i="4"/>
  <c r="F244" i="6"/>
  <c r="J244" i="6" s="1"/>
  <c r="Q244" i="6" s="1"/>
  <c r="E207" i="4"/>
  <c r="F243" i="6"/>
  <c r="J243" i="6" s="1"/>
  <c r="Q243" i="6" s="1"/>
  <c r="E206" i="4"/>
  <c r="F242" i="6"/>
  <c r="J242" i="6" s="1"/>
  <c r="Q242" i="6" s="1"/>
  <c r="E205" i="4"/>
  <c r="F241" i="6"/>
  <c r="J241" i="6" s="1"/>
  <c r="Q241" i="6" s="1"/>
  <c r="E204" i="4"/>
  <c r="F240" i="6"/>
  <c r="J240" i="6" s="1"/>
  <c r="Q240" i="6" s="1"/>
  <c r="E203" i="4"/>
  <c r="F239" i="6"/>
  <c r="J239" i="6" s="1"/>
  <c r="Q239" i="6" s="1"/>
  <c r="E202" i="4"/>
  <c r="F238" i="6"/>
  <c r="J238" i="6" s="1"/>
  <c r="Q238" i="6" s="1"/>
  <c r="L180" i="6"/>
  <c r="L181" i="6"/>
  <c r="L182" i="6"/>
  <c r="L183" i="6"/>
  <c r="L184" i="6"/>
  <c r="L185" i="6"/>
  <c r="L186" i="6"/>
  <c r="L187" i="6"/>
  <c r="L188" i="6"/>
  <c r="L189" i="6"/>
  <c r="L190" i="6"/>
  <c r="L191" i="6"/>
  <c r="L192" i="6"/>
  <c r="L193" i="6"/>
  <c r="L194" i="6"/>
  <c r="L195" i="6"/>
  <c r="L196" i="6"/>
  <c r="L197" i="6"/>
  <c r="L198" i="6"/>
  <c r="L199" i="6"/>
  <c r="L200" i="6"/>
  <c r="L201" i="6"/>
  <c r="L202" i="6"/>
  <c r="L203" i="6"/>
  <c r="L204" i="6"/>
  <c r="L205" i="6"/>
  <c r="L206" i="6"/>
  <c r="L207" i="6"/>
  <c r="L208" i="6"/>
  <c r="E25" i="16"/>
  <c r="H24" i="16"/>
  <c r="I24" i="16" s="1"/>
  <c r="D26" i="16"/>
  <c r="G25" i="16"/>
  <c r="C25" i="16"/>
  <c r="F25" i="16" s="1"/>
  <c r="AK59" i="2"/>
  <c r="AL58" i="2"/>
  <c r="D25" i="8"/>
  <c r="N23" i="8"/>
  <c r="G23" i="8"/>
  <c r="D26" i="5"/>
  <c r="E26" i="5" s="1"/>
  <c r="AW56" i="2"/>
  <c r="AX56" i="2" s="1"/>
  <c r="X59" i="2"/>
  <c r="Y59" i="2" s="1"/>
  <c r="K25" i="14" l="1"/>
  <c r="I26" i="14"/>
  <c r="K24" i="14"/>
  <c r="I25" i="14"/>
  <c r="J26" i="14" s="1"/>
  <c r="D10" i="7"/>
  <c r="I10" i="7" s="1"/>
  <c r="K10" i="7"/>
  <c r="L25" i="8"/>
  <c r="E25" i="8"/>
  <c r="H26" i="5"/>
  <c r="Y31" i="5"/>
  <c r="X31" i="5"/>
  <c r="R12" i="4"/>
  <c r="S12" i="4" s="1"/>
  <c r="T19" i="6" s="1"/>
  <c r="S18" i="6"/>
  <c r="T14" i="4"/>
  <c r="U13" i="4"/>
  <c r="Y13" i="4"/>
  <c r="Z20" i="6" s="1"/>
  <c r="Y20" i="6"/>
  <c r="L274" i="2"/>
  <c r="E261" i="4"/>
  <c r="F268" i="6"/>
  <c r="J268" i="6" s="1"/>
  <c r="Q268" i="6" s="1"/>
  <c r="V32" i="5"/>
  <c r="U33" i="5"/>
  <c r="X14" i="4"/>
  <c r="E173" i="4"/>
  <c r="F209" i="6"/>
  <c r="J209" i="6" s="1"/>
  <c r="Q209" i="6" s="1"/>
  <c r="E174" i="4"/>
  <c r="F210" i="6"/>
  <c r="J210" i="6" s="1"/>
  <c r="Q210" i="6" s="1"/>
  <c r="E175" i="4"/>
  <c r="F211" i="6"/>
  <c r="J211" i="6" s="1"/>
  <c r="Q211" i="6" s="1"/>
  <c r="E176" i="4"/>
  <c r="F212" i="6"/>
  <c r="J212" i="6" s="1"/>
  <c r="Q212" i="6" s="1"/>
  <c r="E177" i="4"/>
  <c r="F213" i="6"/>
  <c r="J213" i="6" s="1"/>
  <c r="Q213" i="6" s="1"/>
  <c r="E178" i="4"/>
  <c r="F214" i="6"/>
  <c r="J214" i="6" s="1"/>
  <c r="Q214" i="6" s="1"/>
  <c r="E179" i="4"/>
  <c r="F215" i="6"/>
  <c r="J215" i="6" s="1"/>
  <c r="Q215" i="6" s="1"/>
  <c r="E180" i="4"/>
  <c r="F216" i="6"/>
  <c r="J216" i="6" s="1"/>
  <c r="Q216" i="6" s="1"/>
  <c r="E181" i="4"/>
  <c r="F217" i="6"/>
  <c r="J217" i="6" s="1"/>
  <c r="Q217" i="6" s="1"/>
  <c r="E182" i="4"/>
  <c r="F218" i="6"/>
  <c r="J218" i="6" s="1"/>
  <c r="Q218" i="6" s="1"/>
  <c r="E183" i="4"/>
  <c r="F219" i="6"/>
  <c r="J219" i="6" s="1"/>
  <c r="Q219" i="6" s="1"/>
  <c r="E184" i="4"/>
  <c r="F220" i="6"/>
  <c r="J220" i="6" s="1"/>
  <c r="Q220" i="6" s="1"/>
  <c r="E185" i="4"/>
  <c r="F221" i="6"/>
  <c r="J221" i="6" s="1"/>
  <c r="Q221" i="6" s="1"/>
  <c r="E186" i="4"/>
  <c r="F222" i="6"/>
  <c r="J222" i="6" s="1"/>
  <c r="Q222" i="6" s="1"/>
  <c r="E187" i="4"/>
  <c r="F223" i="6"/>
  <c r="J223" i="6" s="1"/>
  <c r="Q223" i="6" s="1"/>
  <c r="E188" i="4"/>
  <c r="F224" i="6"/>
  <c r="J224" i="6" s="1"/>
  <c r="Q224" i="6" s="1"/>
  <c r="E189" i="4"/>
  <c r="F225" i="6"/>
  <c r="J225" i="6" s="1"/>
  <c r="Q225" i="6" s="1"/>
  <c r="E190" i="4"/>
  <c r="F226" i="6"/>
  <c r="J226" i="6" s="1"/>
  <c r="Q226" i="6" s="1"/>
  <c r="E191" i="4"/>
  <c r="F227" i="6"/>
  <c r="J227" i="6" s="1"/>
  <c r="Q227" i="6" s="1"/>
  <c r="E192" i="4"/>
  <c r="F228" i="6"/>
  <c r="J228" i="6" s="1"/>
  <c r="Q228" i="6" s="1"/>
  <c r="E193" i="4"/>
  <c r="F229" i="6"/>
  <c r="J229" i="6" s="1"/>
  <c r="Q229" i="6" s="1"/>
  <c r="E194" i="4"/>
  <c r="F230" i="6"/>
  <c r="J230" i="6" s="1"/>
  <c r="Q230" i="6" s="1"/>
  <c r="E195" i="4"/>
  <c r="F231" i="6"/>
  <c r="J231" i="6" s="1"/>
  <c r="Q231" i="6" s="1"/>
  <c r="E196" i="4"/>
  <c r="F232" i="6"/>
  <c r="J232" i="6" s="1"/>
  <c r="Q232" i="6" s="1"/>
  <c r="E197" i="4"/>
  <c r="F233" i="6"/>
  <c r="J233" i="6" s="1"/>
  <c r="Q233" i="6" s="1"/>
  <c r="E198" i="4"/>
  <c r="F234" i="6"/>
  <c r="J234" i="6" s="1"/>
  <c r="Q234" i="6" s="1"/>
  <c r="E199" i="4"/>
  <c r="F235" i="6"/>
  <c r="J235" i="6" s="1"/>
  <c r="Q235" i="6" s="1"/>
  <c r="E200" i="4"/>
  <c r="F236" i="6"/>
  <c r="J236" i="6" s="1"/>
  <c r="Q236" i="6" s="1"/>
  <c r="E201" i="4"/>
  <c r="F237" i="6"/>
  <c r="J237" i="6" s="1"/>
  <c r="Q237" i="6" s="1"/>
  <c r="E17" i="4"/>
  <c r="F23" i="6"/>
  <c r="J23" i="6" s="1"/>
  <c r="L179" i="6"/>
  <c r="L178" i="6"/>
  <c r="L177" i="6"/>
  <c r="L176" i="6"/>
  <c r="L175" i="6"/>
  <c r="L174" i="6"/>
  <c r="L173" i="6"/>
  <c r="L172" i="6"/>
  <c r="L171" i="6"/>
  <c r="L170" i="6"/>
  <c r="L169" i="6"/>
  <c r="L168" i="6"/>
  <c r="L167" i="6"/>
  <c r="L166" i="6"/>
  <c r="L165" i="6"/>
  <c r="L164" i="6"/>
  <c r="L163" i="6"/>
  <c r="L162" i="6"/>
  <c r="L161" i="6"/>
  <c r="L160" i="6"/>
  <c r="L159" i="6"/>
  <c r="L158" i="6"/>
  <c r="L157" i="6"/>
  <c r="L156" i="6"/>
  <c r="L155" i="6"/>
  <c r="L154" i="6"/>
  <c r="L153" i="6"/>
  <c r="L152" i="6"/>
  <c r="L151" i="6"/>
  <c r="D27" i="16"/>
  <c r="G26" i="16"/>
  <c r="E26" i="16"/>
  <c r="H25" i="16"/>
  <c r="I25" i="16" s="1"/>
  <c r="C26" i="16"/>
  <c r="F26" i="16" s="1"/>
  <c r="AK60" i="2"/>
  <c r="AL59" i="2"/>
  <c r="D26" i="8"/>
  <c r="N24" i="8"/>
  <c r="G24" i="8"/>
  <c r="D27" i="5"/>
  <c r="E27" i="5" s="1"/>
  <c r="AW57" i="2"/>
  <c r="AX57" i="2" s="1"/>
  <c r="X60" i="2"/>
  <c r="Y60" i="2" s="1"/>
  <c r="K26" i="14" l="1"/>
  <c r="I27" i="14"/>
  <c r="J27" i="14"/>
  <c r="L26" i="8"/>
  <c r="E26" i="8"/>
  <c r="H27" i="5"/>
  <c r="V33" i="5"/>
  <c r="Y32" i="5"/>
  <c r="X32" i="5"/>
  <c r="R13" i="4"/>
  <c r="S20" i="6" s="1"/>
  <c r="S19" i="6"/>
  <c r="T15" i="4"/>
  <c r="U14" i="4"/>
  <c r="Y14" i="4"/>
  <c r="Z21" i="6" s="1"/>
  <c r="Y21" i="6"/>
  <c r="L275" i="2"/>
  <c r="E262" i="4"/>
  <c r="F269" i="6"/>
  <c r="J269" i="6" s="1"/>
  <c r="Q269" i="6" s="1"/>
  <c r="X15" i="4"/>
  <c r="E18" i="4"/>
  <c r="F24" i="6"/>
  <c r="J24" i="6" s="1"/>
  <c r="E172" i="4"/>
  <c r="F208" i="6"/>
  <c r="J208" i="6" s="1"/>
  <c r="Q208" i="6" s="1"/>
  <c r="E171" i="4"/>
  <c r="F207" i="6"/>
  <c r="J207" i="6" s="1"/>
  <c r="Q207" i="6" s="1"/>
  <c r="E170" i="4"/>
  <c r="F206" i="6"/>
  <c r="J206" i="6" s="1"/>
  <c r="Q206" i="6" s="1"/>
  <c r="E169" i="4"/>
  <c r="F205" i="6"/>
  <c r="J205" i="6" s="1"/>
  <c r="Q205" i="6" s="1"/>
  <c r="E168" i="4"/>
  <c r="F204" i="6"/>
  <c r="J204" i="6" s="1"/>
  <c r="Q204" i="6" s="1"/>
  <c r="E167" i="4"/>
  <c r="F203" i="6"/>
  <c r="J203" i="6" s="1"/>
  <c r="Q203" i="6" s="1"/>
  <c r="E166" i="4"/>
  <c r="F202" i="6"/>
  <c r="J202" i="6" s="1"/>
  <c r="Q202" i="6" s="1"/>
  <c r="E165" i="4"/>
  <c r="F201" i="6"/>
  <c r="J201" i="6" s="1"/>
  <c r="Q201" i="6" s="1"/>
  <c r="E164" i="4"/>
  <c r="F200" i="6"/>
  <c r="J200" i="6" s="1"/>
  <c r="Q200" i="6" s="1"/>
  <c r="E163" i="4"/>
  <c r="F199" i="6"/>
  <c r="J199" i="6" s="1"/>
  <c r="Q199" i="6" s="1"/>
  <c r="E162" i="4"/>
  <c r="F198" i="6"/>
  <c r="J198" i="6" s="1"/>
  <c r="Q198" i="6" s="1"/>
  <c r="E161" i="4"/>
  <c r="F197" i="6"/>
  <c r="J197" i="6" s="1"/>
  <c r="Q197" i="6" s="1"/>
  <c r="E160" i="4"/>
  <c r="F196" i="6"/>
  <c r="J196" i="6" s="1"/>
  <c r="Q196" i="6" s="1"/>
  <c r="E159" i="4"/>
  <c r="F195" i="6"/>
  <c r="J195" i="6" s="1"/>
  <c r="Q195" i="6" s="1"/>
  <c r="E158" i="4"/>
  <c r="F194" i="6"/>
  <c r="J194" i="6" s="1"/>
  <c r="Q194" i="6" s="1"/>
  <c r="E157" i="4"/>
  <c r="F193" i="6"/>
  <c r="J193" i="6" s="1"/>
  <c r="Q193" i="6" s="1"/>
  <c r="E156" i="4"/>
  <c r="F192" i="6"/>
  <c r="J192" i="6" s="1"/>
  <c r="Q192" i="6" s="1"/>
  <c r="E155" i="4"/>
  <c r="F191" i="6"/>
  <c r="J191" i="6" s="1"/>
  <c r="Q191" i="6" s="1"/>
  <c r="E154" i="4"/>
  <c r="F190" i="6"/>
  <c r="J190" i="6" s="1"/>
  <c r="Q190" i="6" s="1"/>
  <c r="E153" i="4"/>
  <c r="F189" i="6"/>
  <c r="J189" i="6" s="1"/>
  <c r="Q189" i="6" s="1"/>
  <c r="E152" i="4"/>
  <c r="F188" i="6"/>
  <c r="J188" i="6" s="1"/>
  <c r="Q188" i="6" s="1"/>
  <c r="E151" i="4"/>
  <c r="F187" i="6"/>
  <c r="J187" i="6" s="1"/>
  <c r="Q187" i="6" s="1"/>
  <c r="E150" i="4"/>
  <c r="F186" i="6"/>
  <c r="J186" i="6" s="1"/>
  <c r="Q186" i="6" s="1"/>
  <c r="E149" i="4"/>
  <c r="F185" i="6"/>
  <c r="J185" i="6" s="1"/>
  <c r="Q185" i="6" s="1"/>
  <c r="E148" i="4"/>
  <c r="F184" i="6"/>
  <c r="J184" i="6" s="1"/>
  <c r="Q184" i="6" s="1"/>
  <c r="E147" i="4"/>
  <c r="F183" i="6"/>
  <c r="J183" i="6" s="1"/>
  <c r="Q183" i="6" s="1"/>
  <c r="E146" i="4"/>
  <c r="F182" i="6"/>
  <c r="J182" i="6" s="1"/>
  <c r="Q182" i="6" s="1"/>
  <c r="E145" i="4"/>
  <c r="F181" i="6"/>
  <c r="J181" i="6" s="1"/>
  <c r="Q181" i="6" s="1"/>
  <c r="E144" i="4"/>
  <c r="F180" i="6"/>
  <c r="J180" i="6" s="1"/>
  <c r="Q180" i="6" s="1"/>
  <c r="L122" i="6"/>
  <c r="L123" i="6"/>
  <c r="L124" i="6"/>
  <c r="L125" i="6"/>
  <c r="L126" i="6"/>
  <c r="L127" i="6"/>
  <c r="L128" i="6"/>
  <c r="L129" i="6"/>
  <c r="L130" i="6"/>
  <c r="L131" i="6"/>
  <c r="L132" i="6"/>
  <c r="L133" i="6"/>
  <c r="L134" i="6"/>
  <c r="L135" i="6"/>
  <c r="L136" i="6"/>
  <c r="L137" i="6"/>
  <c r="L138" i="6"/>
  <c r="L139" i="6"/>
  <c r="L140" i="6"/>
  <c r="L141" i="6"/>
  <c r="L142" i="6"/>
  <c r="L143" i="6"/>
  <c r="L144" i="6"/>
  <c r="L145" i="6"/>
  <c r="L146" i="6"/>
  <c r="L147" i="6"/>
  <c r="L148" i="6"/>
  <c r="L149" i="6"/>
  <c r="L150" i="6"/>
  <c r="E27" i="16"/>
  <c r="H26" i="16"/>
  <c r="I26" i="16" s="1"/>
  <c r="D28" i="16"/>
  <c r="G27" i="16"/>
  <c r="C27" i="16"/>
  <c r="F27" i="16" s="1"/>
  <c r="AK61" i="2"/>
  <c r="AL60" i="2"/>
  <c r="D27" i="8"/>
  <c r="N25" i="8"/>
  <c r="G25" i="8"/>
  <c r="D28" i="5"/>
  <c r="E28" i="5" s="1"/>
  <c r="AW58" i="2"/>
  <c r="AX58" i="2" s="1"/>
  <c r="X61" i="2"/>
  <c r="Y61" i="2" s="1"/>
  <c r="K27" i="14" l="1"/>
  <c r="I28" i="14"/>
  <c r="J28" i="14"/>
  <c r="L27" i="8"/>
  <c r="E27" i="8"/>
  <c r="H28" i="5"/>
  <c r="Y33" i="5"/>
  <c r="X33" i="5"/>
  <c r="S13" i="4"/>
  <c r="T20" i="6" s="1"/>
  <c r="R14" i="4"/>
  <c r="S14" i="4" s="1"/>
  <c r="T16" i="4"/>
  <c r="U15" i="4"/>
  <c r="Y15" i="4"/>
  <c r="Z22" i="6" s="1"/>
  <c r="Y22" i="6"/>
  <c r="R15" i="4"/>
  <c r="L276" i="2"/>
  <c r="E263" i="4"/>
  <c r="F270" i="6"/>
  <c r="J270" i="6" s="1"/>
  <c r="Q270" i="6" s="1"/>
  <c r="X16" i="4"/>
  <c r="E115" i="4"/>
  <c r="F151" i="6"/>
  <c r="J151" i="6" s="1"/>
  <c r="Q151" i="6" s="1"/>
  <c r="E116" i="4"/>
  <c r="F152" i="6"/>
  <c r="J152" i="6" s="1"/>
  <c r="Q152" i="6" s="1"/>
  <c r="E117" i="4"/>
  <c r="F153" i="6"/>
  <c r="J153" i="6" s="1"/>
  <c r="Q153" i="6" s="1"/>
  <c r="E118" i="4"/>
  <c r="F154" i="6"/>
  <c r="J154" i="6" s="1"/>
  <c r="Q154" i="6" s="1"/>
  <c r="E119" i="4"/>
  <c r="F155" i="6"/>
  <c r="J155" i="6" s="1"/>
  <c r="Q155" i="6" s="1"/>
  <c r="E120" i="4"/>
  <c r="F156" i="6"/>
  <c r="J156" i="6" s="1"/>
  <c r="Q156" i="6" s="1"/>
  <c r="E121" i="4"/>
  <c r="F157" i="6"/>
  <c r="J157" i="6" s="1"/>
  <c r="Q157" i="6" s="1"/>
  <c r="E122" i="4"/>
  <c r="F158" i="6"/>
  <c r="J158" i="6" s="1"/>
  <c r="Q158" i="6" s="1"/>
  <c r="E123" i="4"/>
  <c r="F159" i="6"/>
  <c r="J159" i="6" s="1"/>
  <c r="Q159" i="6" s="1"/>
  <c r="E124" i="4"/>
  <c r="F160" i="6"/>
  <c r="J160" i="6" s="1"/>
  <c r="Q160" i="6" s="1"/>
  <c r="E125" i="4"/>
  <c r="F161" i="6"/>
  <c r="J161" i="6" s="1"/>
  <c r="Q161" i="6" s="1"/>
  <c r="E126" i="4"/>
  <c r="F162" i="6"/>
  <c r="J162" i="6" s="1"/>
  <c r="Q162" i="6" s="1"/>
  <c r="E127" i="4"/>
  <c r="F163" i="6"/>
  <c r="J163" i="6" s="1"/>
  <c r="Q163" i="6" s="1"/>
  <c r="E128" i="4"/>
  <c r="F164" i="6"/>
  <c r="J164" i="6" s="1"/>
  <c r="Q164" i="6" s="1"/>
  <c r="E129" i="4"/>
  <c r="F165" i="6"/>
  <c r="J165" i="6" s="1"/>
  <c r="Q165" i="6" s="1"/>
  <c r="E130" i="4"/>
  <c r="F166" i="6"/>
  <c r="J166" i="6" s="1"/>
  <c r="Q166" i="6" s="1"/>
  <c r="E131" i="4"/>
  <c r="F167" i="6"/>
  <c r="J167" i="6" s="1"/>
  <c r="Q167" i="6" s="1"/>
  <c r="E132" i="4"/>
  <c r="F168" i="6"/>
  <c r="J168" i="6" s="1"/>
  <c r="Q168" i="6" s="1"/>
  <c r="E133" i="4"/>
  <c r="F169" i="6"/>
  <c r="J169" i="6" s="1"/>
  <c r="Q169" i="6" s="1"/>
  <c r="E134" i="4"/>
  <c r="F170" i="6"/>
  <c r="J170" i="6" s="1"/>
  <c r="Q170" i="6" s="1"/>
  <c r="E135" i="4"/>
  <c r="F171" i="6"/>
  <c r="J171" i="6" s="1"/>
  <c r="Q171" i="6" s="1"/>
  <c r="E136" i="4"/>
  <c r="F172" i="6"/>
  <c r="J172" i="6" s="1"/>
  <c r="Q172" i="6" s="1"/>
  <c r="E137" i="4"/>
  <c r="F173" i="6"/>
  <c r="J173" i="6" s="1"/>
  <c r="Q173" i="6" s="1"/>
  <c r="E138" i="4"/>
  <c r="F174" i="6"/>
  <c r="J174" i="6" s="1"/>
  <c r="Q174" i="6" s="1"/>
  <c r="E139" i="4"/>
  <c r="F175" i="6"/>
  <c r="J175" i="6" s="1"/>
  <c r="Q175" i="6" s="1"/>
  <c r="E140" i="4"/>
  <c r="F176" i="6"/>
  <c r="J176" i="6" s="1"/>
  <c r="Q176" i="6" s="1"/>
  <c r="E141" i="4"/>
  <c r="F177" i="6"/>
  <c r="J177" i="6" s="1"/>
  <c r="Q177" i="6" s="1"/>
  <c r="E142" i="4"/>
  <c r="F178" i="6"/>
  <c r="J178" i="6" s="1"/>
  <c r="Q178" i="6" s="1"/>
  <c r="E143" i="4"/>
  <c r="F179" i="6"/>
  <c r="J179" i="6" s="1"/>
  <c r="Q179" i="6" s="1"/>
  <c r="E19" i="4"/>
  <c r="F25" i="6"/>
  <c r="J25" i="6" s="1"/>
  <c r="L121" i="6"/>
  <c r="L120" i="6"/>
  <c r="L119" i="6"/>
  <c r="L118" i="6"/>
  <c r="L117" i="6"/>
  <c r="L116" i="6"/>
  <c r="L115" i="6"/>
  <c r="L114" i="6"/>
  <c r="L113" i="6"/>
  <c r="L112" i="6"/>
  <c r="L111" i="6"/>
  <c r="L110" i="6"/>
  <c r="L109" i="6"/>
  <c r="L108" i="6"/>
  <c r="L107" i="6"/>
  <c r="L106" i="6"/>
  <c r="L105" i="6"/>
  <c r="L104" i="6"/>
  <c r="L103" i="6"/>
  <c r="L102" i="6"/>
  <c r="L101" i="6"/>
  <c r="L100" i="6"/>
  <c r="L99" i="6"/>
  <c r="L98" i="6"/>
  <c r="L97" i="6"/>
  <c r="L96" i="6"/>
  <c r="L95" i="6"/>
  <c r="L94" i="6"/>
  <c r="L93" i="6"/>
  <c r="D29" i="16"/>
  <c r="G28" i="16"/>
  <c r="E28" i="16"/>
  <c r="H27" i="16"/>
  <c r="I27" i="16" s="1"/>
  <c r="C28" i="16"/>
  <c r="F28" i="16" s="1"/>
  <c r="AK62" i="2"/>
  <c r="AL61" i="2"/>
  <c r="D28" i="8"/>
  <c r="N26" i="8"/>
  <c r="G26" i="8"/>
  <c r="D29" i="5"/>
  <c r="E29" i="5" s="1"/>
  <c r="AW59" i="2"/>
  <c r="AX59" i="2" s="1"/>
  <c r="X62" i="2"/>
  <c r="Y62" i="2" s="1"/>
  <c r="K28" i="14" l="1"/>
  <c r="I29" i="14"/>
  <c r="J29" i="14"/>
  <c r="L28" i="8"/>
  <c r="E28" i="8"/>
  <c r="H29" i="5"/>
  <c r="S21" i="6"/>
  <c r="T17" i="4"/>
  <c r="U16" i="4"/>
  <c r="T21" i="6"/>
  <c r="Y16" i="4"/>
  <c r="Z23" i="6" s="1"/>
  <c r="Y23" i="6"/>
  <c r="R16" i="4"/>
  <c r="S15" i="4"/>
  <c r="T22" i="6" s="1"/>
  <c r="S22" i="6"/>
  <c r="L277" i="2"/>
  <c r="E264" i="4"/>
  <c r="F271" i="6"/>
  <c r="J271" i="6" s="1"/>
  <c r="Q271" i="6" s="1"/>
  <c r="X17" i="4"/>
  <c r="E20" i="4"/>
  <c r="F26" i="6"/>
  <c r="J26" i="6" s="1"/>
  <c r="E114" i="4"/>
  <c r="F150" i="6"/>
  <c r="J150" i="6" s="1"/>
  <c r="Q150" i="6" s="1"/>
  <c r="E113" i="4"/>
  <c r="F149" i="6"/>
  <c r="J149" i="6" s="1"/>
  <c r="Q149" i="6" s="1"/>
  <c r="E112" i="4"/>
  <c r="F148" i="6"/>
  <c r="J148" i="6" s="1"/>
  <c r="Q148" i="6" s="1"/>
  <c r="E111" i="4"/>
  <c r="F147" i="6"/>
  <c r="J147" i="6" s="1"/>
  <c r="Q147" i="6" s="1"/>
  <c r="E110" i="4"/>
  <c r="F146" i="6"/>
  <c r="J146" i="6" s="1"/>
  <c r="Q146" i="6" s="1"/>
  <c r="E109" i="4"/>
  <c r="F145" i="6"/>
  <c r="J145" i="6" s="1"/>
  <c r="Q145" i="6" s="1"/>
  <c r="E108" i="4"/>
  <c r="F144" i="6"/>
  <c r="J144" i="6" s="1"/>
  <c r="Q144" i="6" s="1"/>
  <c r="E107" i="4"/>
  <c r="F143" i="6"/>
  <c r="J143" i="6" s="1"/>
  <c r="Q143" i="6" s="1"/>
  <c r="E106" i="4"/>
  <c r="F142" i="6"/>
  <c r="J142" i="6" s="1"/>
  <c r="Q142" i="6" s="1"/>
  <c r="E105" i="4"/>
  <c r="F141" i="6"/>
  <c r="J141" i="6" s="1"/>
  <c r="Q141" i="6" s="1"/>
  <c r="E104" i="4"/>
  <c r="F140" i="6"/>
  <c r="J140" i="6" s="1"/>
  <c r="Q140" i="6" s="1"/>
  <c r="E103" i="4"/>
  <c r="F139" i="6"/>
  <c r="J139" i="6" s="1"/>
  <c r="Q139" i="6" s="1"/>
  <c r="E102" i="4"/>
  <c r="F138" i="6"/>
  <c r="J138" i="6" s="1"/>
  <c r="Q138" i="6" s="1"/>
  <c r="E101" i="4"/>
  <c r="F137" i="6"/>
  <c r="J137" i="6" s="1"/>
  <c r="Q137" i="6" s="1"/>
  <c r="E100" i="4"/>
  <c r="F136" i="6"/>
  <c r="J136" i="6" s="1"/>
  <c r="Q136" i="6" s="1"/>
  <c r="F135" i="6"/>
  <c r="J135" i="6" s="1"/>
  <c r="Q135" i="6" s="1"/>
  <c r="E98" i="4"/>
  <c r="F134" i="6"/>
  <c r="J134" i="6" s="1"/>
  <c r="Q134" i="6" s="1"/>
  <c r="E97" i="4"/>
  <c r="F133" i="6"/>
  <c r="J133" i="6" s="1"/>
  <c r="Q133" i="6" s="1"/>
  <c r="E96" i="4"/>
  <c r="F132" i="6"/>
  <c r="J132" i="6" s="1"/>
  <c r="Q132" i="6" s="1"/>
  <c r="E95" i="4"/>
  <c r="F131" i="6"/>
  <c r="J131" i="6" s="1"/>
  <c r="Q131" i="6" s="1"/>
  <c r="E94" i="4"/>
  <c r="F130" i="6"/>
  <c r="J130" i="6" s="1"/>
  <c r="Q130" i="6" s="1"/>
  <c r="E93" i="4"/>
  <c r="F129" i="6"/>
  <c r="J129" i="6" s="1"/>
  <c r="Q129" i="6" s="1"/>
  <c r="E92" i="4"/>
  <c r="F128" i="6"/>
  <c r="J128" i="6" s="1"/>
  <c r="Q128" i="6" s="1"/>
  <c r="E91" i="4"/>
  <c r="F127" i="6"/>
  <c r="J127" i="6" s="1"/>
  <c r="Q127" i="6" s="1"/>
  <c r="E90" i="4"/>
  <c r="F126" i="6"/>
  <c r="J126" i="6" s="1"/>
  <c r="Q126" i="6" s="1"/>
  <c r="E89" i="4"/>
  <c r="F125" i="6"/>
  <c r="J125" i="6" s="1"/>
  <c r="Q125" i="6" s="1"/>
  <c r="E88" i="4"/>
  <c r="F124" i="6"/>
  <c r="J124" i="6" s="1"/>
  <c r="Q124" i="6" s="1"/>
  <c r="E87" i="4"/>
  <c r="F123" i="6"/>
  <c r="J123" i="6" s="1"/>
  <c r="Q123" i="6" s="1"/>
  <c r="E86" i="4"/>
  <c r="F122" i="6"/>
  <c r="J122" i="6" s="1"/>
  <c r="Q122" i="6" s="1"/>
  <c r="L64" i="6"/>
  <c r="L35" i="6"/>
  <c r="L65" i="6"/>
  <c r="L36" i="6"/>
  <c r="L66" i="6"/>
  <c r="L37" i="6"/>
  <c r="L67" i="6"/>
  <c r="L38" i="6"/>
  <c r="L68" i="6"/>
  <c r="L39" i="6"/>
  <c r="L69" i="6"/>
  <c r="L40" i="6"/>
  <c r="L70" i="6"/>
  <c r="L41" i="6"/>
  <c r="L71" i="6"/>
  <c r="L42" i="6"/>
  <c r="L72" i="6"/>
  <c r="L43" i="6"/>
  <c r="L73" i="6"/>
  <c r="L44" i="6"/>
  <c r="L74" i="6"/>
  <c r="L45" i="6"/>
  <c r="L75" i="6"/>
  <c r="L46" i="6"/>
  <c r="L76" i="6"/>
  <c r="L47" i="6"/>
  <c r="L77" i="6"/>
  <c r="L78" i="6"/>
  <c r="L79" i="6"/>
  <c r="L80" i="6"/>
  <c r="L81" i="6"/>
  <c r="L82" i="6"/>
  <c r="L83" i="6"/>
  <c r="L84" i="6"/>
  <c r="L85" i="6"/>
  <c r="L86" i="6"/>
  <c r="L87" i="6"/>
  <c r="L88" i="6"/>
  <c r="L89" i="6"/>
  <c r="L90" i="6"/>
  <c r="L91" i="6"/>
  <c r="L92" i="6"/>
  <c r="E29" i="16"/>
  <c r="H28" i="16"/>
  <c r="I28" i="16" s="1"/>
  <c r="D30" i="16"/>
  <c r="G29" i="16"/>
  <c r="C29" i="16"/>
  <c r="F29" i="16" s="1"/>
  <c r="AK63" i="2"/>
  <c r="AL62" i="2"/>
  <c r="D29" i="8"/>
  <c r="N27" i="8"/>
  <c r="G27" i="8"/>
  <c r="D30" i="5"/>
  <c r="E30" i="5" s="1"/>
  <c r="AW60" i="2"/>
  <c r="AX60" i="2" s="1"/>
  <c r="X63" i="2"/>
  <c r="Y63" i="2" s="1"/>
  <c r="K29" i="14" l="1"/>
  <c r="I30" i="14"/>
  <c r="J30" i="14"/>
  <c r="L29" i="8"/>
  <c r="E29" i="8"/>
  <c r="H30" i="5"/>
  <c r="T18" i="4"/>
  <c r="U17" i="4"/>
  <c r="Y17" i="4"/>
  <c r="Z24" i="6" s="1"/>
  <c r="Y24" i="6"/>
  <c r="R17" i="4"/>
  <c r="S16" i="4"/>
  <c r="T23" i="6" s="1"/>
  <c r="S23" i="6"/>
  <c r="L278" i="2"/>
  <c r="E265" i="4"/>
  <c r="F272" i="6"/>
  <c r="J272" i="6" s="1"/>
  <c r="Q272" i="6" s="1"/>
  <c r="X18" i="4"/>
  <c r="E99" i="4"/>
  <c r="F93" i="6"/>
  <c r="J93" i="6" s="1"/>
  <c r="Q93" i="6" s="1"/>
  <c r="F94" i="6"/>
  <c r="J94" i="6" s="1"/>
  <c r="Q94" i="6" s="1"/>
  <c r="F95" i="6"/>
  <c r="J95" i="6" s="1"/>
  <c r="Q95" i="6" s="1"/>
  <c r="F96" i="6"/>
  <c r="J96" i="6" s="1"/>
  <c r="Q96" i="6" s="1"/>
  <c r="F97" i="6"/>
  <c r="J97" i="6" s="1"/>
  <c r="Q97" i="6" s="1"/>
  <c r="F98" i="6"/>
  <c r="J98" i="6" s="1"/>
  <c r="Q98" i="6" s="1"/>
  <c r="F99" i="6"/>
  <c r="J99" i="6" s="1"/>
  <c r="Q99" i="6" s="1"/>
  <c r="F100" i="6"/>
  <c r="J100" i="6" s="1"/>
  <c r="Q100" i="6" s="1"/>
  <c r="F101" i="6"/>
  <c r="J101" i="6" s="1"/>
  <c r="Q101" i="6" s="1"/>
  <c r="F102" i="6"/>
  <c r="J102" i="6" s="1"/>
  <c r="Q102" i="6" s="1"/>
  <c r="F103" i="6"/>
  <c r="J103" i="6" s="1"/>
  <c r="Q103" i="6" s="1"/>
  <c r="F104" i="6"/>
  <c r="J104" i="6" s="1"/>
  <c r="Q104" i="6" s="1"/>
  <c r="F76" i="6"/>
  <c r="F105" i="6"/>
  <c r="J105" i="6" s="1"/>
  <c r="Q105" i="6" s="1"/>
  <c r="F106" i="6"/>
  <c r="J106" i="6" s="1"/>
  <c r="Q106" i="6" s="1"/>
  <c r="F107" i="6"/>
  <c r="J107" i="6" s="1"/>
  <c r="Q107" i="6" s="1"/>
  <c r="E72" i="4"/>
  <c r="F108" i="6"/>
  <c r="J108" i="6" s="1"/>
  <c r="Q108" i="6" s="1"/>
  <c r="E73" i="4"/>
  <c r="F109" i="6"/>
  <c r="J109" i="6" s="1"/>
  <c r="Q109" i="6" s="1"/>
  <c r="E74" i="4"/>
  <c r="F110" i="6"/>
  <c r="J110" i="6" s="1"/>
  <c r="Q110" i="6" s="1"/>
  <c r="E75" i="4"/>
  <c r="F111" i="6"/>
  <c r="J111" i="6" s="1"/>
  <c r="Q111" i="6" s="1"/>
  <c r="E76" i="4"/>
  <c r="F112" i="6"/>
  <c r="J112" i="6" s="1"/>
  <c r="Q112" i="6" s="1"/>
  <c r="E77" i="4"/>
  <c r="F113" i="6"/>
  <c r="J113" i="6" s="1"/>
  <c r="Q113" i="6" s="1"/>
  <c r="E78" i="4"/>
  <c r="F114" i="6"/>
  <c r="J114" i="6" s="1"/>
  <c r="Q114" i="6" s="1"/>
  <c r="E79" i="4"/>
  <c r="F115" i="6"/>
  <c r="J115" i="6" s="1"/>
  <c r="Q115" i="6" s="1"/>
  <c r="F116" i="6"/>
  <c r="J116" i="6" s="1"/>
  <c r="Q116" i="6" s="1"/>
  <c r="E81" i="4"/>
  <c r="F117" i="6"/>
  <c r="J117" i="6" s="1"/>
  <c r="Q117" i="6" s="1"/>
  <c r="E82" i="4"/>
  <c r="F118" i="6"/>
  <c r="J118" i="6" s="1"/>
  <c r="Q118" i="6" s="1"/>
  <c r="E83" i="4"/>
  <c r="F119" i="6"/>
  <c r="J119" i="6" s="1"/>
  <c r="Q119" i="6" s="1"/>
  <c r="E84" i="4"/>
  <c r="F120" i="6"/>
  <c r="J120" i="6" s="1"/>
  <c r="Q120" i="6" s="1"/>
  <c r="E85" i="4"/>
  <c r="F121" i="6"/>
  <c r="J121" i="6" s="1"/>
  <c r="Q121" i="6" s="1"/>
  <c r="E21" i="4"/>
  <c r="F27" i="6"/>
  <c r="J27" i="6" s="1"/>
  <c r="L63" i="6"/>
  <c r="L34" i="6"/>
  <c r="L62" i="6"/>
  <c r="L33" i="6"/>
  <c r="L61" i="6"/>
  <c r="L32" i="6"/>
  <c r="L60" i="6"/>
  <c r="L31" i="6"/>
  <c r="L59" i="6"/>
  <c r="L30" i="6"/>
  <c r="L58" i="6"/>
  <c r="L29" i="6"/>
  <c r="L57" i="6"/>
  <c r="L28" i="6"/>
  <c r="L56" i="6"/>
  <c r="L27" i="6"/>
  <c r="L55" i="6"/>
  <c r="L26" i="6"/>
  <c r="L54" i="6"/>
  <c r="L25" i="6"/>
  <c r="L53" i="6"/>
  <c r="L24" i="6"/>
  <c r="L52" i="6"/>
  <c r="L23" i="6"/>
  <c r="L51" i="6"/>
  <c r="L22" i="6"/>
  <c r="L50" i="6"/>
  <c r="L21" i="6"/>
  <c r="L49" i="6"/>
  <c r="L20" i="6"/>
  <c r="L48" i="6"/>
  <c r="L19" i="6"/>
  <c r="D31" i="16"/>
  <c r="G30" i="16"/>
  <c r="E30" i="16"/>
  <c r="H29" i="16"/>
  <c r="I29" i="16" s="1"/>
  <c r="C30" i="16"/>
  <c r="F30" i="16" s="1"/>
  <c r="AK64" i="2"/>
  <c r="AL63" i="2"/>
  <c r="D30" i="8"/>
  <c r="N28" i="8"/>
  <c r="G28" i="8"/>
  <c r="D31" i="5"/>
  <c r="E31" i="5" s="1"/>
  <c r="AW61" i="2"/>
  <c r="AX61" i="2" s="1"/>
  <c r="X64" i="2"/>
  <c r="Y64" i="2" s="1"/>
  <c r="K30" i="14" l="1"/>
  <c r="I31" i="14"/>
  <c r="J31" i="14"/>
  <c r="L30" i="8"/>
  <c r="E30" i="8"/>
  <c r="H31" i="5"/>
  <c r="T19" i="4"/>
  <c r="U18" i="4"/>
  <c r="Y18" i="4"/>
  <c r="Z25" i="6" s="1"/>
  <c r="Y25" i="6"/>
  <c r="R18" i="4"/>
  <c r="S17" i="4"/>
  <c r="T24" i="6" s="1"/>
  <c r="S24" i="6"/>
  <c r="L279" i="2"/>
  <c r="E266" i="4"/>
  <c r="F273" i="6"/>
  <c r="J273" i="6" s="1"/>
  <c r="Q273" i="6" s="1"/>
  <c r="X19" i="4"/>
  <c r="E80" i="4"/>
  <c r="F78" i="6"/>
  <c r="J78" i="6" s="1"/>
  <c r="Q78" i="6" s="1"/>
  <c r="E71" i="4"/>
  <c r="E70" i="4"/>
  <c r="J76" i="6"/>
  <c r="Q76" i="6" s="1"/>
  <c r="E69" i="4"/>
  <c r="F75" i="6"/>
  <c r="J75" i="6" s="1"/>
  <c r="Q75" i="6" s="1"/>
  <c r="E68" i="4"/>
  <c r="F74" i="6"/>
  <c r="J74" i="6" s="1"/>
  <c r="Q74" i="6" s="1"/>
  <c r="E67" i="4"/>
  <c r="F73" i="6"/>
  <c r="J73" i="6" s="1"/>
  <c r="Q73" i="6" s="1"/>
  <c r="E66" i="4"/>
  <c r="F72" i="6"/>
  <c r="J72" i="6" s="1"/>
  <c r="Q72" i="6" s="1"/>
  <c r="E65" i="4"/>
  <c r="F71" i="6"/>
  <c r="J71" i="6" s="1"/>
  <c r="Q71" i="6" s="1"/>
  <c r="E64" i="4"/>
  <c r="F70" i="6"/>
  <c r="J70" i="6" s="1"/>
  <c r="Q70" i="6" s="1"/>
  <c r="E63" i="4"/>
  <c r="F69" i="6"/>
  <c r="J69" i="6" s="1"/>
  <c r="Q69" i="6" s="1"/>
  <c r="E62" i="4"/>
  <c r="F68" i="6"/>
  <c r="J68" i="6" s="1"/>
  <c r="Q68" i="6" s="1"/>
  <c r="E61" i="4"/>
  <c r="F67" i="6"/>
  <c r="J67" i="6" s="1"/>
  <c r="Q67" i="6" s="1"/>
  <c r="E60" i="4"/>
  <c r="F66" i="6"/>
  <c r="J66" i="6" s="1"/>
  <c r="Q66" i="6" s="1"/>
  <c r="E59" i="4"/>
  <c r="F65" i="6"/>
  <c r="J65" i="6" s="1"/>
  <c r="Q65" i="6" s="1"/>
  <c r="E58" i="4"/>
  <c r="F64" i="6"/>
  <c r="J64" i="6" s="1"/>
  <c r="Q64" i="6" s="1"/>
  <c r="E57" i="4"/>
  <c r="E22" i="4"/>
  <c r="F28" i="6"/>
  <c r="J28" i="6" s="1"/>
  <c r="Q28" i="6" s="1"/>
  <c r="F92" i="6"/>
  <c r="J92" i="6" s="1"/>
  <c r="Q92" i="6" s="1"/>
  <c r="F91" i="6"/>
  <c r="J91" i="6" s="1"/>
  <c r="Q91" i="6" s="1"/>
  <c r="F90" i="6"/>
  <c r="J90" i="6" s="1"/>
  <c r="Q90" i="6" s="1"/>
  <c r="F89" i="6"/>
  <c r="J89" i="6" s="1"/>
  <c r="Q89" i="6" s="1"/>
  <c r="F88" i="6"/>
  <c r="J88" i="6" s="1"/>
  <c r="Q88" i="6" s="1"/>
  <c r="F87" i="6"/>
  <c r="J87" i="6" s="1"/>
  <c r="Q87" i="6" s="1"/>
  <c r="F86" i="6"/>
  <c r="J86" i="6" s="1"/>
  <c r="Q86" i="6" s="1"/>
  <c r="F85" i="6"/>
  <c r="J85" i="6" s="1"/>
  <c r="Q85" i="6" s="1"/>
  <c r="F84" i="6"/>
  <c r="J84" i="6" s="1"/>
  <c r="Q84" i="6" s="1"/>
  <c r="F83" i="6"/>
  <c r="J83" i="6" s="1"/>
  <c r="Q83" i="6" s="1"/>
  <c r="F82" i="6"/>
  <c r="J82" i="6" s="1"/>
  <c r="Q82" i="6" s="1"/>
  <c r="F81" i="6"/>
  <c r="J81" i="6" s="1"/>
  <c r="Q81" i="6" s="1"/>
  <c r="F80" i="6"/>
  <c r="J80" i="6" s="1"/>
  <c r="Q80" i="6" s="1"/>
  <c r="F79" i="6"/>
  <c r="J79" i="6" s="1"/>
  <c r="Q79" i="6" s="1"/>
  <c r="Q19" i="6"/>
  <c r="Q20" i="6"/>
  <c r="Q21" i="6"/>
  <c r="Q22" i="6"/>
  <c r="Q23" i="6"/>
  <c r="Q24" i="6"/>
  <c r="Q25" i="6"/>
  <c r="Q26" i="6"/>
  <c r="Q27" i="6"/>
  <c r="E31" i="16"/>
  <c r="H30" i="16"/>
  <c r="I30" i="16" s="1"/>
  <c r="D32" i="16"/>
  <c r="G31" i="16"/>
  <c r="C31" i="16"/>
  <c r="F31" i="16" s="1"/>
  <c r="AK65" i="2"/>
  <c r="AL64" i="2"/>
  <c r="D31" i="8"/>
  <c r="N29" i="8"/>
  <c r="G29" i="8"/>
  <c r="D32" i="5"/>
  <c r="E32" i="5" s="1"/>
  <c r="AW62" i="2"/>
  <c r="AX62" i="2" s="1"/>
  <c r="X65" i="2"/>
  <c r="Y65" i="2" s="1"/>
  <c r="K31" i="14" l="1"/>
  <c r="I32" i="14"/>
  <c r="J32" i="14"/>
  <c r="L31" i="8"/>
  <c r="E31" i="8"/>
  <c r="H32" i="5"/>
  <c r="T20" i="4"/>
  <c r="U19" i="4"/>
  <c r="Y19" i="4"/>
  <c r="Z26" i="6" s="1"/>
  <c r="Y26" i="6"/>
  <c r="R19" i="4"/>
  <c r="S18" i="4"/>
  <c r="T25" i="6" s="1"/>
  <c r="S25" i="6"/>
  <c r="L280" i="2"/>
  <c r="E267" i="4"/>
  <c r="F274" i="6"/>
  <c r="J274" i="6" s="1"/>
  <c r="Q274" i="6" s="1"/>
  <c r="X20" i="4"/>
  <c r="F50" i="6"/>
  <c r="J50" i="6" s="1"/>
  <c r="Q50" i="6" s="1"/>
  <c r="E43" i="4"/>
  <c r="F51" i="6"/>
  <c r="J51" i="6" s="1"/>
  <c r="Q51" i="6" s="1"/>
  <c r="E44" i="4"/>
  <c r="F52" i="6"/>
  <c r="J52" i="6" s="1"/>
  <c r="Q52" i="6" s="1"/>
  <c r="E45" i="4"/>
  <c r="F53" i="6"/>
  <c r="J53" i="6" s="1"/>
  <c r="Q53" i="6" s="1"/>
  <c r="E46" i="4"/>
  <c r="F54" i="6"/>
  <c r="J54" i="6" s="1"/>
  <c r="Q54" i="6" s="1"/>
  <c r="E47" i="4"/>
  <c r="F55" i="6"/>
  <c r="J55" i="6" s="1"/>
  <c r="Q55" i="6" s="1"/>
  <c r="E48" i="4"/>
  <c r="F56" i="6"/>
  <c r="J56" i="6" s="1"/>
  <c r="Q56" i="6" s="1"/>
  <c r="E49" i="4"/>
  <c r="F57" i="6"/>
  <c r="J57" i="6" s="1"/>
  <c r="Q57" i="6" s="1"/>
  <c r="E50" i="4"/>
  <c r="E51" i="4"/>
  <c r="F59" i="6"/>
  <c r="J59" i="6" s="1"/>
  <c r="Q59" i="6" s="1"/>
  <c r="E52" i="4"/>
  <c r="F60" i="6"/>
  <c r="J60" i="6" s="1"/>
  <c r="Q60" i="6" s="1"/>
  <c r="E53" i="4"/>
  <c r="F61" i="6"/>
  <c r="J61" i="6" s="1"/>
  <c r="Q61" i="6" s="1"/>
  <c r="E54" i="4"/>
  <c r="F62" i="6"/>
  <c r="J62" i="6" s="1"/>
  <c r="Q62" i="6" s="1"/>
  <c r="E55" i="4"/>
  <c r="F63" i="6"/>
  <c r="J63" i="6" s="1"/>
  <c r="Q63" i="6" s="1"/>
  <c r="E56" i="4"/>
  <c r="E23" i="4"/>
  <c r="F29" i="6"/>
  <c r="J29" i="6" s="1"/>
  <c r="Q29" i="6" s="1"/>
  <c r="D33" i="16"/>
  <c r="G32" i="16"/>
  <c r="E32" i="16"/>
  <c r="H31" i="16"/>
  <c r="I31" i="16" s="1"/>
  <c r="C32" i="16"/>
  <c r="F32" i="16" s="1"/>
  <c r="AK66" i="2"/>
  <c r="AL65" i="2"/>
  <c r="D32" i="8"/>
  <c r="N30" i="8"/>
  <c r="G30" i="8"/>
  <c r="D33" i="5"/>
  <c r="E33" i="5" s="1"/>
  <c r="AW63" i="2"/>
  <c r="AX63" i="2" s="1"/>
  <c r="X66" i="2"/>
  <c r="Y66" i="2" s="1"/>
  <c r="K32" i="14" l="1"/>
  <c r="I33" i="14"/>
  <c r="J33" i="14"/>
  <c r="L32" i="8"/>
  <c r="E32" i="8"/>
  <c r="H33" i="5"/>
  <c r="T21" i="4"/>
  <c r="U20" i="4"/>
  <c r="Y20" i="4"/>
  <c r="Z27" i="6" s="1"/>
  <c r="Y27" i="6"/>
  <c r="R20" i="4"/>
  <c r="S19" i="4"/>
  <c r="T26" i="6" s="1"/>
  <c r="S26" i="6"/>
  <c r="L281" i="2"/>
  <c r="E268" i="4"/>
  <c r="F275" i="6"/>
  <c r="J275" i="6" s="1"/>
  <c r="Q275" i="6" s="1"/>
  <c r="X21" i="4"/>
  <c r="E24" i="4"/>
  <c r="F30" i="6"/>
  <c r="J30" i="6" s="1"/>
  <c r="Q30" i="6" s="1"/>
  <c r="E33" i="16"/>
  <c r="H32" i="16"/>
  <c r="I32" i="16" s="1"/>
  <c r="D34" i="16"/>
  <c r="G33" i="16"/>
  <c r="C33" i="16"/>
  <c r="F33" i="16" s="1"/>
  <c r="AK67" i="2"/>
  <c r="AL66" i="2"/>
  <c r="D33" i="8"/>
  <c r="N31" i="8"/>
  <c r="G31" i="8"/>
  <c r="AW64" i="2"/>
  <c r="AX64" i="2" s="1"/>
  <c r="X67" i="2"/>
  <c r="Y67" i="2" s="1"/>
  <c r="K33" i="14" l="1"/>
  <c r="I34" i="14"/>
  <c r="J34" i="14"/>
  <c r="L33" i="8"/>
  <c r="E33" i="8"/>
  <c r="T22" i="4"/>
  <c r="U21" i="4"/>
  <c r="Y21" i="4"/>
  <c r="Z28" i="6" s="1"/>
  <c r="Y28" i="6"/>
  <c r="R21" i="4"/>
  <c r="S20" i="4"/>
  <c r="T27" i="6" s="1"/>
  <c r="S27" i="6"/>
  <c r="L282" i="2"/>
  <c r="E269" i="4"/>
  <c r="F276" i="6"/>
  <c r="J276" i="6" s="1"/>
  <c r="Q276" i="6" s="1"/>
  <c r="X22" i="4"/>
  <c r="E25" i="4"/>
  <c r="F31" i="6"/>
  <c r="J31" i="6" s="1"/>
  <c r="Q31" i="6" s="1"/>
  <c r="D35" i="16"/>
  <c r="G34" i="16"/>
  <c r="E34" i="16"/>
  <c r="H33" i="16"/>
  <c r="I33" i="16" s="1"/>
  <c r="C34" i="16"/>
  <c r="F34" i="16" s="1"/>
  <c r="AK68" i="2"/>
  <c r="AL67" i="2"/>
  <c r="D34" i="8"/>
  <c r="N32" i="8"/>
  <c r="G32" i="8"/>
  <c r="AW65" i="2"/>
  <c r="AX65" i="2" s="1"/>
  <c r="X68" i="2"/>
  <c r="Y68" i="2" s="1"/>
  <c r="K34" i="14" l="1"/>
  <c r="I35" i="14"/>
  <c r="J35" i="14"/>
  <c r="L34" i="8"/>
  <c r="E34" i="8"/>
  <c r="T23" i="4"/>
  <c r="U22" i="4"/>
  <c r="Y22" i="4"/>
  <c r="Z29" i="6" s="1"/>
  <c r="Y29" i="6"/>
  <c r="R22" i="4"/>
  <c r="S21" i="4"/>
  <c r="T28" i="6" s="1"/>
  <c r="S28" i="6"/>
  <c r="L283" i="2"/>
  <c r="E270" i="4"/>
  <c r="F277" i="6"/>
  <c r="J277" i="6" s="1"/>
  <c r="Q277" i="6" s="1"/>
  <c r="X23" i="4"/>
  <c r="E26" i="4"/>
  <c r="F32" i="6"/>
  <c r="J32" i="6" s="1"/>
  <c r="Q32" i="6" s="1"/>
  <c r="E35" i="16"/>
  <c r="H34" i="16"/>
  <c r="I34" i="16" s="1"/>
  <c r="D36" i="16"/>
  <c r="G35" i="16"/>
  <c r="C35" i="16"/>
  <c r="F35" i="16" s="1"/>
  <c r="AK69" i="2"/>
  <c r="AL68" i="2"/>
  <c r="D35" i="8"/>
  <c r="N33" i="8"/>
  <c r="G33" i="8"/>
  <c r="AW66" i="2"/>
  <c r="AX66" i="2" s="1"/>
  <c r="X69" i="2"/>
  <c r="Y69" i="2" s="1"/>
  <c r="K35" i="14" l="1"/>
  <c r="I36" i="14"/>
  <c r="J36" i="14"/>
  <c r="L35" i="8"/>
  <c r="E35" i="8"/>
  <c r="T24" i="4"/>
  <c r="U23" i="4"/>
  <c r="Y23" i="4"/>
  <c r="Z30" i="6" s="1"/>
  <c r="Y30" i="6"/>
  <c r="R23" i="4"/>
  <c r="S22" i="4"/>
  <c r="T29" i="6" s="1"/>
  <c r="S29" i="6"/>
  <c r="L284" i="2"/>
  <c r="E271" i="4"/>
  <c r="F278" i="6"/>
  <c r="J278" i="6" s="1"/>
  <c r="Q278" i="6" s="1"/>
  <c r="X24" i="4"/>
  <c r="E27" i="4"/>
  <c r="F33" i="6"/>
  <c r="J33" i="6" s="1"/>
  <c r="Q33" i="6" s="1"/>
  <c r="D37" i="16"/>
  <c r="G36" i="16"/>
  <c r="E36" i="16"/>
  <c r="H35" i="16"/>
  <c r="I35" i="16" s="1"/>
  <c r="C36" i="16"/>
  <c r="F36" i="16" s="1"/>
  <c r="AK70" i="2"/>
  <c r="AL69" i="2"/>
  <c r="D36" i="8"/>
  <c r="N34" i="8"/>
  <c r="G34" i="8"/>
  <c r="AW67" i="2"/>
  <c r="AX67" i="2" s="1"/>
  <c r="X70" i="2"/>
  <c r="Y70" i="2" s="1"/>
  <c r="K36" i="14" l="1"/>
  <c r="I37" i="14"/>
  <c r="J37" i="14"/>
  <c r="L36" i="8"/>
  <c r="E36" i="8"/>
  <c r="T25" i="4"/>
  <c r="U24" i="4"/>
  <c r="Y24" i="4"/>
  <c r="Z31" i="6" s="1"/>
  <c r="Y31" i="6"/>
  <c r="R24" i="4"/>
  <c r="S23" i="4"/>
  <c r="T30" i="6" s="1"/>
  <c r="S30" i="6"/>
  <c r="L285" i="2"/>
  <c r="E272" i="4"/>
  <c r="F279" i="6"/>
  <c r="J279" i="6" s="1"/>
  <c r="Q279" i="6" s="1"/>
  <c r="X25" i="4"/>
  <c r="E28" i="4"/>
  <c r="F34" i="6"/>
  <c r="J34" i="6" s="1"/>
  <c r="Q34" i="6" s="1"/>
  <c r="E37" i="16"/>
  <c r="H36" i="16"/>
  <c r="I36" i="16" s="1"/>
  <c r="D38" i="16"/>
  <c r="G37" i="16"/>
  <c r="C37" i="16"/>
  <c r="F37" i="16" s="1"/>
  <c r="AK71" i="2"/>
  <c r="AL70" i="2"/>
  <c r="D37" i="8"/>
  <c r="N35" i="8"/>
  <c r="G35" i="8"/>
  <c r="AW68" i="2"/>
  <c r="AX68" i="2" s="1"/>
  <c r="X71" i="2"/>
  <c r="Y71" i="2" s="1"/>
  <c r="K37" i="14" l="1"/>
  <c r="I38" i="14"/>
  <c r="J38" i="14"/>
  <c r="L37" i="8"/>
  <c r="E37" i="8"/>
  <c r="T26" i="4"/>
  <c r="U25" i="4"/>
  <c r="Y25" i="4"/>
  <c r="Z32" i="6" s="1"/>
  <c r="Y32" i="6"/>
  <c r="R25" i="4"/>
  <c r="S24" i="4"/>
  <c r="T31" i="6" s="1"/>
  <c r="S31" i="6"/>
  <c r="L286" i="2"/>
  <c r="E273" i="4"/>
  <c r="F280" i="6"/>
  <c r="J280" i="6" s="1"/>
  <c r="Q280" i="6" s="1"/>
  <c r="X26" i="4"/>
  <c r="E29" i="4"/>
  <c r="F35" i="6"/>
  <c r="J35" i="6" s="1"/>
  <c r="Q35" i="6" s="1"/>
  <c r="D39" i="16"/>
  <c r="G38" i="16"/>
  <c r="E38" i="16"/>
  <c r="H37" i="16"/>
  <c r="I37" i="16" s="1"/>
  <c r="C38" i="16"/>
  <c r="F38" i="16" s="1"/>
  <c r="AK72" i="2"/>
  <c r="AL71" i="2"/>
  <c r="D38" i="8"/>
  <c r="N36" i="8"/>
  <c r="G36" i="8"/>
  <c r="AW69" i="2"/>
  <c r="AX69" i="2" s="1"/>
  <c r="X72" i="2"/>
  <c r="Y72" i="2" s="1"/>
  <c r="K38" i="14" l="1"/>
  <c r="I39" i="14"/>
  <c r="J39" i="14"/>
  <c r="L38" i="8"/>
  <c r="E38" i="8"/>
  <c r="T27" i="4"/>
  <c r="U26" i="4"/>
  <c r="Y26" i="4"/>
  <c r="Z33" i="6" s="1"/>
  <c r="Y33" i="6"/>
  <c r="R26" i="4"/>
  <c r="S25" i="4"/>
  <c r="T32" i="6" s="1"/>
  <c r="S32" i="6"/>
  <c r="L287" i="2"/>
  <c r="E274" i="4"/>
  <c r="F281" i="6"/>
  <c r="J281" i="6" s="1"/>
  <c r="Q281" i="6" s="1"/>
  <c r="X27" i="4"/>
  <c r="E30" i="4"/>
  <c r="F36" i="6"/>
  <c r="J36" i="6" s="1"/>
  <c r="Q36" i="6" s="1"/>
  <c r="E39" i="16"/>
  <c r="H38" i="16"/>
  <c r="I38" i="16" s="1"/>
  <c r="D40" i="16"/>
  <c r="G39" i="16"/>
  <c r="C39" i="16"/>
  <c r="F39" i="16" s="1"/>
  <c r="AK73" i="2"/>
  <c r="AL72" i="2"/>
  <c r="D39" i="8"/>
  <c r="N37" i="8"/>
  <c r="G37" i="8"/>
  <c r="AW70" i="2"/>
  <c r="AX70" i="2" s="1"/>
  <c r="X73" i="2"/>
  <c r="Y73" i="2" s="1"/>
  <c r="K39" i="14" l="1"/>
  <c r="I40" i="14"/>
  <c r="J40" i="14"/>
  <c r="L39" i="8"/>
  <c r="E39" i="8"/>
  <c r="T28" i="4"/>
  <c r="U27" i="4"/>
  <c r="Y27" i="4"/>
  <c r="Z34" i="6" s="1"/>
  <c r="Y34" i="6"/>
  <c r="R27" i="4"/>
  <c r="S26" i="4"/>
  <c r="T33" i="6" s="1"/>
  <c r="S33" i="6"/>
  <c r="L288" i="2"/>
  <c r="E275" i="4"/>
  <c r="F282" i="6"/>
  <c r="J282" i="6" s="1"/>
  <c r="Q282" i="6" s="1"/>
  <c r="X28" i="4"/>
  <c r="E31" i="4"/>
  <c r="F37" i="6"/>
  <c r="J37" i="6" s="1"/>
  <c r="Q37" i="6" s="1"/>
  <c r="D41" i="16"/>
  <c r="G40" i="16"/>
  <c r="E40" i="16"/>
  <c r="H39" i="16"/>
  <c r="I39" i="16" s="1"/>
  <c r="C40" i="16"/>
  <c r="F40" i="16" s="1"/>
  <c r="AK74" i="2"/>
  <c r="AL73" i="2"/>
  <c r="D40" i="8"/>
  <c r="N38" i="8"/>
  <c r="G38" i="8"/>
  <c r="AW71" i="2"/>
  <c r="AX71" i="2" s="1"/>
  <c r="X74" i="2"/>
  <c r="Y74" i="2" s="1"/>
  <c r="K40" i="14" l="1"/>
  <c r="I41" i="14"/>
  <c r="J41" i="14"/>
  <c r="L40" i="8"/>
  <c r="E40" i="8"/>
  <c r="T29" i="4"/>
  <c r="U28" i="4"/>
  <c r="Y28" i="4"/>
  <c r="Z35" i="6" s="1"/>
  <c r="Y35" i="6"/>
  <c r="R28" i="4"/>
  <c r="S27" i="4"/>
  <c r="T34" i="6" s="1"/>
  <c r="S34" i="6"/>
  <c r="L289" i="2"/>
  <c r="E276" i="4"/>
  <c r="F283" i="6"/>
  <c r="J283" i="6" s="1"/>
  <c r="Q283" i="6" s="1"/>
  <c r="X29" i="4"/>
  <c r="E32" i="4"/>
  <c r="F38" i="6"/>
  <c r="J38" i="6" s="1"/>
  <c r="Q38" i="6" s="1"/>
  <c r="E41" i="16"/>
  <c r="H40" i="16"/>
  <c r="I40" i="16" s="1"/>
  <c r="D42" i="16"/>
  <c r="G41" i="16"/>
  <c r="C41" i="16"/>
  <c r="F41" i="16" s="1"/>
  <c r="AK75" i="2"/>
  <c r="AL74" i="2"/>
  <c r="D41" i="8"/>
  <c r="N39" i="8"/>
  <c r="G39" i="8"/>
  <c r="AW72" i="2"/>
  <c r="AX72" i="2" s="1"/>
  <c r="X75" i="2"/>
  <c r="Y75" i="2" s="1"/>
  <c r="K41" i="14" l="1"/>
  <c r="I42" i="14"/>
  <c r="J42" i="14"/>
  <c r="L41" i="8"/>
  <c r="E41" i="8"/>
  <c r="T30" i="4"/>
  <c r="U29" i="4"/>
  <c r="Y29" i="4"/>
  <c r="Z36" i="6" s="1"/>
  <c r="Y36" i="6"/>
  <c r="R29" i="4"/>
  <c r="S28" i="4"/>
  <c r="T35" i="6" s="1"/>
  <c r="S35" i="6"/>
  <c r="L290" i="2"/>
  <c r="E277" i="4"/>
  <c r="F284" i="6"/>
  <c r="J284" i="6" s="1"/>
  <c r="Q284" i="6" s="1"/>
  <c r="X30" i="4"/>
  <c r="E33" i="4"/>
  <c r="F39" i="6"/>
  <c r="J39" i="6" s="1"/>
  <c r="Q39" i="6" s="1"/>
  <c r="D43" i="16"/>
  <c r="G42" i="16"/>
  <c r="E42" i="16"/>
  <c r="H41" i="16"/>
  <c r="I41" i="16" s="1"/>
  <c r="C42" i="16"/>
  <c r="F42" i="16" s="1"/>
  <c r="AK76" i="2"/>
  <c r="AL75" i="2"/>
  <c r="D42" i="8"/>
  <c r="N40" i="8"/>
  <c r="G40" i="8"/>
  <c r="AW73" i="2"/>
  <c r="AX73" i="2" s="1"/>
  <c r="X76" i="2"/>
  <c r="Y76" i="2" s="1"/>
  <c r="K42" i="14" l="1"/>
  <c r="I43" i="14"/>
  <c r="J43" i="14"/>
  <c r="L42" i="8"/>
  <c r="E42" i="8"/>
  <c r="T31" i="4"/>
  <c r="U30" i="4"/>
  <c r="Y30" i="4"/>
  <c r="Z37" i="6" s="1"/>
  <c r="Y37" i="6"/>
  <c r="R30" i="4"/>
  <c r="S29" i="4"/>
  <c r="T36" i="6" s="1"/>
  <c r="S36" i="6"/>
  <c r="L291" i="2"/>
  <c r="E278" i="4"/>
  <c r="F285" i="6"/>
  <c r="J285" i="6" s="1"/>
  <c r="Q285" i="6" s="1"/>
  <c r="X31" i="4"/>
  <c r="E34" i="4"/>
  <c r="F40" i="6"/>
  <c r="J40" i="6" s="1"/>
  <c r="Q40" i="6" s="1"/>
  <c r="E43" i="16"/>
  <c r="H42" i="16"/>
  <c r="I42" i="16" s="1"/>
  <c r="D44" i="16"/>
  <c r="G43" i="16"/>
  <c r="C43" i="16"/>
  <c r="F43" i="16" s="1"/>
  <c r="AK77" i="2"/>
  <c r="AL76" i="2"/>
  <c r="D43" i="8"/>
  <c r="N41" i="8"/>
  <c r="G41" i="8"/>
  <c r="AW74" i="2"/>
  <c r="AX74" i="2" s="1"/>
  <c r="X77" i="2"/>
  <c r="Y77" i="2" s="1"/>
  <c r="K43" i="14" l="1"/>
  <c r="I44" i="14"/>
  <c r="J44" i="14"/>
  <c r="L43" i="8"/>
  <c r="E43" i="8"/>
  <c r="T32" i="4"/>
  <c r="U31" i="4"/>
  <c r="Y31" i="4"/>
  <c r="Z38" i="6" s="1"/>
  <c r="Y38" i="6"/>
  <c r="R31" i="4"/>
  <c r="S30" i="4"/>
  <c r="T37" i="6" s="1"/>
  <c r="S37" i="6"/>
  <c r="L292" i="2"/>
  <c r="E279" i="4"/>
  <c r="F286" i="6"/>
  <c r="J286" i="6" s="1"/>
  <c r="Q286" i="6" s="1"/>
  <c r="X32" i="4"/>
  <c r="E35" i="4"/>
  <c r="F41" i="6"/>
  <c r="J41" i="6" s="1"/>
  <c r="Q41" i="6" s="1"/>
  <c r="D45" i="16"/>
  <c r="G44" i="16"/>
  <c r="E44" i="16"/>
  <c r="H43" i="16"/>
  <c r="I43" i="16" s="1"/>
  <c r="C44" i="16"/>
  <c r="F44" i="16" s="1"/>
  <c r="AK78" i="2"/>
  <c r="AL77" i="2"/>
  <c r="D44" i="8"/>
  <c r="N42" i="8"/>
  <c r="G42" i="8"/>
  <c r="AW75" i="2"/>
  <c r="AX75" i="2" s="1"/>
  <c r="X78" i="2"/>
  <c r="Y78" i="2" s="1"/>
  <c r="K44" i="14" l="1"/>
  <c r="I45" i="14"/>
  <c r="J45" i="14"/>
  <c r="L44" i="8"/>
  <c r="E44" i="8"/>
  <c r="T33" i="4"/>
  <c r="U32" i="4"/>
  <c r="Y32" i="4"/>
  <c r="Z39" i="6" s="1"/>
  <c r="Y39" i="6"/>
  <c r="R32" i="4"/>
  <c r="S31" i="4"/>
  <c r="T38" i="6" s="1"/>
  <c r="S38" i="6"/>
  <c r="L293" i="2"/>
  <c r="E280" i="4"/>
  <c r="F287" i="6"/>
  <c r="J287" i="6" s="1"/>
  <c r="Q287" i="6" s="1"/>
  <c r="X33" i="4"/>
  <c r="E36" i="4"/>
  <c r="F42" i="6"/>
  <c r="J42" i="6" s="1"/>
  <c r="Q42" i="6" s="1"/>
  <c r="E45" i="16"/>
  <c r="H44" i="16"/>
  <c r="I44" i="16" s="1"/>
  <c r="D46" i="16"/>
  <c r="G45" i="16"/>
  <c r="C45" i="16"/>
  <c r="F45" i="16" s="1"/>
  <c r="AK79" i="2"/>
  <c r="AL78" i="2"/>
  <c r="D45" i="8"/>
  <c r="N43" i="8"/>
  <c r="G43" i="8"/>
  <c r="AW76" i="2"/>
  <c r="AX76" i="2" s="1"/>
  <c r="X79" i="2"/>
  <c r="Y79" i="2" s="1"/>
  <c r="K45" i="14" l="1"/>
  <c r="I46" i="14"/>
  <c r="J46" i="14"/>
  <c r="L45" i="8"/>
  <c r="E45" i="8"/>
  <c r="T34" i="4"/>
  <c r="U33" i="4"/>
  <c r="Y33" i="4"/>
  <c r="Z40" i="6" s="1"/>
  <c r="Y40" i="6"/>
  <c r="R33" i="4"/>
  <c r="S32" i="4"/>
  <c r="T39" i="6" s="1"/>
  <c r="S39" i="6"/>
  <c r="L294" i="2"/>
  <c r="E281" i="4"/>
  <c r="F288" i="6"/>
  <c r="J288" i="6" s="1"/>
  <c r="Q288" i="6" s="1"/>
  <c r="X34" i="4"/>
  <c r="E37" i="4"/>
  <c r="F43" i="6"/>
  <c r="J43" i="6" s="1"/>
  <c r="Q43" i="6" s="1"/>
  <c r="D47" i="16"/>
  <c r="G46" i="16"/>
  <c r="E46" i="16"/>
  <c r="H45" i="16"/>
  <c r="I45" i="16" s="1"/>
  <c r="C46" i="16"/>
  <c r="F46" i="16" s="1"/>
  <c r="AK80" i="2"/>
  <c r="AL79" i="2"/>
  <c r="D46" i="8"/>
  <c r="N44" i="8"/>
  <c r="G44" i="8"/>
  <c r="AW77" i="2"/>
  <c r="AX77" i="2" s="1"/>
  <c r="X80" i="2"/>
  <c r="Y80" i="2" s="1"/>
  <c r="K46" i="14" l="1"/>
  <c r="I47" i="14"/>
  <c r="J47" i="14"/>
  <c r="L46" i="8"/>
  <c r="E46" i="8"/>
  <c r="T35" i="4"/>
  <c r="U34" i="4"/>
  <c r="Y34" i="4"/>
  <c r="Z41" i="6" s="1"/>
  <c r="Y41" i="6"/>
  <c r="R34" i="4"/>
  <c r="S33" i="4"/>
  <c r="T40" i="6" s="1"/>
  <c r="S40" i="6"/>
  <c r="L295" i="2"/>
  <c r="E282" i="4"/>
  <c r="F289" i="6"/>
  <c r="J289" i="6" s="1"/>
  <c r="Q289" i="6" s="1"/>
  <c r="X35" i="4"/>
  <c r="E38" i="4"/>
  <c r="F44" i="6"/>
  <c r="J44" i="6" s="1"/>
  <c r="Q44" i="6" s="1"/>
  <c r="E47" i="16"/>
  <c r="H46" i="16"/>
  <c r="I46" i="16" s="1"/>
  <c r="D48" i="16"/>
  <c r="G47" i="16"/>
  <c r="C47" i="16"/>
  <c r="F47" i="16" s="1"/>
  <c r="AK81" i="2"/>
  <c r="AL80" i="2"/>
  <c r="D47" i="8"/>
  <c r="N45" i="8"/>
  <c r="G45" i="8"/>
  <c r="AW78" i="2"/>
  <c r="AX78" i="2" s="1"/>
  <c r="X81" i="2"/>
  <c r="Y81" i="2" s="1"/>
  <c r="K47" i="14" l="1"/>
  <c r="I48" i="14"/>
  <c r="J48" i="14"/>
  <c r="L47" i="8"/>
  <c r="E47" i="8"/>
  <c r="T36" i="4"/>
  <c r="U35" i="4"/>
  <c r="Y35" i="4"/>
  <c r="Z42" i="6" s="1"/>
  <c r="Y42" i="6"/>
  <c r="R35" i="4"/>
  <c r="S34" i="4"/>
  <c r="T41" i="6" s="1"/>
  <c r="S41" i="6"/>
  <c r="L296" i="2"/>
  <c r="E283" i="4"/>
  <c r="F290" i="6"/>
  <c r="J290" i="6" s="1"/>
  <c r="Q290" i="6" s="1"/>
  <c r="X36" i="4"/>
  <c r="E39" i="4"/>
  <c r="F45" i="6"/>
  <c r="J45" i="6" s="1"/>
  <c r="Q45" i="6" s="1"/>
  <c r="D49" i="16"/>
  <c r="G48" i="16"/>
  <c r="E48" i="16"/>
  <c r="H47" i="16"/>
  <c r="I47" i="16" s="1"/>
  <c r="C48" i="16"/>
  <c r="F48" i="16" s="1"/>
  <c r="AK82" i="2"/>
  <c r="AL81" i="2"/>
  <c r="D48" i="8"/>
  <c r="N46" i="8"/>
  <c r="G46" i="8"/>
  <c r="AW79" i="2"/>
  <c r="AX79" i="2" s="1"/>
  <c r="X82" i="2"/>
  <c r="Y82" i="2" s="1"/>
  <c r="K48" i="14" l="1"/>
  <c r="I49" i="14"/>
  <c r="J49" i="14"/>
  <c r="L48" i="8"/>
  <c r="E48" i="8"/>
  <c r="T37" i="4"/>
  <c r="U36" i="4"/>
  <c r="Y36" i="4"/>
  <c r="Z43" i="6" s="1"/>
  <c r="Y43" i="6"/>
  <c r="R36" i="4"/>
  <c r="S35" i="4"/>
  <c r="T42" i="6" s="1"/>
  <c r="S42" i="6"/>
  <c r="L297" i="2"/>
  <c r="E284" i="4"/>
  <c r="F291" i="6"/>
  <c r="J291" i="6" s="1"/>
  <c r="Q291" i="6" s="1"/>
  <c r="X37" i="4"/>
  <c r="E40" i="4"/>
  <c r="F46" i="6"/>
  <c r="J46" i="6" s="1"/>
  <c r="Q46" i="6" s="1"/>
  <c r="E49" i="16"/>
  <c r="H48" i="16"/>
  <c r="I48" i="16" s="1"/>
  <c r="D50" i="16"/>
  <c r="G49" i="16"/>
  <c r="C49" i="16"/>
  <c r="F49" i="16" s="1"/>
  <c r="AK83" i="2"/>
  <c r="AL82" i="2"/>
  <c r="D49" i="8"/>
  <c r="N47" i="8"/>
  <c r="G47" i="8"/>
  <c r="AW80" i="2"/>
  <c r="AX80" i="2" s="1"/>
  <c r="X83" i="2"/>
  <c r="Y83" i="2" s="1"/>
  <c r="K49" i="14" l="1"/>
  <c r="I50" i="14"/>
  <c r="J50" i="14"/>
  <c r="L49" i="8"/>
  <c r="E49" i="8"/>
  <c r="T38" i="4"/>
  <c r="U37" i="4"/>
  <c r="Y37" i="4"/>
  <c r="Z44" i="6" s="1"/>
  <c r="Y44" i="6"/>
  <c r="R37" i="4"/>
  <c r="S36" i="4"/>
  <c r="T43" i="6" s="1"/>
  <c r="S43" i="6"/>
  <c r="L298" i="2"/>
  <c r="E285" i="4"/>
  <c r="F292" i="6"/>
  <c r="J292" i="6" s="1"/>
  <c r="Q292" i="6" s="1"/>
  <c r="X38" i="4"/>
  <c r="E41" i="4"/>
  <c r="F47" i="6"/>
  <c r="J47" i="6" s="1"/>
  <c r="Q47" i="6" s="1"/>
  <c r="D51" i="16"/>
  <c r="G50" i="16"/>
  <c r="E50" i="16"/>
  <c r="H49" i="16"/>
  <c r="I49" i="16" s="1"/>
  <c r="C50" i="16"/>
  <c r="F50" i="16" s="1"/>
  <c r="AK84" i="2"/>
  <c r="AL83" i="2"/>
  <c r="D50" i="8"/>
  <c r="N48" i="8"/>
  <c r="G48" i="8"/>
  <c r="AW81" i="2"/>
  <c r="AX81" i="2" s="1"/>
  <c r="X84" i="2"/>
  <c r="Y84" i="2" s="1"/>
  <c r="K50" i="14" l="1"/>
  <c r="I51" i="14"/>
  <c r="J51" i="14"/>
  <c r="L50" i="8"/>
  <c r="E50" i="8"/>
  <c r="T39" i="4"/>
  <c r="U38" i="4"/>
  <c r="Y38" i="4"/>
  <c r="Z45" i="6" s="1"/>
  <c r="Y45" i="6"/>
  <c r="R38" i="4"/>
  <c r="S37" i="4"/>
  <c r="T44" i="6" s="1"/>
  <c r="S44" i="6"/>
  <c r="L299" i="2"/>
  <c r="E286" i="4"/>
  <c r="F293" i="6"/>
  <c r="J293" i="6" s="1"/>
  <c r="Q293" i="6" s="1"/>
  <c r="X39" i="4"/>
  <c r="F48" i="6"/>
  <c r="J48" i="6" s="1"/>
  <c r="Q48" i="6" s="1"/>
  <c r="E51" i="16"/>
  <c r="H50" i="16"/>
  <c r="I50" i="16" s="1"/>
  <c r="D52" i="16"/>
  <c r="G51" i="16"/>
  <c r="C51" i="16"/>
  <c r="F51" i="16" s="1"/>
  <c r="AK85" i="2"/>
  <c r="AL84" i="2"/>
  <c r="D51" i="8"/>
  <c r="N49" i="8"/>
  <c r="G49" i="8"/>
  <c r="AW82" i="2"/>
  <c r="AX82" i="2" s="1"/>
  <c r="X85" i="2"/>
  <c r="Y85" i="2" s="1"/>
  <c r="K51" i="14" l="1"/>
  <c r="I52" i="14"/>
  <c r="J52" i="14"/>
  <c r="L51" i="8"/>
  <c r="E51" i="8"/>
  <c r="T40" i="4"/>
  <c r="U39" i="4"/>
  <c r="Y39" i="4"/>
  <c r="Z46" i="6" s="1"/>
  <c r="Y46" i="6"/>
  <c r="R39" i="4"/>
  <c r="S38" i="4"/>
  <c r="T45" i="6" s="1"/>
  <c r="S45" i="6"/>
  <c r="L300" i="2"/>
  <c r="E287" i="4"/>
  <c r="F294" i="6"/>
  <c r="J294" i="6" s="1"/>
  <c r="Q294" i="6" s="1"/>
  <c r="X40" i="4"/>
  <c r="F49" i="6"/>
  <c r="J49" i="6" s="1"/>
  <c r="Q49" i="6" s="1"/>
  <c r="E42" i="4"/>
  <c r="D53" i="16"/>
  <c r="G52" i="16"/>
  <c r="E52" i="16"/>
  <c r="H51" i="16"/>
  <c r="I51" i="16" s="1"/>
  <c r="C52" i="16"/>
  <c r="F52" i="16" s="1"/>
  <c r="AK86" i="2"/>
  <c r="AL85" i="2"/>
  <c r="D52" i="8"/>
  <c r="N50" i="8"/>
  <c r="G50" i="8"/>
  <c r="AW83" i="2"/>
  <c r="AX83" i="2" s="1"/>
  <c r="X86" i="2"/>
  <c r="Y86" i="2" s="1"/>
  <c r="K52" i="14" l="1"/>
  <c r="I53" i="14"/>
  <c r="J53" i="14"/>
  <c r="L52" i="8"/>
  <c r="E52" i="8"/>
  <c r="T41" i="4"/>
  <c r="U40" i="4"/>
  <c r="Y40" i="4"/>
  <c r="Z47" i="6" s="1"/>
  <c r="Y47" i="6"/>
  <c r="R40" i="4"/>
  <c r="S39" i="4"/>
  <c r="T46" i="6" s="1"/>
  <c r="S46" i="6"/>
  <c r="L301" i="2"/>
  <c r="E288" i="4"/>
  <c r="F295" i="6"/>
  <c r="J295" i="6" s="1"/>
  <c r="Q295" i="6" s="1"/>
  <c r="X41" i="4"/>
  <c r="E53" i="16"/>
  <c r="H52" i="16"/>
  <c r="I52" i="16" s="1"/>
  <c r="D54" i="16"/>
  <c r="G53" i="16"/>
  <c r="C53" i="16"/>
  <c r="AK87" i="2"/>
  <c r="AL86" i="2"/>
  <c r="D53" i="8"/>
  <c r="N51" i="8"/>
  <c r="G51" i="8"/>
  <c r="AW84" i="2"/>
  <c r="AX84" i="2" s="1"/>
  <c r="X87" i="2"/>
  <c r="Y87" i="2" s="1"/>
  <c r="K53" i="14" l="1"/>
  <c r="I54" i="14"/>
  <c r="J54" i="14"/>
  <c r="L53" i="8"/>
  <c r="E53" i="8"/>
  <c r="T42" i="4"/>
  <c r="U41" i="4"/>
  <c r="Y41" i="4"/>
  <c r="Z48" i="6" s="1"/>
  <c r="Y48" i="6"/>
  <c r="R41" i="4"/>
  <c r="S40" i="4"/>
  <c r="T47" i="6" s="1"/>
  <c r="S47" i="6"/>
  <c r="L302" i="2"/>
  <c r="E289" i="4"/>
  <c r="F296" i="6"/>
  <c r="J296" i="6" s="1"/>
  <c r="Q296" i="6" s="1"/>
  <c r="X42" i="4"/>
  <c r="C54" i="16"/>
  <c r="F53" i="16"/>
  <c r="D55" i="16"/>
  <c r="G54" i="16"/>
  <c r="E54" i="16"/>
  <c r="H53" i="16"/>
  <c r="AK88" i="2"/>
  <c r="AL87" i="2"/>
  <c r="D54" i="8"/>
  <c r="N52" i="8"/>
  <c r="G52" i="8"/>
  <c r="AW85" i="2"/>
  <c r="AX85" i="2" s="1"/>
  <c r="X88" i="2"/>
  <c r="Y88" i="2" s="1"/>
  <c r="K54" i="14" l="1"/>
  <c r="I55" i="14"/>
  <c r="J55" i="14"/>
  <c r="L54" i="8"/>
  <c r="E54" i="8"/>
  <c r="T43" i="4"/>
  <c r="U42" i="4"/>
  <c r="Y42" i="4"/>
  <c r="Z49" i="6" s="1"/>
  <c r="Y49" i="6"/>
  <c r="R42" i="4"/>
  <c r="S41" i="4"/>
  <c r="T48" i="6" s="1"/>
  <c r="S48" i="6"/>
  <c r="I53" i="16"/>
  <c r="L303" i="2"/>
  <c r="E290" i="4"/>
  <c r="F297" i="6"/>
  <c r="J297" i="6" s="1"/>
  <c r="Q297" i="6" s="1"/>
  <c r="X43" i="4"/>
  <c r="E55" i="16"/>
  <c r="H54" i="16"/>
  <c r="D56" i="16"/>
  <c r="G55" i="16"/>
  <c r="C55" i="16"/>
  <c r="F54" i="16"/>
  <c r="AK89" i="2"/>
  <c r="AL88" i="2"/>
  <c r="D55" i="8"/>
  <c r="N53" i="8"/>
  <c r="G53" i="8"/>
  <c r="AW86" i="2"/>
  <c r="AX86" i="2" s="1"/>
  <c r="X89" i="2"/>
  <c r="Y89" i="2" s="1"/>
  <c r="K55" i="14" l="1"/>
  <c r="I56" i="14"/>
  <c r="J56" i="14"/>
  <c r="L55" i="8"/>
  <c r="E55" i="8"/>
  <c r="T44" i="4"/>
  <c r="U43" i="4"/>
  <c r="Y43" i="4"/>
  <c r="Z50" i="6" s="1"/>
  <c r="Y50" i="6"/>
  <c r="R43" i="4"/>
  <c r="S42" i="4"/>
  <c r="T49" i="6" s="1"/>
  <c r="S49" i="6"/>
  <c r="L304" i="2"/>
  <c r="E291" i="4"/>
  <c r="F298" i="6"/>
  <c r="J298" i="6" s="1"/>
  <c r="Q298" i="6" s="1"/>
  <c r="X44" i="4"/>
  <c r="I54" i="16"/>
  <c r="C56" i="16"/>
  <c r="F55" i="16"/>
  <c r="D57" i="16"/>
  <c r="G56" i="16"/>
  <c r="E56" i="16"/>
  <c r="H55" i="16"/>
  <c r="I55" i="16" s="1"/>
  <c r="AK90" i="2"/>
  <c r="AL89" i="2"/>
  <c r="D56" i="8"/>
  <c r="N54" i="8"/>
  <c r="G54" i="8"/>
  <c r="AW87" i="2"/>
  <c r="AX87" i="2" s="1"/>
  <c r="X90" i="2"/>
  <c r="Y90" i="2" s="1"/>
  <c r="K56" i="14" l="1"/>
  <c r="I57" i="14"/>
  <c r="J57" i="14"/>
  <c r="L56" i="8"/>
  <c r="E56" i="8"/>
  <c r="T45" i="4"/>
  <c r="U44" i="4"/>
  <c r="Y44" i="4"/>
  <c r="Z51" i="6" s="1"/>
  <c r="Y51" i="6"/>
  <c r="R44" i="4"/>
  <c r="S51" i="6" s="1"/>
  <c r="S43" i="4"/>
  <c r="T50" i="6" s="1"/>
  <c r="S50" i="6"/>
  <c r="L305" i="2"/>
  <c r="E292" i="4"/>
  <c r="F299" i="6"/>
  <c r="J299" i="6" s="1"/>
  <c r="Q299" i="6" s="1"/>
  <c r="X45" i="4"/>
  <c r="E57" i="16"/>
  <c r="H56" i="16"/>
  <c r="D58" i="16"/>
  <c r="G57" i="16"/>
  <c r="C57" i="16"/>
  <c r="F56" i="16"/>
  <c r="AK91" i="2"/>
  <c r="AL90" i="2"/>
  <c r="D57" i="8"/>
  <c r="N55" i="8"/>
  <c r="G55" i="8"/>
  <c r="AW88" i="2"/>
  <c r="AX88" i="2" s="1"/>
  <c r="X91" i="2"/>
  <c r="Y91" i="2" s="1"/>
  <c r="K57" i="14" l="1"/>
  <c r="I58" i="14"/>
  <c r="J58" i="14"/>
  <c r="L57" i="8"/>
  <c r="E57" i="8"/>
  <c r="T46" i="4"/>
  <c r="U45" i="4"/>
  <c r="Y45" i="4"/>
  <c r="Z52" i="6" s="1"/>
  <c r="Y52" i="6"/>
  <c r="R45" i="4"/>
  <c r="S44" i="4"/>
  <c r="T51" i="6" s="1"/>
  <c r="L306" i="2"/>
  <c r="E293" i="4"/>
  <c r="F300" i="6"/>
  <c r="J300" i="6" s="1"/>
  <c r="Q300" i="6" s="1"/>
  <c r="X46" i="4"/>
  <c r="I56" i="16"/>
  <c r="C58" i="16"/>
  <c r="F57" i="16"/>
  <c r="D59" i="16"/>
  <c r="G58" i="16"/>
  <c r="E58" i="16"/>
  <c r="H57" i="16"/>
  <c r="I57" i="16" s="1"/>
  <c r="AK92" i="2"/>
  <c r="AL91" i="2"/>
  <c r="D58" i="8"/>
  <c r="N56" i="8"/>
  <c r="G56" i="8"/>
  <c r="AW89" i="2"/>
  <c r="AX89" i="2" s="1"/>
  <c r="X92" i="2"/>
  <c r="Y92" i="2" s="1"/>
  <c r="K58" i="14" l="1"/>
  <c r="I59" i="14"/>
  <c r="J59" i="14"/>
  <c r="L58" i="8"/>
  <c r="E58" i="8"/>
  <c r="T47" i="4"/>
  <c r="U46" i="4"/>
  <c r="Y46" i="4"/>
  <c r="Z53" i="6" s="1"/>
  <c r="Y53" i="6"/>
  <c r="R46" i="4"/>
  <c r="S45" i="4"/>
  <c r="T52" i="6" s="1"/>
  <c r="S52" i="6"/>
  <c r="L307" i="2"/>
  <c r="E294" i="4"/>
  <c r="F301" i="6"/>
  <c r="J301" i="6" s="1"/>
  <c r="Q301" i="6" s="1"/>
  <c r="X47" i="4"/>
  <c r="E59" i="16"/>
  <c r="H58" i="16"/>
  <c r="D60" i="16"/>
  <c r="G59" i="16"/>
  <c r="C59" i="16"/>
  <c r="F58" i="16"/>
  <c r="AK93" i="2"/>
  <c r="AL92" i="2"/>
  <c r="D59" i="8"/>
  <c r="N57" i="8"/>
  <c r="G57" i="8"/>
  <c r="AW90" i="2"/>
  <c r="AX90" i="2" s="1"/>
  <c r="X93" i="2"/>
  <c r="Y93" i="2" s="1"/>
  <c r="K59" i="14" l="1"/>
  <c r="I60" i="14"/>
  <c r="J60" i="14"/>
  <c r="L59" i="8"/>
  <c r="E59" i="8"/>
  <c r="T48" i="4"/>
  <c r="U47" i="4"/>
  <c r="Y47" i="4"/>
  <c r="Z54" i="6" s="1"/>
  <c r="Y54" i="6"/>
  <c r="R47" i="4"/>
  <c r="S46" i="4"/>
  <c r="T53" i="6" s="1"/>
  <c r="S53" i="6"/>
  <c r="L308" i="2"/>
  <c r="E295" i="4"/>
  <c r="F302" i="6"/>
  <c r="J302" i="6" s="1"/>
  <c r="Q302" i="6" s="1"/>
  <c r="X48" i="4"/>
  <c r="I58" i="16"/>
  <c r="C60" i="16"/>
  <c r="F59" i="16"/>
  <c r="D61" i="16"/>
  <c r="G60" i="16"/>
  <c r="E60" i="16"/>
  <c r="H59" i="16"/>
  <c r="I59" i="16" s="1"/>
  <c r="AK94" i="2"/>
  <c r="AL93" i="2"/>
  <c r="D60" i="8"/>
  <c r="N58" i="8"/>
  <c r="G58" i="8"/>
  <c r="AW91" i="2"/>
  <c r="AX91" i="2" s="1"/>
  <c r="X94" i="2"/>
  <c r="Y94" i="2" s="1"/>
  <c r="K60" i="14" l="1"/>
  <c r="I61" i="14"/>
  <c r="J61" i="14"/>
  <c r="L60" i="8"/>
  <c r="E60" i="8"/>
  <c r="T49" i="4"/>
  <c r="U48" i="4"/>
  <c r="Y48" i="4"/>
  <c r="Z55" i="6" s="1"/>
  <c r="Y55" i="6"/>
  <c r="R48" i="4"/>
  <c r="S47" i="4"/>
  <c r="T54" i="6" s="1"/>
  <c r="S54" i="6"/>
  <c r="L309" i="2"/>
  <c r="E296" i="4"/>
  <c r="F303" i="6"/>
  <c r="J303" i="6" s="1"/>
  <c r="Q303" i="6" s="1"/>
  <c r="X49" i="4"/>
  <c r="E61" i="16"/>
  <c r="H60" i="16"/>
  <c r="D62" i="16"/>
  <c r="G61" i="16"/>
  <c r="C61" i="16"/>
  <c r="F60" i="16"/>
  <c r="AK95" i="2"/>
  <c r="AL94" i="2"/>
  <c r="D61" i="8"/>
  <c r="N59" i="8"/>
  <c r="G59" i="8"/>
  <c r="AW92" i="2"/>
  <c r="AX92" i="2" s="1"/>
  <c r="X95" i="2"/>
  <c r="Y95" i="2" s="1"/>
  <c r="K61" i="14" l="1"/>
  <c r="I62" i="14"/>
  <c r="J62" i="14"/>
  <c r="L61" i="8"/>
  <c r="E61" i="8"/>
  <c r="T50" i="4"/>
  <c r="U49" i="4"/>
  <c r="Y49" i="4"/>
  <c r="Z56" i="6" s="1"/>
  <c r="Y56" i="6"/>
  <c r="R49" i="4"/>
  <c r="S48" i="4"/>
  <c r="T55" i="6" s="1"/>
  <c r="S55" i="6"/>
  <c r="L310" i="2"/>
  <c r="E297" i="4"/>
  <c r="F304" i="6"/>
  <c r="J304" i="6" s="1"/>
  <c r="Q304" i="6" s="1"/>
  <c r="X50" i="4"/>
  <c r="I60" i="16"/>
  <c r="C62" i="16"/>
  <c r="F61" i="16"/>
  <c r="D63" i="16"/>
  <c r="G62" i="16"/>
  <c r="E62" i="16"/>
  <c r="H61" i="16"/>
  <c r="I61" i="16" s="1"/>
  <c r="AK96" i="2"/>
  <c r="AL95" i="2"/>
  <c r="D62" i="8"/>
  <c r="N60" i="8"/>
  <c r="G60" i="8"/>
  <c r="AW93" i="2"/>
  <c r="AX93" i="2" s="1"/>
  <c r="X96" i="2"/>
  <c r="Y96" i="2" s="1"/>
  <c r="K62" i="14" l="1"/>
  <c r="I63" i="14"/>
  <c r="J63" i="14"/>
  <c r="L62" i="8"/>
  <c r="E62" i="8"/>
  <c r="T51" i="4"/>
  <c r="U50" i="4"/>
  <c r="Y50" i="4"/>
  <c r="Z57" i="6" s="1"/>
  <c r="Y57" i="6"/>
  <c r="R50" i="4"/>
  <c r="S49" i="4"/>
  <c r="T56" i="6" s="1"/>
  <c r="S56" i="6"/>
  <c r="L311" i="2"/>
  <c r="E298" i="4"/>
  <c r="F305" i="6"/>
  <c r="J305" i="6" s="1"/>
  <c r="Q305" i="6" s="1"/>
  <c r="X51" i="4"/>
  <c r="E63" i="16"/>
  <c r="H62" i="16"/>
  <c r="D64" i="16"/>
  <c r="G63" i="16"/>
  <c r="C63" i="16"/>
  <c r="F62" i="16"/>
  <c r="AK97" i="2"/>
  <c r="AL96" i="2"/>
  <c r="D63" i="8"/>
  <c r="N61" i="8"/>
  <c r="G61" i="8"/>
  <c r="AW94" i="2"/>
  <c r="AX94" i="2" s="1"/>
  <c r="X97" i="2"/>
  <c r="Y97" i="2" s="1"/>
  <c r="K63" i="14" l="1"/>
  <c r="I64" i="14"/>
  <c r="J64" i="14"/>
  <c r="L63" i="8"/>
  <c r="E63" i="8"/>
  <c r="T52" i="4"/>
  <c r="U51" i="4"/>
  <c r="Y51" i="4"/>
  <c r="Z58" i="6" s="1"/>
  <c r="Y58" i="6"/>
  <c r="R51" i="4"/>
  <c r="S50" i="4"/>
  <c r="T57" i="6" s="1"/>
  <c r="S57" i="6"/>
  <c r="L312" i="2"/>
  <c r="E299" i="4"/>
  <c r="F306" i="6"/>
  <c r="J306" i="6" s="1"/>
  <c r="Q306" i="6" s="1"/>
  <c r="X52" i="4"/>
  <c r="I62" i="16"/>
  <c r="C64" i="16"/>
  <c r="F63" i="16"/>
  <c r="D65" i="16"/>
  <c r="G64" i="16"/>
  <c r="E64" i="16"/>
  <c r="H63" i="16"/>
  <c r="AK98" i="2"/>
  <c r="AL97" i="2"/>
  <c r="D64" i="8"/>
  <c r="N62" i="8"/>
  <c r="G62" i="8"/>
  <c r="AW95" i="2"/>
  <c r="AX95" i="2" s="1"/>
  <c r="X98" i="2"/>
  <c r="Y98" i="2" s="1"/>
  <c r="K64" i="14" l="1"/>
  <c r="I65" i="14"/>
  <c r="J65" i="14"/>
  <c r="L64" i="8"/>
  <c r="E64" i="8"/>
  <c r="I63" i="16"/>
  <c r="T53" i="4"/>
  <c r="U52" i="4"/>
  <c r="Y52" i="4"/>
  <c r="Z59" i="6" s="1"/>
  <c r="Y59" i="6"/>
  <c r="R52" i="4"/>
  <c r="S51" i="4"/>
  <c r="T58" i="6" s="1"/>
  <c r="S58" i="6"/>
  <c r="L313" i="2"/>
  <c r="E300" i="4"/>
  <c r="F307" i="6"/>
  <c r="J307" i="6" s="1"/>
  <c r="Q307" i="6" s="1"/>
  <c r="X53" i="4"/>
  <c r="E65" i="16"/>
  <c r="H64" i="16"/>
  <c r="D66" i="16"/>
  <c r="G65" i="16"/>
  <c r="C65" i="16"/>
  <c r="F64" i="16"/>
  <c r="AK99" i="2"/>
  <c r="AL98" i="2"/>
  <c r="D65" i="8"/>
  <c r="N63" i="8"/>
  <c r="G63" i="8"/>
  <c r="AW96" i="2"/>
  <c r="AX96" i="2" s="1"/>
  <c r="X99" i="2"/>
  <c r="Y99" i="2" s="1"/>
  <c r="K65" i="14" l="1"/>
  <c r="I66" i="14"/>
  <c r="J66" i="14"/>
  <c r="L65" i="8"/>
  <c r="E65" i="8"/>
  <c r="T54" i="4"/>
  <c r="U53" i="4"/>
  <c r="Y53" i="4"/>
  <c r="Z60" i="6" s="1"/>
  <c r="Y60" i="6"/>
  <c r="R53" i="4"/>
  <c r="S52" i="4"/>
  <c r="T59" i="6" s="1"/>
  <c r="S59" i="6"/>
  <c r="L314" i="2"/>
  <c r="E301" i="4"/>
  <c r="F308" i="6"/>
  <c r="J308" i="6" s="1"/>
  <c r="Q308" i="6" s="1"/>
  <c r="X54" i="4"/>
  <c r="I64" i="16"/>
  <c r="C66" i="16"/>
  <c r="F65" i="16"/>
  <c r="D67" i="16"/>
  <c r="G66" i="16"/>
  <c r="E66" i="16"/>
  <c r="H65" i="16"/>
  <c r="AK100" i="2"/>
  <c r="AL99" i="2"/>
  <c r="D66" i="8"/>
  <c r="N64" i="8"/>
  <c r="G64" i="8"/>
  <c r="AW97" i="2"/>
  <c r="AX97" i="2" s="1"/>
  <c r="X100" i="2"/>
  <c r="Y100" i="2" s="1"/>
  <c r="K66" i="14" l="1"/>
  <c r="I67" i="14"/>
  <c r="J67" i="14"/>
  <c r="L66" i="8"/>
  <c r="E66" i="8"/>
  <c r="T55" i="4"/>
  <c r="U54" i="4"/>
  <c r="Y54" i="4"/>
  <c r="Z61" i="6" s="1"/>
  <c r="Y61" i="6"/>
  <c r="R54" i="4"/>
  <c r="S53" i="4"/>
  <c r="T60" i="6" s="1"/>
  <c r="S60" i="6"/>
  <c r="I65" i="16"/>
  <c r="L315" i="2"/>
  <c r="E302" i="4"/>
  <c r="F309" i="6"/>
  <c r="J309" i="6" s="1"/>
  <c r="Q309" i="6" s="1"/>
  <c r="X55" i="4"/>
  <c r="E67" i="16"/>
  <c r="H66" i="16"/>
  <c r="D68" i="16"/>
  <c r="G67" i="16"/>
  <c r="C67" i="16"/>
  <c r="F66" i="16"/>
  <c r="AK101" i="2"/>
  <c r="AL100" i="2"/>
  <c r="N65" i="8"/>
  <c r="G65" i="8"/>
  <c r="D67" i="8"/>
  <c r="AW98" i="2"/>
  <c r="AX98" i="2" s="1"/>
  <c r="X101" i="2"/>
  <c r="Y101" i="2" s="1"/>
  <c r="K67" i="14" l="1"/>
  <c r="I68" i="14"/>
  <c r="J68" i="14"/>
  <c r="L67" i="8"/>
  <c r="E67" i="8"/>
  <c r="T56" i="4"/>
  <c r="U55" i="4"/>
  <c r="Y55" i="4"/>
  <c r="Z62" i="6" s="1"/>
  <c r="Y62" i="6"/>
  <c r="R55" i="4"/>
  <c r="S54" i="4"/>
  <c r="T61" i="6" s="1"/>
  <c r="S61" i="6"/>
  <c r="L316" i="2"/>
  <c r="E303" i="4"/>
  <c r="F310" i="6"/>
  <c r="J310" i="6" s="1"/>
  <c r="Q310" i="6" s="1"/>
  <c r="X56" i="4"/>
  <c r="I66" i="16"/>
  <c r="C68" i="16"/>
  <c r="F67" i="16"/>
  <c r="D69" i="16"/>
  <c r="G68" i="16"/>
  <c r="E68" i="16"/>
  <c r="H67" i="16"/>
  <c r="I67" i="16" s="1"/>
  <c r="AK102" i="2"/>
  <c r="AL101" i="2"/>
  <c r="D68" i="8"/>
  <c r="N66" i="8"/>
  <c r="G66" i="8"/>
  <c r="AW99" i="2"/>
  <c r="AX99" i="2" s="1"/>
  <c r="X102" i="2"/>
  <c r="Y102" i="2" s="1"/>
  <c r="K68" i="14" l="1"/>
  <c r="I69" i="14"/>
  <c r="J69" i="14"/>
  <c r="L68" i="8"/>
  <c r="E68" i="8"/>
  <c r="T57" i="4"/>
  <c r="U56" i="4"/>
  <c r="Y56" i="4"/>
  <c r="Z63" i="6" s="1"/>
  <c r="Y63" i="6"/>
  <c r="R56" i="4"/>
  <c r="S55" i="4"/>
  <c r="T62" i="6" s="1"/>
  <c r="S62" i="6"/>
  <c r="L317" i="2"/>
  <c r="E304" i="4"/>
  <c r="F311" i="6"/>
  <c r="J311" i="6" s="1"/>
  <c r="Q311" i="6" s="1"/>
  <c r="X57" i="4"/>
  <c r="E69" i="16"/>
  <c r="H68" i="16"/>
  <c r="D70" i="16"/>
  <c r="G69" i="16"/>
  <c r="C69" i="16"/>
  <c r="F68" i="16"/>
  <c r="AK103" i="2"/>
  <c r="AL102" i="2"/>
  <c r="D69" i="8"/>
  <c r="N67" i="8"/>
  <c r="G67" i="8"/>
  <c r="AW100" i="2"/>
  <c r="AX100" i="2" s="1"/>
  <c r="X103" i="2"/>
  <c r="Y103" i="2" s="1"/>
  <c r="K69" i="14" l="1"/>
  <c r="I70" i="14"/>
  <c r="J70" i="14"/>
  <c r="L69" i="8"/>
  <c r="E69" i="8"/>
  <c r="T58" i="4"/>
  <c r="U57" i="4"/>
  <c r="Y57" i="4"/>
  <c r="Z64" i="6" s="1"/>
  <c r="Y64" i="6"/>
  <c r="R57" i="4"/>
  <c r="S56" i="4"/>
  <c r="T63" i="6" s="1"/>
  <c r="S63" i="6"/>
  <c r="L318" i="2"/>
  <c r="E305" i="4"/>
  <c r="F312" i="6"/>
  <c r="J312" i="6" s="1"/>
  <c r="Q312" i="6" s="1"/>
  <c r="X58" i="4"/>
  <c r="I68" i="16"/>
  <c r="C70" i="16"/>
  <c r="F69" i="16"/>
  <c r="D71" i="16"/>
  <c r="G70" i="16"/>
  <c r="E70" i="16"/>
  <c r="H69" i="16"/>
  <c r="AK104" i="2"/>
  <c r="AL103" i="2"/>
  <c r="D70" i="8"/>
  <c r="N68" i="8"/>
  <c r="G68" i="8"/>
  <c r="AW101" i="2"/>
  <c r="AX101" i="2" s="1"/>
  <c r="X104" i="2"/>
  <c r="Y104" i="2" s="1"/>
  <c r="K70" i="14" l="1"/>
  <c r="I71" i="14"/>
  <c r="J71" i="14"/>
  <c r="L70" i="8"/>
  <c r="E70" i="8"/>
  <c r="I69" i="16"/>
  <c r="T59" i="4"/>
  <c r="U58" i="4"/>
  <c r="Y58" i="4"/>
  <c r="Z65" i="6" s="1"/>
  <c r="Y65" i="6"/>
  <c r="R58" i="4"/>
  <c r="S57" i="4"/>
  <c r="T64" i="6" s="1"/>
  <c r="S64" i="6"/>
  <c r="L319" i="2"/>
  <c r="E306" i="4"/>
  <c r="F313" i="6"/>
  <c r="J313" i="6" s="1"/>
  <c r="Q313" i="6" s="1"/>
  <c r="X59" i="4"/>
  <c r="E71" i="16"/>
  <c r="H70" i="16"/>
  <c r="D72" i="16"/>
  <c r="G71" i="16"/>
  <c r="C71" i="16"/>
  <c r="F70" i="16"/>
  <c r="AK105" i="2"/>
  <c r="AL104" i="2"/>
  <c r="D71" i="8"/>
  <c r="N69" i="8"/>
  <c r="G69" i="8"/>
  <c r="AW102" i="2"/>
  <c r="AX102" i="2" s="1"/>
  <c r="X105" i="2"/>
  <c r="Y105" i="2" s="1"/>
  <c r="K71" i="14" l="1"/>
  <c r="I72" i="14"/>
  <c r="J72" i="14"/>
  <c r="L71" i="8"/>
  <c r="E71" i="8"/>
  <c r="T60" i="4"/>
  <c r="U59" i="4"/>
  <c r="Y59" i="4"/>
  <c r="Z66" i="6" s="1"/>
  <c r="Y66" i="6"/>
  <c r="R59" i="4"/>
  <c r="S58" i="4"/>
  <c r="T65" i="6" s="1"/>
  <c r="S65" i="6"/>
  <c r="L320" i="2"/>
  <c r="E307" i="4"/>
  <c r="F314" i="6"/>
  <c r="J314" i="6" s="1"/>
  <c r="Q314" i="6" s="1"/>
  <c r="X60" i="4"/>
  <c r="I70" i="16"/>
  <c r="C72" i="16"/>
  <c r="F71" i="16"/>
  <c r="D73" i="16"/>
  <c r="G72" i="16"/>
  <c r="E72" i="16"/>
  <c r="H71" i="16"/>
  <c r="AK106" i="2"/>
  <c r="AL105" i="2"/>
  <c r="D72" i="8"/>
  <c r="N70" i="8"/>
  <c r="G70" i="8"/>
  <c r="AW103" i="2"/>
  <c r="AX103" i="2" s="1"/>
  <c r="X106" i="2"/>
  <c r="Y106" i="2" s="1"/>
  <c r="K72" i="14" l="1"/>
  <c r="I73" i="14"/>
  <c r="J73" i="14"/>
  <c r="L72" i="8"/>
  <c r="E72" i="8"/>
  <c r="I71" i="16"/>
  <c r="T61" i="4"/>
  <c r="U60" i="4"/>
  <c r="Y60" i="4"/>
  <c r="Z67" i="6" s="1"/>
  <c r="Y67" i="6"/>
  <c r="R60" i="4"/>
  <c r="S59" i="4"/>
  <c r="T66" i="6" s="1"/>
  <c r="S66" i="6"/>
  <c r="L321" i="2"/>
  <c r="E308" i="4"/>
  <c r="F315" i="6"/>
  <c r="J315" i="6" s="1"/>
  <c r="Q315" i="6" s="1"/>
  <c r="X61" i="4"/>
  <c r="E73" i="16"/>
  <c r="H72" i="16"/>
  <c r="D74" i="16"/>
  <c r="G73" i="16"/>
  <c r="C73" i="16"/>
  <c r="F72" i="16"/>
  <c r="AK107" i="2"/>
  <c r="AL106" i="2"/>
  <c r="D73" i="8"/>
  <c r="N71" i="8"/>
  <c r="G71" i="8"/>
  <c r="AW104" i="2"/>
  <c r="AX104" i="2" s="1"/>
  <c r="X107" i="2"/>
  <c r="Y107" i="2" s="1"/>
  <c r="K73" i="14" l="1"/>
  <c r="I74" i="14"/>
  <c r="J74" i="14"/>
  <c r="L73" i="8"/>
  <c r="E73" i="8"/>
  <c r="T62" i="4"/>
  <c r="U61" i="4"/>
  <c r="Y61" i="4"/>
  <c r="Z68" i="6" s="1"/>
  <c r="Y68" i="6"/>
  <c r="R61" i="4"/>
  <c r="S60" i="4"/>
  <c r="T67" i="6" s="1"/>
  <c r="S67" i="6"/>
  <c r="L322" i="2"/>
  <c r="E309" i="4"/>
  <c r="F316" i="6"/>
  <c r="J316" i="6" s="1"/>
  <c r="Q316" i="6" s="1"/>
  <c r="X62" i="4"/>
  <c r="I72" i="16"/>
  <c r="C74" i="16"/>
  <c r="F73" i="16"/>
  <c r="D75" i="16"/>
  <c r="G74" i="16"/>
  <c r="E74" i="16"/>
  <c r="H73" i="16"/>
  <c r="I73" i="16" s="1"/>
  <c r="AK108" i="2"/>
  <c r="AL107" i="2"/>
  <c r="D74" i="8"/>
  <c r="N72" i="8"/>
  <c r="G72" i="8"/>
  <c r="AW105" i="2"/>
  <c r="AX105" i="2" s="1"/>
  <c r="X108" i="2"/>
  <c r="Y108" i="2" s="1"/>
  <c r="K74" i="14" l="1"/>
  <c r="I75" i="14"/>
  <c r="J75" i="14"/>
  <c r="L74" i="8"/>
  <c r="E74" i="8"/>
  <c r="T63" i="4"/>
  <c r="U62" i="4"/>
  <c r="Y62" i="4"/>
  <c r="Z69" i="6" s="1"/>
  <c r="Y69" i="6"/>
  <c r="R62" i="4"/>
  <c r="S61" i="4"/>
  <c r="T68" i="6" s="1"/>
  <c r="S68" i="6"/>
  <c r="L323" i="2"/>
  <c r="E310" i="4"/>
  <c r="F317" i="6"/>
  <c r="J317" i="6" s="1"/>
  <c r="Q317" i="6" s="1"/>
  <c r="X63" i="4"/>
  <c r="E75" i="16"/>
  <c r="H74" i="16"/>
  <c r="D76" i="16"/>
  <c r="G75" i="16"/>
  <c r="C75" i="16"/>
  <c r="F74" i="16"/>
  <c r="AK109" i="2"/>
  <c r="AL108" i="2"/>
  <c r="D75" i="8"/>
  <c r="N73" i="8"/>
  <c r="G73" i="8"/>
  <c r="AW106" i="2"/>
  <c r="AX106" i="2" s="1"/>
  <c r="X109" i="2"/>
  <c r="Y109" i="2" s="1"/>
  <c r="K75" i="14" l="1"/>
  <c r="I76" i="14"/>
  <c r="J76" i="14"/>
  <c r="L75" i="8"/>
  <c r="E75" i="8"/>
  <c r="T64" i="4"/>
  <c r="U63" i="4"/>
  <c r="Y63" i="4"/>
  <c r="Z70" i="6" s="1"/>
  <c r="Y70" i="6"/>
  <c r="R63" i="4"/>
  <c r="S62" i="4"/>
  <c r="T69" i="6" s="1"/>
  <c r="S69" i="6"/>
  <c r="L324" i="2"/>
  <c r="E311" i="4"/>
  <c r="F318" i="6"/>
  <c r="J318" i="6" s="1"/>
  <c r="Q318" i="6" s="1"/>
  <c r="X64" i="4"/>
  <c r="I74" i="16"/>
  <c r="C76" i="16"/>
  <c r="F75" i="16"/>
  <c r="D77" i="16"/>
  <c r="G76" i="16"/>
  <c r="E76" i="16"/>
  <c r="H75" i="16"/>
  <c r="I75" i="16" s="1"/>
  <c r="AK110" i="2"/>
  <c r="AL109" i="2"/>
  <c r="N74" i="8"/>
  <c r="G74" i="8"/>
  <c r="AW107" i="2"/>
  <c r="AX107" i="2" s="1"/>
  <c r="X110" i="2"/>
  <c r="Y110" i="2" s="1"/>
  <c r="K76" i="14" l="1"/>
  <c r="I77" i="14"/>
  <c r="J77" i="14"/>
  <c r="T65" i="4"/>
  <c r="U64" i="4"/>
  <c r="Y64" i="4"/>
  <c r="Z71" i="6" s="1"/>
  <c r="Y71" i="6"/>
  <c r="R64" i="4"/>
  <c r="S63" i="4"/>
  <c r="T70" i="6" s="1"/>
  <c r="S70" i="6"/>
  <c r="L325" i="2"/>
  <c r="E312" i="4"/>
  <c r="F319" i="6"/>
  <c r="J319" i="6" s="1"/>
  <c r="Q319" i="6" s="1"/>
  <c r="X65" i="4"/>
  <c r="E77" i="16"/>
  <c r="H76" i="16"/>
  <c r="D78" i="16"/>
  <c r="G77" i="16"/>
  <c r="C77" i="16"/>
  <c r="F76" i="16"/>
  <c r="AK111" i="2"/>
  <c r="AL110" i="2"/>
  <c r="N75" i="8"/>
  <c r="G75" i="8"/>
  <c r="AW108" i="2"/>
  <c r="AX108" i="2" s="1"/>
  <c r="X111" i="2"/>
  <c r="Y111" i="2" s="1"/>
  <c r="K77" i="14" l="1"/>
  <c r="I78" i="14"/>
  <c r="J78" i="14"/>
  <c r="T66" i="4"/>
  <c r="U65" i="4"/>
  <c r="Y65" i="4"/>
  <c r="Z72" i="6" s="1"/>
  <c r="Y72" i="6"/>
  <c r="R65" i="4"/>
  <c r="S64" i="4"/>
  <c r="T71" i="6" s="1"/>
  <c r="S71" i="6"/>
  <c r="L326" i="2"/>
  <c r="E313" i="4"/>
  <c r="F320" i="6"/>
  <c r="J320" i="6" s="1"/>
  <c r="Q320" i="6" s="1"/>
  <c r="X66" i="4"/>
  <c r="I76" i="16"/>
  <c r="C78" i="16"/>
  <c r="F77" i="16"/>
  <c r="D79" i="16"/>
  <c r="G78" i="16"/>
  <c r="E78" i="16"/>
  <c r="H77" i="16"/>
  <c r="AK112" i="2"/>
  <c r="AL111" i="2"/>
  <c r="AW109" i="2"/>
  <c r="AX109" i="2" s="1"/>
  <c r="X112" i="2"/>
  <c r="Y112" i="2" s="1"/>
  <c r="K78" i="14" l="1"/>
  <c r="I79" i="14"/>
  <c r="J79" i="14"/>
  <c r="I77" i="16"/>
  <c r="T67" i="4"/>
  <c r="U66" i="4"/>
  <c r="Y66" i="4"/>
  <c r="Z73" i="6" s="1"/>
  <c r="Y73" i="6"/>
  <c r="S65" i="4"/>
  <c r="T72" i="6" s="1"/>
  <c r="R66" i="4"/>
  <c r="S72" i="6"/>
  <c r="L327" i="2"/>
  <c r="E314" i="4"/>
  <c r="F321" i="6"/>
  <c r="J321" i="6" s="1"/>
  <c r="Q321" i="6" s="1"/>
  <c r="X67" i="4"/>
  <c r="E79" i="16"/>
  <c r="H78" i="16"/>
  <c r="D80" i="16"/>
  <c r="G79" i="16"/>
  <c r="C79" i="16"/>
  <c r="F78" i="16"/>
  <c r="AK113" i="2"/>
  <c r="AL112" i="2"/>
  <c r="AW110" i="2"/>
  <c r="AX110" i="2" s="1"/>
  <c r="X113" i="2"/>
  <c r="Y113" i="2" s="1"/>
  <c r="K79" i="14" l="1"/>
  <c r="I80" i="14"/>
  <c r="J80" i="14"/>
  <c r="T68" i="4"/>
  <c r="U67" i="4"/>
  <c r="Y67" i="4"/>
  <c r="Z74" i="6" s="1"/>
  <c r="Y74" i="6"/>
  <c r="S66" i="4"/>
  <c r="T73" i="6" s="1"/>
  <c r="R67" i="4"/>
  <c r="S73" i="6"/>
  <c r="L328" i="2"/>
  <c r="E315" i="4"/>
  <c r="F322" i="6"/>
  <c r="J322" i="6" s="1"/>
  <c r="Q322" i="6" s="1"/>
  <c r="X68" i="4"/>
  <c r="I78" i="16"/>
  <c r="C80" i="16"/>
  <c r="F79" i="16"/>
  <c r="D81" i="16"/>
  <c r="G80" i="16"/>
  <c r="E80" i="16"/>
  <c r="H79" i="16"/>
  <c r="I79" i="16" s="1"/>
  <c r="AK114" i="2"/>
  <c r="AL113" i="2"/>
  <c r="AW111" i="2"/>
  <c r="AX111" i="2" s="1"/>
  <c r="X114" i="2"/>
  <c r="Y114" i="2" s="1"/>
  <c r="K80" i="14" l="1"/>
  <c r="I81" i="14"/>
  <c r="J81" i="14"/>
  <c r="T69" i="4"/>
  <c r="U68" i="4"/>
  <c r="Y68" i="4"/>
  <c r="Z75" i="6" s="1"/>
  <c r="Y75" i="6"/>
  <c r="R68" i="4"/>
  <c r="S67" i="4"/>
  <c r="T74" i="6" s="1"/>
  <c r="S74" i="6"/>
  <c r="L329" i="2"/>
  <c r="E316" i="4"/>
  <c r="F323" i="6"/>
  <c r="J323" i="6" s="1"/>
  <c r="Q323" i="6" s="1"/>
  <c r="X69" i="4"/>
  <c r="E81" i="16"/>
  <c r="H80" i="16"/>
  <c r="D82" i="16"/>
  <c r="G81" i="16"/>
  <c r="C81" i="16"/>
  <c r="F80" i="16"/>
  <c r="AK115" i="2"/>
  <c r="AL114" i="2"/>
  <c r="AW112" i="2"/>
  <c r="AX112" i="2" s="1"/>
  <c r="X115" i="2"/>
  <c r="Y115" i="2" s="1"/>
  <c r="K81" i="14" l="1"/>
  <c r="I82" i="14"/>
  <c r="J82" i="14"/>
  <c r="T70" i="4"/>
  <c r="U69" i="4"/>
  <c r="Y69" i="4"/>
  <c r="Z76" i="6" s="1"/>
  <c r="Y76" i="6"/>
  <c r="S68" i="4"/>
  <c r="T75" i="6" s="1"/>
  <c r="R69" i="4"/>
  <c r="S75" i="6"/>
  <c r="L330" i="2"/>
  <c r="E317" i="4"/>
  <c r="F324" i="6"/>
  <c r="J324" i="6" s="1"/>
  <c r="Q324" i="6" s="1"/>
  <c r="X70" i="4"/>
  <c r="I80" i="16"/>
  <c r="C82" i="16"/>
  <c r="F81" i="16"/>
  <c r="D83" i="16"/>
  <c r="G82" i="16"/>
  <c r="E82" i="16"/>
  <c r="H81" i="16"/>
  <c r="AK116" i="2"/>
  <c r="AL115" i="2"/>
  <c r="AW113" i="2"/>
  <c r="AX113" i="2" s="1"/>
  <c r="X116" i="2"/>
  <c r="Y116" i="2" s="1"/>
  <c r="K82" i="14" l="1"/>
  <c r="I83" i="14"/>
  <c r="J83" i="14"/>
  <c r="I81" i="16"/>
  <c r="T71" i="4"/>
  <c r="U70" i="4"/>
  <c r="Y70" i="4"/>
  <c r="Z77" i="6" s="1"/>
  <c r="Y77" i="6"/>
  <c r="R70" i="4"/>
  <c r="S69" i="4"/>
  <c r="T76" i="6" s="1"/>
  <c r="S76" i="6"/>
  <c r="E318" i="4"/>
  <c r="F325" i="6"/>
  <c r="J325" i="6" s="1"/>
  <c r="Q325" i="6" s="1"/>
  <c r="L331" i="2"/>
  <c r="X71" i="4"/>
  <c r="E83" i="16"/>
  <c r="H82" i="16"/>
  <c r="D84" i="16"/>
  <c r="G83" i="16"/>
  <c r="C83" i="16"/>
  <c r="F82" i="16"/>
  <c r="AK117" i="2"/>
  <c r="AL116" i="2"/>
  <c r="AW114" i="2"/>
  <c r="AX114" i="2" s="1"/>
  <c r="X117" i="2"/>
  <c r="Y117" i="2" s="1"/>
  <c r="K83" i="14" l="1"/>
  <c r="I84" i="14"/>
  <c r="J84" i="14"/>
  <c r="T72" i="4"/>
  <c r="U71" i="4"/>
  <c r="Y71" i="4"/>
  <c r="Z78" i="6" s="1"/>
  <c r="Y78" i="6"/>
  <c r="S70" i="4"/>
  <c r="T77" i="6" s="1"/>
  <c r="R71" i="4"/>
  <c r="S77" i="6"/>
  <c r="F326" i="6"/>
  <c r="J326" i="6" s="1"/>
  <c r="Q326" i="6" s="1"/>
  <c r="L332" i="2"/>
  <c r="E319" i="4"/>
  <c r="X72" i="4"/>
  <c r="I82" i="16"/>
  <c r="C84" i="16"/>
  <c r="F83" i="16"/>
  <c r="D85" i="16"/>
  <c r="G84" i="16"/>
  <c r="E84" i="16"/>
  <c r="H83" i="16"/>
  <c r="AK118" i="2"/>
  <c r="AL117" i="2"/>
  <c r="AW115" i="2"/>
  <c r="AX115" i="2" s="1"/>
  <c r="X118" i="2"/>
  <c r="Y118" i="2" s="1"/>
  <c r="K84" i="14" l="1"/>
  <c r="I85" i="14"/>
  <c r="J85" i="14"/>
  <c r="I83" i="16"/>
  <c r="T73" i="4"/>
  <c r="U72" i="4"/>
  <c r="Y72" i="4"/>
  <c r="Z79" i="6" s="1"/>
  <c r="Y79" i="6"/>
  <c r="R72" i="4"/>
  <c r="S71" i="4"/>
  <c r="T78" i="6" s="1"/>
  <c r="S78" i="6"/>
  <c r="L333" i="2"/>
  <c r="E320" i="4"/>
  <c r="F327" i="6"/>
  <c r="J327" i="6" s="1"/>
  <c r="Q327" i="6" s="1"/>
  <c r="X73" i="4"/>
  <c r="E85" i="16"/>
  <c r="H84" i="16"/>
  <c r="D86" i="16"/>
  <c r="G85" i="16"/>
  <c r="C85" i="16"/>
  <c r="F84" i="16"/>
  <c r="AK119" i="2"/>
  <c r="AL118" i="2"/>
  <c r="AW116" i="2"/>
  <c r="AX116" i="2" s="1"/>
  <c r="X119" i="2"/>
  <c r="Y119" i="2" s="1"/>
  <c r="K85" i="14" l="1"/>
  <c r="I86" i="14"/>
  <c r="J86" i="14"/>
  <c r="T74" i="4"/>
  <c r="U73" i="4"/>
  <c r="Y73" i="4"/>
  <c r="Z80" i="6" s="1"/>
  <c r="Y80" i="6"/>
  <c r="R73" i="4"/>
  <c r="S72" i="4"/>
  <c r="T79" i="6" s="1"/>
  <c r="S79" i="6"/>
  <c r="L334" i="2"/>
  <c r="F328" i="6"/>
  <c r="J328" i="6" s="1"/>
  <c r="Q328" i="6" s="1"/>
  <c r="E321" i="4"/>
  <c r="X74" i="4"/>
  <c r="I84" i="16"/>
  <c r="C86" i="16"/>
  <c r="F85" i="16"/>
  <c r="D87" i="16"/>
  <c r="G86" i="16"/>
  <c r="E86" i="16"/>
  <c r="H85" i="16"/>
  <c r="AK120" i="2"/>
  <c r="AL119" i="2"/>
  <c r="AW117" i="2"/>
  <c r="AX117" i="2" s="1"/>
  <c r="X120" i="2"/>
  <c r="Y120" i="2" s="1"/>
  <c r="K86" i="14" l="1"/>
  <c r="I87" i="14"/>
  <c r="J87" i="14"/>
  <c r="I85" i="16"/>
  <c r="T75" i="4"/>
  <c r="U74" i="4"/>
  <c r="Y74" i="4"/>
  <c r="Z81" i="6" s="1"/>
  <c r="Y81" i="6"/>
  <c r="S73" i="4"/>
  <c r="T80" i="6" s="1"/>
  <c r="R74" i="4"/>
  <c r="S80" i="6"/>
  <c r="L335" i="2"/>
  <c r="F329" i="6"/>
  <c r="J329" i="6" s="1"/>
  <c r="Q329" i="6" s="1"/>
  <c r="E322" i="4"/>
  <c r="X75" i="4"/>
  <c r="E87" i="16"/>
  <c r="H86" i="16"/>
  <c r="D88" i="16"/>
  <c r="G87" i="16"/>
  <c r="C87" i="16"/>
  <c r="F86" i="16"/>
  <c r="AK121" i="2"/>
  <c r="AL120" i="2"/>
  <c r="AW118" i="2"/>
  <c r="AX118" i="2" s="1"/>
  <c r="X121" i="2"/>
  <c r="Y121" i="2" s="1"/>
  <c r="K87" i="14" l="1"/>
  <c r="I88" i="14"/>
  <c r="J88" i="14"/>
  <c r="T76" i="4"/>
  <c r="U75" i="4"/>
  <c r="Y75" i="4"/>
  <c r="Z82" i="6" s="1"/>
  <c r="Y82" i="6"/>
  <c r="R75" i="4"/>
  <c r="S74" i="4"/>
  <c r="T81" i="6" s="1"/>
  <c r="S81" i="6"/>
  <c r="E323" i="4"/>
  <c r="L336" i="2"/>
  <c r="F330" i="6"/>
  <c r="J330" i="6" s="1"/>
  <c r="Q330" i="6" s="1"/>
  <c r="X76" i="4"/>
  <c r="I86" i="16"/>
  <c r="C88" i="16"/>
  <c r="F87" i="16"/>
  <c r="D89" i="16"/>
  <c r="G88" i="16"/>
  <c r="E88" i="16"/>
  <c r="H87" i="16"/>
  <c r="AK122" i="2"/>
  <c r="AL121" i="2"/>
  <c r="AW119" i="2"/>
  <c r="AX119" i="2" s="1"/>
  <c r="X122" i="2"/>
  <c r="Y122" i="2" s="1"/>
  <c r="K88" i="14" l="1"/>
  <c r="I89" i="14"/>
  <c r="J89" i="14"/>
  <c r="I87" i="16"/>
  <c r="T77" i="4"/>
  <c r="U76" i="4"/>
  <c r="Y76" i="4"/>
  <c r="Z83" i="6" s="1"/>
  <c r="Y83" i="6"/>
  <c r="R76" i="4"/>
  <c r="S75" i="4"/>
  <c r="T82" i="6" s="1"/>
  <c r="S82" i="6"/>
  <c r="F331" i="6"/>
  <c r="J331" i="6" s="1"/>
  <c r="Q331" i="6" s="1"/>
  <c r="L337" i="2"/>
  <c r="E324" i="4"/>
  <c r="X77" i="4"/>
  <c r="E89" i="16"/>
  <c r="H88" i="16"/>
  <c r="D90" i="16"/>
  <c r="G89" i="16"/>
  <c r="C89" i="16"/>
  <c r="F88" i="16"/>
  <c r="AK123" i="2"/>
  <c r="AL122" i="2"/>
  <c r="AW120" i="2"/>
  <c r="AX120" i="2" s="1"/>
  <c r="X123" i="2"/>
  <c r="Y123" i="2" s="1"/>
  <c r="K89" i="14" l="1"/>
  <c r="I90" i="14"/>
  <c r="J90" i="14"/>
  <c r="T78" i="4"/>
  <c r="U77" i="4"/>
  <c r="Y77" i="4"/>
  <c r="Z84" i="6" s="1"/>
  <c r="Y84" i="6"/>
  <c r="R77" i="4"/>
  <c r="S76" i="4"/>
  <c r="T83" i="6" s="1"/>
  <c r="S83" i="6"/>
  <c r="L338" i="2"/>
  <c r="E325" i="4"/>
  <c r="F332" i="6"/>
  <c r="J332" i="6" s="1"/>
  <c r="Q332" i="6" s="1"/>
  <c r="X78" i="4"/>
  <c r="I88" i="16"/>
  <c r="C90" i="16"/>
  <c r="F89" i="16"/>
  <c r="D91" i="16"/>
  <c r="G90" i="16"/>
  <c r="E90" i="16"/>
  <c r="H89" i="16"/>
  <c r="AK124" i="2"/>
  <c r="AL123" i="2"/>
  <c r="AW121" i="2"/>
  <c r="AX121" i="2" s="1"/>
  <c r="X124" i="2"/>
  <c r="Y124" i="2" s="1"/>
  <c r="K90" i="14" l="1"/>
  <c r="I91" i="14"/>
  <c r="J91" i="14"/>
  <c r="I89" i="16"/>
  <c r="T79" i="4"/>
  <c r="U78" i="4"/>
  <c r="Y78" i="4"/>
  <c r="Z85" i="6" s="1"/>
  <c r="Y85" i="6"/>
  <c r="R78" i="4"/>
  <c r="S77" i="4"/>
  <c r="T84" i="6" s="1"/>
  <c r="S84" i="6"/>
  <c r="L339" i="2"/>
  <c r="E326" i="4"/>
  <c r="F333" i="6"/>
  <c r="J333" i="6" s="1"/>
  <c r="Q333" i="6" s="1"/>
  <c r="X79" i="4"/>
  <c r="E91" i="16"/>
  <c r="H90" i="16"/>
  <c r="D92" i="16"/>
  <c r="G91" i="16"/>
  <c r="C91" i="16"/>
  <c r="F90" i="16"/>
  <c r="AK125" i="2"/>
  <c r="AL124" i="2"/>
  <c r="AW122" i="2"/>
  <c r="AX122" i="2" s="1"/>
  <c r="X125" i="2"/>
  <c r="Y125" i="2" s="1"/>
  <c r="K91" i="14" l="1"/>
  <c r="I92" i="14"/>
  <c r="J92" i="14"/>
  <c r="T80" i="4"/>
  <c r="U79" i="4"/>
  <c r="Y79" i="4"/>
  <c r="Z86" i="6" s="1"/>
  <c r="Y86" i="6"/>
  <c r="R79" i="4"/>
  <c r="S78" i="4"/>
  <c r="T85" i="6" s="1"/>
  <c r="S85" i="6"/>
  <c r="L340" i="2"/>
  <c r="E327" i="4"/>
  <c r="F334" i="6"/>
  <c r="J334" i="6" s="1"/>
  <c r="Q334" i="6" s="1"/>
  <c r="X80" i="4"/>
  <c r="I90" i="16"/>
  <c r="C92" i="16"/>
  <c r="F91" i="16"/>
  <c r="D93" i="16"/>
  <c r="G92" i="16"/>
  <c r="E92" i="16"/>
  <c r="H91" i="16"/>
  <c r="I91" i="16" s="1"/>
  <c r="AK126" i="2"/>
  <c r="AL125" i="2"/>
  <c r="AW123" i="2"/>
  <c r="AX123" i="2" s="1"/>
  <c r="X126" i="2"/>
  <c r="Y126" i="2" s="1"/>
  <c r="K92" i="14" l="1"/>
  <c r="I93" i="14"/>
  <c r="J93" i="14"/>
  <c r="T81" i="4"/>
  <c r="U80" i="4"/>
  <c r="Y80" i="4"/>
  <c r="Z87" i="6" s="1"/>
  <c r="Y87" i="6"/>
  <c r="R80" i="4"/>
  <c r="S79" i="4"/>
  <c r="T86" i="6" s="1"/>
  <c r="S86" i="6"/>
  <c r="L341" i="2"/>
  <c r="E328" i="4"/>
  <c r="F335" i="6"/>
  <c r="J335" i="6" s="1"/>
  <c r="Q335" i="6" s="1"/>
  <c r="X81" i="4"/>
  <c r="E93" i="16"/>
  <c r="H92" i="16"/>
  <c r="D94" i="16"/>
  <c r="G93" i="16"/>
  <c r="C93" i="16"/>
  <c r="F92" i="16"/>
  <c r="AK127" i="2"/>
  <c r="AL126" i="2"/>
  <c r="AW124" i="2"/>
  <c r="AX124" i="2" s="1"/>
  <c r="X127" i="2"/>
  <c r="Y127" i="2" s="1"/>
  <c r="K93" i="14" l="1"/>
  <c r="I94" i="14"/>
  <c r="J94" i="14"/>
  <c r="T82" i="4"/>
  <c r="U81" i="4"/>
  <c r="Y81" i="4"/>
  <c r="Z88" i="6" s="1"/>
  <c r="Y88" i="6"/>
  <c r="R81" i="4"/>
  <c r="S80" i="4"/>
  <c r="T87" i="6" s="1"/>
  <c r="S87" i="6"/>
  <c r="L342" i="2"/>
  <c r="E329" i="4"/>
  <c r="F336" i="6"/>
  <c r="J336" i="6" s="1"/>
  <c r="Q336" i="6" s="1"/>
  <c r="X82" i="4"/>
  <c r="I92" i="16"/>
  <c r="C94" i="16"/>
  <c r="F93" i="16"/>
  <c r="D95" i="16"/>
  <c r="G94" i="16"/>
  <c r="E94" i="16"/>
  <c r="H93" i="16"/>
  <c r="I93" i="16" s="1"/>
  <c r="AK128" i="2"/>
  <c r="AL127" i="2"/>
  <c r="AW125" i="2"/>
  <c r="AX125" i="2" s="1"/>
  <c r="X128" i="2"/>
  <c r="Y128" i="2" s="1"/>
  <c r="K94" i="14" l="1"/>
  <c r="I95" i="14"/>
  <c r="J95" i="14"/>
  <c r="T83" i="4"/>
  <c r="U82" i="4"/>
  <c r="Y82" i="4"/>
  <c r="Z89" i="6" s="1"/>
  <c r="Y89" i="6"/>
  <c r="S81" i="4"/>
  <c r="T88" i="6" s="1"/>
  <c r="R82" i="4"/>
  <c r="S88" i="6"/>
  <c r="F337" i="6"/>
  <c r="J337" i="6" s="1"/>
  <c r="Q337" i="6" s="1"/>
  <c r="L343" i="2"/>
  <c r="E330" i="4"/>
  <c r="X83" i="4"/>
  <c r="E95" i="16"/>
  <c r="H94" i="16"/>
  <c r="D96" i="16"/>
  <c r="G95" i="16"/>
  <c r="C95" i="16"/>
  <c r="F94" i="16"/>
  <c r="AK129" i="2"/>
  <c r="AL128" i="2"/>
  <c r="AW126" i="2"/>
  <c r="AX126" i="2" s="1"/>
  <c r="X129" i="2"/>
  <c r="Y129" i="2" s="1"/>
  <c r="K95" i="14" l="1"/>
  <c r="I96" i="14"/>
  <c r="J96" i="14"/>
  <c r="T84" i="4"/>
  <c r="U83" i="4"/>
  <c r="Y83" i="4"/>
  <c r="Z90" i="6" s="1"/>
  <c r="Y90" i="6"/>
  <c r="R83" i="4"/>
  <c r="S82" i="4"/>
  <c r="T89" i="6" s="1"/>
  <c r="S89" i="6"/>
  <c r="L344" i="2"/>
  <c r="E331" i="4"/>
  <c r="F338" i="6"/>
  <c r="J338" i="6" s="1"/>
  <c r="Q338" i="6" s="1"/>
  <c r="X84" i="4"/>
  <c r="I94" i="16"/>
  <c r="C96" i="16"/>
  <c r="F95" i="16"/>
  <c r="D97" i="16"/>
  <c r="G96" i="16"/>
  <c r="E96" i="16"/>
  <c r="H95" i="16"/>
  <c r="I95" i="16" s="1"/>
  <c r="AK130" i="2"/>
  <c r="AL129" i="2"/>
  <c r="AW127" i="2"/>
  <c r="AX127" i="2" s="1"/>
  <c r="X130" i="2"/>
  <c r="Y130" i="2" s="1"/>
  <c r="K96" i="14" l="1"/>
  <c r="I97" i="14"/>
  <c r="J97" i="14"/>
  <c r="T85" i="4"/>
  <c r="U84" i="4"/>
  <c r="Y84" i="4"/>
  <c r="Z91" i="6" s="1"/>
  <c r="Y91" i="6"/>
  <c r="S83" i="4"/>
  <c r="T90" i="6" s="1"/>
  <c r="R84" i="4"/>
  <c r="S90" i="6"/>
  <c r="L345" i="2"/>
  <c r="E332" i="4"/>
  <c r="F339" i="6"/>
  <c r="J339" i="6" s="1"/>
  <c r="Q339" i="6" s="1"/>
  <c r="X85" i="4"/>
  <c r="E97" i="16"/>
  <c r="H96" i="16"/>
  <c r="D98" i="16"/>
  <c r="G97" i="16"/>
  <c r="C97" i="16"/>
  <c r="F96" i="16"/>
  <c r="AK131" i="2"/>
  <c r="AL130" i="2"/>
  <c r="AW128" i="2"/>
  <c r="AX128" i="2" s="1"/>
  <c r="X131" i="2"/>
  <c r="Y131" i="2" s="1"/>
  <c r="K97" i="14" l="1"/>
  <c r="I98" i="14"/>
  <c r="J98" i="14"/>
  <c r="T86" i="4"/>
  <c r="U85" i="4"/>
  <c r="Y85" i="4"/>
  <c r="Z92" i="6" s="1"/>
  <c r="Y92" i="6"/>
  <c r="S84" i="4"/>
  <c r="T91" i="6" s="1"/>
  <c r="R85" i="4"/>
  <c r="S91" i="6"/>
  <c r="L346" i="2"/>
  <c r="E333" i="4"/>
  <c r="F340" i="6"/>
  <c r="J340" i="6" s="1"/>
  <c r="Q340" i="6" s="1"/>
  <c r="X86" i="4"/>
  <c r="I96" i="16"/>
  <c r="C98" i="16"/>
  <c r="F97" i="16"/>
  <c r="D99" i="16"/>
  <c r="G98" i="16"/>
  <c r="E98" i="16"/>
  <c r="H97" i="16"/>
  <c r="I97" i="16" s="1"/>
  <c r="AK132" i="2"/>
  <c r="AL131" i="2"/>
  <c r="AW129" i="2"/>
  <c r="AX129" i="2" s="1"/>
  <c r="X132" i="2"/>
  <c r="Y132" i="2" s="1"/>
  <c r="K98" i="14" l="1"/>
  <c r="I99" i="14"/>
  <c r="J99" i="14"/>
  <c r="T87" i="4"/>
  <c r="U86" i="4"/>
  <c r="Y86" i="4"/>
  <c r="Z93" i="6" s="1"/>
  <c r="Y93" i="6"/>
  <c r="S85" i="4"/>
  <c r="T92" i="6" s="1"/>
  <c r="R86" i="4"/>
  <c r="S92" i="6"/>
  <c r="L347" i="2"/>
  <c r="E334" i="4"/>
  <c r="F341" i="6"/>
  <c r="J341" i="6" s="1"/>
  <c r="Q341" i="6" s="1"/>
  <c r="X87" i="4"/>
  <c r="E99" i="16"/>
  <c r="H98" i="16"/>
  <c r="D100" i="16"/>
  <c r="G99" i="16"/>
  <c r="C99" i="16"/>
  <c r="F98" i="16"/>
  <c r="AK133" i="2"/>
  <c r="AL132" i="2"/>
  <c r="AW130" i="2"/>
  <c r="AX130" i="2" s="1"/>
  <c r="X133" i="2"/>
  <c r="Y133" i="2" s="1"/>
  <c r="K99" i="14" l="1"/>
  <c r="I100" i="14"/>
  <c r="J100" i="14"/>
  <c r="T88" i="4"/>
  <c r="U87" i="4"/>
  <c r="Y87" i="4"/>
  <c r="Z94" i="6" s="1"/>
  <c r="Y94" i="6"/>
  <c r="S86" i="4"/>
  <c r="T93" i="6" s="1"/>
  <c r="R87" i="4"/>
  <c r="S93" i="6"/>
  <c r="L348" i="2"/>
  <c r="E335" i="4"/>
  <c r="F342" i="6"/>
  <c r="J342" i="6" s="1"/>
  <c r="Q342" i="6" s="1"/>
  <c r="X88" i="4"/>
  <c r="I98" i="16"/>
  <c r="C100" i="16"/>
  <c r="F99" i="16"/>
  <c r="D101" i="16"/>
  <c r="G100" i="16"/>
  <c r="E100" i="16"/>
  <c r="H99" i="16"/>
  <c r="I99" i="16" s="1"/>
  <c r="AK134" i="2"/>
  <c r="AL133" i="2"/>
  <c r="AW131" i="2"/>
  <c r="AX131" i="2" s="1"/>
  <c r="X134" i="2"/>
  <c r="Y134" i="2" s="1"/>
  <c r="K100" i="14" l="1"/>
  <c r="I101" i="14"/>
  <c r="J101" i="14"/>
  <c r="T89" i="4"/>
  <c r="U88" i="4"/>
  <c r="Y88" i="4"/>
  <c r="Z95" i="6" s="1"/>
  <c r="Y95" i="6"/>
  <c r="R88" i="4"/>
  <c r="S87" i="4"/>
  <c r="T94" i="6" s="1"/>
  <c r="S94" i="6"/>
  <c r="L349" i="2"/>
  <c r="E336" i="4"/>
  <c r="F343" i="6"/>
  <c r="J343" i="6" s="1"/>
  <c r="Q343" i="6" s="1"/>
  <c r="X89" i="4"/>
  <c r="E101" i="16"/>
  <c r="H100" i="16"/>
  <c r="D102" i="16"/>
  <c r="G101" i="16"/>
  <c r="C101" i="16"/>
  <c r="F100" i="16"/>
  <c r="AK135" i="2"/>
  <c r="AL134" i="2"/>
  <c r="AW132" i="2"/>
  <c r="AX132" i="2" s="1"/>
  <c r="X135" i="2"/>
  <c r="Y135" i="2" s="1"/>
  <c r="K101" i="14" l="1"/>
  <c r="I102" i="14"/>
  <c r="J102" i="14"/>
  <c r="T90" i="4"/>
  <c r="U89" i="4"/>
  <c r="Y89" i="4"/>
  <c r="Z96" i="6" s="1"/>
  <c r="Y96" i="6"/>
  <c r="R89" i="4"/>
  <c r="S88" i="4"/>
  <c r="T95" i="6" s="1"/>
  <c r="S95" i="6"/>
  <c r="L350" i="2"/>
  <c r="E337" i="4"/>
  <c r="F344" i="6"/>
  <c r="J344" i="6" s="1"/>
  <c r="Q344" i="6" s="1"/>
  <c r="X90" i="4"/>
  <c r="I100" i="16"/>
  <c r="C102" i="16"/>
  <c r="F101" i="16"/>
  <c r="D103" i="16"/>
  <c r="G102" i="16"/>
  <c r="E102" i="16"/>
  <c r="H101" i="16"/>
  <c r="I101" i="16" s="1"/>
  <c r="AK136" i="2"/>
  <c r="AL135" i="2"/>
  <c r="AW133" i="2"/>
  <c r="AX133" i="2" s="1"/>
  <c r="X136" i="2"/>
  <c r="Y136" i="2" s="1"/>
  <c r="K102" i="14" l="1"/>
  <c r="I103" i="14"/>
  <c r="J103" i="14"/>
  <c r="T91" i="4"/>
  <c r="U90" i="4"/>
  <c r="Y90" i="4"/>
  <c r="Z97" i="6" s="1"/>
  <c r="Y97" i="6"/>
  <c r="S89" i="4"/>
  <c r="T96" i="6" s="1"/>
  <c r="R90" i="4"/>
  <c r="S96" i="6"/>
  <c r="E338" i="4"/>
  <c r="F345" i="6"/>
  <c r="J345" i="6" s="1"/>
  <c r="Q345" i="6" s="1"/>
  <c r="L351" i="2"/>
  <c r="X91" i="4"/>
  <c r="E103" i="16"/>
  <c r="H102" i="16"/>
  <c r="D104" i="16"/>
  <c r="G103" i="16"/>
  <c r="C103" i="16"/>
  <c r="F102" i="16"/>
  <c r="AK137" i="2"/>
  <c r="AL136" i="2"/>
  <c r="AW134" i="2"/>
  <c r="AX134" i="2" s="1"/>
  <c r="X137" i="2"/>
  <c r="Y137" i="2" s="1"/>
  <c r="K103" i="14" l="1"/>
  <c r="I104" i="14"/>
  <c r="J104" i="14"/>
  <c r="T92" i="4"/>
  <c r="U91" i="4"/>
  <c r="Y91" i="4"/>
  <c r="Z98" i="6" s="1"/>
  <c r="Y98" i="6"/>
  <c r="R91" i="4"/>
  <c r="S90" i="4"/>
  <c r="T97" i="6" s="1"/>
  <c r="S97" i="6"/>
  <c r="L352" i="2"/>
  <c r="E339" i="4"/>
  <c r="F346" i="6"/>
  <c r="J346" i="6" s="1"/>
  <c r="Q346" i="6" s="1"/>
  <c r="X92" i="4"/>
  <c r="I102" i="16"/>
  <c r="C104" i="16"/>
  <c r="F103" i="16"/>
  <c r="D105" i="16"/>
  <c r="G104" i="16"/>
  <c r="E104" i="16"/>
  <c r="H103" i="16"/>
  <c r="AK138" i="2"/>
  <c r="AL137" i="2"/>
  <c r="AW135" i="2"/>
  <c r="AX135" i="2" s="1"/>
  <c r="X138" i="2"/>
  <c r="Y138" i="2" s="1"/>
  <c r="K104" i="14" l="1"/>
  <c r="I105" i="14"/>
  <c r="J105" i="14"/>
  <c r="T93" i="4"/>
  <c r="U92" i="4"/>
  <c r="Y92" i="4"/>
  <c r="Z99" i="6" s="1"/>
  <c r="Y99" i="6"/>
  <c r="R92" i="4"/>
  <c r="S91" i="4"/>
  <c r="T98" i="6" s="1"/>
  <c r="S98" i="6"/>
  <c r="I103" i="16"/>
  <c r="L353" i="2"/>
  <c r="E340" i="4"/>
  <c r="F347" i="6"/>
  <c r="J347" i="6" s="1"/>
  <c r="Q347" i="6" s="1"/>
  <c r="X93" i="4"/>
  <c r="E105" i="16"/>
  <c r="H104" i="16"/>
  <c r="D106" i="16"/>
  <c r="G105" i="16"/>
  <c r="C105" i="16"/>
  <c r="F104" i="16"/>
  <c r="AK139" i="2"/>
  <c r="AL138" i="2"/>
  <c r="AW136" i="2"/>
  <c r="AX136" i="2" s="1"/>
  <c r="X139" i="2"/>
  <c r="Y139" i="2" s="1"/>
  <c r="K105" i="14" l="1"/>
  <c r="I106" i="14"/>
  <c r="J106" i="14"/>
  <c r="T94" i="4"/>
  <c r="U93" i="4"/>
  <c r="Y93" i="4"/>
  <c r="Z100" i="6" s="1"/>
  <c r="Y100" i="6"/>
  <c r="R93" i="4"/>
  <c r="S92" i="4"/>
  <c r="T99" i="6" s="1"/>
  <c r="S99" i="6"/>
  <c r="L354" i="2"/>
  <c r="E341" i="4"/>
  <c r="F348" i="6"/>
  <c r="J348" i="6" s="1"/>
  <c r="Q348" i="6" s="1"/>
  <c r="X94" i="4"/>
  <c r="I104" i="16"/>
  <c r="C106" i="16"/>
  <c r="F105" i="16"/>
  <c r="D107" i="16"/>
  <c r="G106" i="16"/>
  <c r="E106" i="16"/>
  <c r="H105" i="16"/>
  <c r="I105" i="16" s="1"/>
  <c r="AK140" i="2"/>
  <c r="AL139" i="2"/>
  <c r="AW137" i="2"/>
  <c r="AX137" i="2" s="1"/>
  <c r="X140" i="2"/>
  <c r="Y140" i="2" s="1"/>
  <c r="K106" i="14" l="1"/>
  <c r="I107" i="14"/>
  <c r="J107" i="14"/>
  <c r="T95" i="4"/>
  <c r="U94" i="4"/>
  <c r="Y94" i="4"/>
  <c r="Z101" i="6" s="1"/>
  <c r="Y101" i="6"/>
  <c r="R94" i="4"/>
  <c r="S93" i="4"/>
  <c r="T100" i="6" s="1"/>
  <c r="S100" i="6"/>
  <c r="L355" i="2"/>
  <c r="E342" i="4"/>
  <c r="F349" i="6"/>
  <c r="J349" i="6" s="1"/>
  <c r="Q349" i="6" s="1"/>
  <c r="X95" i="4"/>
  <c r="E107" i="16"/>
  <c r="H106" i="16"/>
  <c r="D108" i="16"/>
  <c r="G107" i="16"/>
  <c r="C107" i="16"/>
  <c r="F106" i="16"/>
  <c r="AK141" i="2"/>
  <c r="AL140" i="2"/>
  <c r="AW138" i="2"/>
  <c r="AX138" i="2" s="1"/>
  <c r="X141" i="2"/>
  <c r="Y141" i="2" s="1"/>
  <c r="K107" i="14" l="1"/>
  <c r="I108" i="14"/>
  <c r="J108" i="14"/>
  <c r="T96" i="4"/>
  <c r="U95" i="4"/>
  <c r="Y95" i="4"/>
  <c r="Z102" i="6" s="1"/>
  <c r="Y102" i="6"/>
  <c r="S94" i="4"/>
  <c r="T101" i="6" s="1"/>
  <c r="R95" i="4"/>
  <c r="S101" i="6"/>
  <c r="L356" i="2"/>
  <c r="E343" i="4"/>
  <c r="F350" i="6"/>
  <c r="J350" i="6" s="1"/>
  <c r="Q350" i="6" s="1"/>
  <c r="X96" i="4"/>
  <c r="I106" i="16"/>
  <c r="C108" i="16"/>
  <c r="F107" i="16"/>
  <c r="D109" i="16"/>
  <c r="G108" i="16"/>
  <c r="E108" i="16"/>
  <c r="H107" i="16"/>
  <c r="AK142" i="2"/>
  <c r="AL141" i="2"/>
  <c r="AW139" i="2"/>
  <c r="AX139" i="2" s="1"/>
  <c r="X142" i="2"/>
  <c r="Y142" i="2" s="1"/>
  <c r="K108" i="14" l="1"/>
  <c r="I109" i="14"/>
  <c r="J109" i="14"/>
  <c r="I107" i="16"/>
  <c r="T97" i="4"/>
  <c r="U96" i="4"/>
  <c r="Y96" i="4"/>
  <c r="Z103" i="6" s="1"/>
  <c r="Y103" i="6"/>
  <c r="R96" i="4"/>
  <c r="S95" i="4"/>
  <c r="T102" i="6" s="1"/>
  <c r="S102" i="6"/>
  <c r="L357" i="2"/>
  <c r="E344" i="4"/>
  <c r="F351" i="6"/>
  <c r="J351" i="6" s="1"/>
  <c r="Q351" i="6" s="1"/>
  <c r="X97" i="4"/>
  <c r="E109" i="16"/>
  <c r="H108" i="16"/>
  <c r="D110" i="16"/>
  <c r="G109" i="16"/>
  <c r="C109" i="16"/>
  <c r="F108" i="16"/>
  <c r="AK143" i="2"/>
  <c r="AL142" i="2"/>
  <c r="AW140" i="2"/>
  <c r="AX140" i="2" s="1"/>
  <c r="X143" i="2"/>
  <c r="Y143" i="2" s="1"/>
  <c r="K109" i="14" l="1"/>
  <c r="I110" i="14"/>
  <c r="J110" i="14"/>
  <c r="T98" i="4"/>
  <c r="U97" i="4"/>
  <c r="Y97" i="4"/>
  <c r="Z104" i="6" s="1"/>
  <c r="Y104" i="6"/>
  <c r="R97" i="4"/>
  <c r="S96" i="4"/>
  <c r="T103" i="6" s="1"/>
  <c r="S103" i="6"/>
  <c r="E345" i="4"/>
  <c r="F352" i="6"/>
  <c r="J352" i="6" s="1"/>
  <c r="Q352" i="6" s="1"/>
  <c r="L358" i="2"/>
  <c r="X98" i="4"/>
  <c r="I108" i="16"/>
  <c r="C110" i="16"/>
  <c r="F109" i="16"/>
  <c r="D111" i="16"/>
  <c r="G110" i="16"/>
  <c r="E110" i="16"/>
  <c r="H109" i="16"/>
  <c r="I109" i="16" s="1"/>
  <c r="AK144" i="2"/>
  <c r="AL143" i="2"/>
  <c r="AW141" i="2"/>
  <c r="AX141" i="2" s="1"/>
  <c r="X144" i="2"/>
  <c r="Y144" i="2" s="1"/>
  <c r="K110" i="14" l="1"/>
  <c r="I111" i="14"/>
  <c r="J111" i="14"/>
  <c r="T99" i="4"/>
  <c r="U98" i="4"/>
  <c r="Y98" i="4"/>
  <c r="Z105" i="6" s="1"/>
  <c r="Y105" i="6"/>
  <c r="R98" i="4"/>
  <c r="S97" i="4"/>
  <c r="T104" i="6" s="1"/>
  <c r="S104" i="6"/>
  <c r="L359" i="2"/>
  <c r="E346" i="4"/>
  <c r="F353" i="6"/>
  <c r="J353" i="6" s="1"/>
  <c r="Q353" i="6" s="1"/>
  <c r="X99" i="4"/>
  <c r="E111" i="16"/>
  <c r="H110" i="16"/>
  <c r="D112" i="16"/>
  <c r="G111" i="16"/>
  <c r="C111" i="16"/>
  <c r="F110" i="16"/>
  <c r="AK145" i="2"/>
  <c r="AL144" i="2"/>
  <c r="AW142" i="2"/>
  <c r="AX142" i="2" s="1"/>
  <c r="X145" i="2"/>
  <c r="Y145" i="2" s="1"/>
  <c r="K111" i="14" l="1"/>
  <c r="I112" i="14"/>
  <c r="J112" i="14"/>
  <c r="T100" i="4"/>
  <c r="U99" i="4"/>
  <c r="Y99" i="4"/>
  <c r="Z106" i="6" s="1"/>
  <c r="Y106" i="6"/>
  <c r="R99" i="4"/>
  <c r="S98" i="4"/>
  <c r="T105" i="6" s="1"/>
  <c r="S105" i="6"/>
  <c r="L360" i="2"/>
  <c r="E347" i="4"/>
  <c r="F354" i="6"/>
  <c r="J354" i="6" s="1"/>
  <c r="Q354" i="6" s="1"/>
  <c r="X100" i="4"/>
  <c r="I110" i="16"/>
  <c r="C112" i="16"/>
  <c r="F111" i="16"/>
  <c r="D113" i="16"/>
  <c r="G112" i="16"/>
  <c r="E112" i="16"/>
  <c r="H111" i="16"/>
  <c r="AK146" i="2"/>
  <c r="AL145" i="2"/>
  <c r="AW143" i="2"/>
  <c r="AX143" i="2" s="1"/>
  <c r="X146" i="2"/>
  <c r="Y146" i="2" s="1"/>
  <c r="K112" i="14" l="1"/>
  <c r="I113" i="14"/>
  <c r="J113" i="14"/>
  <c r="I111" i="16"/>
  <c r="T101" i="4"/>
  <c r="U100" i="4"/>
  <c r="Y100" i="4"/>
  <c r="Z107" i="6" s="1"/>
  <c r="Y107" i="6"/>
  <c r="R100" i="4"/>
  <c r="S99" i="4"/>
  <c r="T106" i="6" s="1"/>
  <c r="S106" i="6"/>
  <c r="L361" i="2"/>
  <c r="E348" i="4"/>
  <c r="F355" i="6"/>
  <c r="J355" i="6" s="1"/>
  <c r="Q355" i="6" s="1"/>
  <c r="X101" i="4"/>
  <c r="E113" i="16"/>
  <c r="H112" i="16"/>
  <c r="D114" i="16"/>
  <c r="G113" i="16"/>
  <c r="C113" i="16"/>
  <c r="F112" i="16"/>
  <c r="AK147" i="2"/>
  <c r="AL146" i="2"/>
  <c r="AW144" i="2"/>
  <c r="AX144" i="2" s="1"/>
  <c r="X147" i="2"/>
  <c r="Y147" i="2" s="1"/>
  <c r="K113" i="14" l="1"/>
  <c r="I114" i="14"/>
  <c r="J114" i="14"/>
  <c r="T102" i="4"/>
  <c r="U101" i="4"/>
  <c r="Y101" i="4"/>
  <c r="Z108" i="6" s="1"/>
  <c r="Y108" i="6"/>
  <c r="S100" i="4"/>
  <c r="T107" i="6" s="1"/>
  <c r="R101" i="4"/>
  <c r="S107" i="6"/>
  <c r="L362" i="2"/>
  <c r="E349" i="4"/>
  <c r="F356" i="6"/>
  <c r="J356" i="6" s="1"/>
  <c r="Q356" i="6" s="1"/>
  <c r="X102" i="4"/>
  <c r="I112" i="16"/>
  <c r="C114" i="16"/>
  <c r="F113" i="16"/>
  <c r="D115" i="16"/>
  <c r="G114" i="16"/>
  <c r="E114" i="16"/>
  <c r="H113" i="16"/>
  <c r="I113" i="16" s="1"/>
  <c r="AK148" i="2"/>
  <c r="AL147" i="2"/>
  <c r="AW145" i="2"/>
  <c r="AX145" i="2" s="1"/>
  <c r="X148" i="2"/>
  <c r="Y148" i="2" s="1"/>
  <c r="K114" i="14" l="1"/>
  <c r="I115" i="14"/>
  <c r="J115" i="14"/>
  <c r="T103" i="4"/>
  <c r="U102" i="4"/>
  <c r="Y102" i="4"/>
  <c r="Z109" i="6" s="1"/>
  <c r="Y109" i="6"/>
  <c r="S101" i="4"/>
  <c r="T108" i="6" s="1"/>
  <c r="R102" i="4"/>
  <c r="S108" i="6"/>
  <c r="E350" i="4"/>
  <c r="L363" i="2"/>
  <c r="F357" i="6"/>
  <c r="J357" i="6" s="1"/>
  <c r="Q357" i="6" s="1"/>
  <c r="X103" i="4"/>
  <c r="E115" i="16"/>
  <c r="H114" i="16"/>
  <c r="D116" i="16"/>
  <c r="G115" i="16"/>
  <c r="C115" i="16"/>
  <c r="F114" i="16"/>
  <c r="AK149" i="2"/>
  <c r="AL148" i="2"/>
  <c r="AW146" i="2"/>
  <c r="AX146" i="2" s="1"/>
  <c r="X149" i="2"/>
  <c r="Y149" i="2" s="1"/>
  <c r="K115" i="14" l="1"/>
  <c r="I116" i="14"/>
  <c r="J116" i="14"/>
  <c r="T104" i="4"/>
  <c r="U103" i="4"/>
  <c r="Y103" i="4"/>
  <c r="Z110" i="6" s="1"/>
  <c r="Y110" i="6"/>
  <c r="R103" i="4"/>
  <c r="S102" i="4"/>
  <c r="T109" i="6" s="1"/>
  <c r="S109" i="6"/>
  <c r="L364" i="2"/>
  <c r="E351" i="4"/>
  <c r="F358" i="6"/>
  <c r="J358" i="6" s="1"/>
  <c r="Q358" i="6" s="1"/>
  <c r="X104" i="4"/>
  <c r="I114" i="16"/>
  <c r="C116" i="16"/>
  <c r="F115" i="16"/>
  <c r="D117" i="16"/>
  <c r="G116" i="16"/>
  <c r="E116" i="16"/>
  <c r="H115" i="16"/>
  <c r="AK150" i="2"/>
  <c r="AL149" i="2"/>
  <c r="AW147" i="2"/>
  <c r="AX147" i="2" s="1"/>
  <c r="X150" i="2"/>
  <c r="Y150" i="2" s="1"/>
  <c r="K116" i="14" l="1"/>
  <c r="I117" i="14"/>
  <c r="J117" i="14"/>
  <c r="I115" i="16"/>
  <c r="T105" i="4"/>
  <c r="U104" i="4"/>
  <c r="Y104" i="4"/>
  <c r="Z111" i="6" s="1"/>
  <c r="Y111" i="6"/>
  <c r="R104" i="4"/>
  <c r="S103" i="4"/>
  <c r="T110" i="6" s="1"/>
  <c r="S110" i="6"/>
  <c r="L365" i="2"/>
  <c r="E352" i="4"/>
  <c r="F359" i="6"/>
  <c r="J359" i="6" s="1"/>
  <c r="Q359" i="6" s="1"/>
  <c r="X105" i="4"/>
  <c r="E117" i="16"/>
  <c r="H116" i="16"/>
  <c r="D118" i="16"/>
  <c r="G117" i="16"/>
  <c r="C117" i="16"/>
  <c r="F116" i="16"/>
  <c r="AK151" i="2"/>
  <c r="AL150" i="2"/>
  <c r="AW148" i="2"/>
  <c r="AX148" i="2" s="1"/>
  <c r="X151" i="2"/>
  <c r="Y151" i="2" s="1"/>
  <c r="K117" i="14" l="1"/>
  <c r="I118" i="14"/>
  <c r="J118" i="14"/>
  <c r="T106" i="4"/>
  <c r="U105" i="4"/>
  <c r="Y105" i="4"/>
  <c r="Z112" i="6" s="1"/>
  <c r="Y112" i="6"/>
  <c r="S104" i="4"/>
  <c r="T111" i="6" s="1"/>
  <c r="R105" i="4"/>
  <c r="S111" i="6"/>
  <c r="L366" i="2"/>
  <c r="E353" i="4"/>
  <c r="F360" i="6"/>
  <c r="J360" i="6" s="1"/>
  <c r="Q360" i="6" s="1"/>
  <c r="X106" i="4"/>
  <c r="I116" i="16"/>
  <c r="C118" i="16"/>
  <c r="F117" i="16"/>
  <c r="D119" i="16"/>
  <c r="G118" i="16"/>
  <c r="E118" i="16"/>
  <c r="H117" i="16"/>
  <c r="I117" i="16" s="1"/>
  <c r="AK152" i="2"/>
  <c r="AL151" i="2"/>
  <c r="AW149" i="2"/>
  <c r="AX149" i="2" s="1"/>
  <c r="X152" i="2"/>
  <c r="Y152" i="2" s="1"/>
  <c r="K118" i="14" l="1"/>
  <c r="I119" i="14"/>
  <c r="J119" i="14"/>
  <c r="T107" i="4"/>
  <c r="U106" i="4"/>
  <c r="Y106" i="4"/>
  <c r="Z113" i="6" s="1"/>
  <c r="Y113" i="6"/>
  <c r="S105" i="4"/>
  <c r="T112" i="6" s="1"/>
  <c r="R106" i="4"/>
  <c r="S112" i="6"/>
  <c r="L367" i="2"/>
  <c r="E354" i="4"/>
  <c r="F361" i="6"/>
  <c r="J361" i="6" s="1"/>
  <c r="Q361" i="6" s="1"/>
  <c r="X107" i="4"/>
  <c r="E119" i="16"/>
  <c r="H118" i="16"/>
  <c r="D120" i="16"/>
  <c r="G119" i="16"/>
  <c r="C119" i="16"/>
  <c r="F118" i="16"/>
  <c r="AK153" i="2"/>
  <c r="AL152" i="2"/>
  <c r="AW150" i="2"/>
  <c r="AX150" i="2" s="1"/>
  <c r="X153" i="2"/>
  <c r="Y153" i="2" s="1"/>
  <c r="K119" i="14" l="1"/>
  <c r="I120" i="14"/>
  <c r="J120" i="14"/>
  <c r="T108" i="4"/>
  <c r="U107" i="4"/>
  <c r="Y107" i="4"/>
  <c r="Z114" i="6" s="1"/>
  <c r="Y114" i="6"/>
  <c r="S106" i="4"/>
  <c r="T113" i="6" s="1"/>
  <c r="R107" i="4"/>
  <c r="S113" i="6"/>
  <c r="L368" i="2"/>
  <c r="E355" i="4"/>
  <c r="F362" i="6"/>
  <c r="J362" i="6" s="1"/>
  <c r="Q362" i="6" s="1"/>
  <c r="X108" i="4"/>
  <c r="I118" i="16"/>
  <c r="C120" i="16"/>
  <c r="F119" i="16"/>
  <c r="D121" i="16"/>
  <c r="G120" i="16"/>
  <c r="E120" i="16"/>
  <c r="H119" i="16"/>
  <c r="I119" i="16" s="1"/>
  <c r="AK154" i="2"/>
  <c r="AL153" i="2"/>
  <c r="AW151" i="2"/>
  <c r="AX151" i="2" s="1"/>
  <c r="X154" i="2"/>
  <c r="Y154" i="2" s="1"/>
  <c r="K120" i="14" l="1"/>
  <c r="I121" i="14"/>
  <c r="J121" i="14"/>
  <c r="T109" i="4"/>
  <c r="U108" i="4"/>
  <c r="Y108" i="4"/>
  <c r="Z115" i="6" s="1"/>
  <c r="Y115" i="6"/>
  <c r="S107" i="4"/>
  <c r="T114" i="6" s="1"/>
  <c r="R108" i="4"/>
  <c r="S114" i="6"/>
  <c r="L369" i="2"/>
  <c r="E356" i="4"/>
  <c r="F363" i="6"/>
  <c r="J363" i="6" s="1"/>
  <c r="Q363" i="6" s="1"/>
  <c r="X109" i="4"/>
  <c r="E121" i="16"/>
  <c r="H120" i="16"/>
  <c r="D122" i="16"/>
  <c r="G121" i="16"/>
  <c r="C121" i="16"/>
  <c r="F120" i="16"/>
  <c r="AK155" i="2"/>
  <c r="AL154" i="2"/>
  <c r="AW152" i="2"/>
  <c r="AX152" i="2" s="1"/>
  <c r="X155" i="2"/>
  <c r="Y155" i="2" s="1"/>
  <c r="K121" i="14" l="1"/>
  <c r="I122" i="14"/>
  <c r="J122" i="14"/>
  <c r="T110" i="4"/>
  <c r="U109" i="4"/>
  <c r="Y109" i="4"/>
  <c r="Z116" i="6" s="1"/>
  <c r="Y116" i="6"/>
  <c r="S108" i="4"/>
  <c r="T115" i="6" s="1"/>
  <c r="R109" i="4"/>
  <c r="S115" i="6"/>
  <c r="L370" i="2"/>
  <c r="E357" i="4"/>
  <c r="F364" i="6"/>
  <c r="J364" i="6" s="1"/>
  <c r="Q364" i="6" s="1"/>
  <c r="X110" i="4"/>
  <c r="I120" i="16"/>
  <c r="C122" i="16"/>
  <c r="F121" i="16"/>
  <c r="D123" i="16"/>
  <c r="G122" i="16"/>
  <c r="E122" i="16"/>
  <c r="H121" i="16"/>
  <c r="I121" i="16" s="1"/>
  <c r="AK156" i="2"/>
  <c r="AL155" i="2"/>
  <c r="AW153" i="2"/>
  <c r="AX153" i="2" s="1"/>
  <c r="X156" i="2"/>
  <c r="Y156" i="2" s="1"/>
  <c r="K122" i="14" l="1"/>
  <c r="I123" i="14"/>
  <c r="J123" i="14"/>
  <c r="T111" i="4"/>
  <c r="U110" i="4"/>
  <c r="Y110" i="4"/>
  <c r="Z117" i="6" s="1"/>
  <c r="Y117" i="6"/>
  <c r="R110" i="4"/>
  <c r="S109" i="4"/>
  <c r="T116" i="6" s="1"/>
  <c r="S116" i="6"/>
  <c r="L371" i="2"/>
  <c r="E358" i="4"/>
  <c r="F365" i="6"/>
  <c r="J365" i="6" s="1"/>
  <c r="Q365" i="6" s="1"/>
  <c r="X111" i="4"/>
  <c r="E123" i="16"/>
  <c r="H122" i="16"/>
  <c r="D124" i="16"/>
  <c r="G123" i="16"/>
  <c r="C123" i="16"/>
  <c r="F122" i="16"/>
  <c r="AK157" i="2"/>
  <c r="AL156" i="2"/>
  <c r="AW154" i="2"/>
  <c r="AX154" i="2" s="1"/>
  <c r="X157" i="2"/>
  <c r="Y157" i="2" s="1"/>
  <c r="K123" i="14" l="1"/>
  <c r="I124" i="14"/>
  <c r="J124" i="14"/>
  <c r="T112" i="4"/>
  <c r="U111" i="4"/>
  <c r="Y111" i="4"/>
  <c r="Z118" i="6" s="1"/>
  <c r="Y118" i="6"/>
  <c r="R111" i="4"/>
  <c r="S110" i="4"/>
  <c r="T117" i="6" s="1"/>
  <c r="S117" i="6"/>
  <c r="F366" i="6"/>
  <c r="J366" i="6" s="1"/>
  <c r="Q366" i="6" s="1"/>
  <c r="L372" i="2"/>
  <c r="E359" i="4"/>
  <c r="X112" i="4"/>
  <c r="I122" i="16"/>
  <c r="C124" i="16"/>
  <c r="F123" i="16"/>
  <c r="D125" i="16"/>
  <c r="G124" i="16"/>
  <c r="E124" i="16"/>
  <c r="H123" i="16"/>
  <c r="I123" i="16" s="1"/>
  <c r="AK158" i="2"/>
  <c r="AL157" i="2"/>
  <c r="AW155" i="2"/>
  <c r="AX155" i="2" s="1"/>
  <c r="X158" i="2"/>
  <c r="Y158" i="2" s="1"/>
  <c r="K124" i="14" l="1"/>
  <c r="I125" i="14"/>
  <c r="J125" i="14"/>
  <c r="T113" i="4"/>
  <c r="U112" i="4"/>
  <c r="Y112" i="4"/>
  <c r="Z119" i="6" s="1"/>
  <c r="Y119" i="6"/>
  <c r="S111" i="4"/>
  <c r="T118" i="6" s="1"/>
  <c r="R112" i="4"/>
  <c r="S118" i="6"/>
  <c r="L373" i="2"/>
  <c r="F367" i="6"/>
  <c r="J367" i="6" s="1"/>
  <c r="Q367" i="6" s="1"/>
  <c r="E360" i="4"/>
  <c r="X113" i="4"/>
  <c r="E125" i="16"/>
  <c r="H124" i="16"/>
  <c r="D126" i="16"/>
  <c r="G125" i="16"/>
  <c r="C125" i="16"/>
  <c r="F124" i="16"/>
  <c r="AK159" i="2"/>
  <c r="AL158" i="2"/>
  <c r="AW156" i="2"/>
  <c r="AX156" i="2" s="1"/>
  <c r="X159" i="2"/>
  <c r="Y159" i="2" s="1"/>
  <c r="K125" i="14" l="1"/>
  <c r="I126" i="14"/>
  <c r="J126" i="14"/>
  <c r="T114" i="4"/>
  <c r="U113" i="4"/>
  <c r="Y113" i="4"/>
  <c r="Z120" i="6" s="1"/>
  <c r="Y120" i="6"/>
  <c r="R113" i="4"/>
  <c r="S112" i="4"/>
  <c r="T119" i="6" s="1"/>
  <c r="S119" i="6"/>
  <c r="L374" i="2"/>
  <c r="E361" i="4"/>
  <c r="F368" i="6"/>
  <c r="J368" i="6" s="1"/>
  <c r="Q368" i="6" s="1"/>
  <c r="X114" i="4"/>
  <c r="I124" i="16"/>
  <c r="C126" i="16"/>
  <c r="F125" i="16"/>
  <c r="D127" i="16"/>
  <c r="G126" i="16"/>
  <c r="E126" i="16"/>
  <c r="H125" i="16"/>
  <c r="I125" i="16" s="1"/>
  <c r="AK160" i="2"/>
  <c r="AL159" i="2"/>
  <c r="AW157" i="2"/>
  <c r="AX157" i="2" s="1"/>
  <c r="X160" i="2"/>
  <c r="Y160" i="2" s="1"/>
  <c r="K126" i="14" l="1"/>
  <c r="I127" i="14"/>
  <c r="J127" i="14"/>
  <c r="T115" i="4"/>
  <c r="U114" i="4"/>
  <c r="Y114" i="4"/>
  <c r="Z121" i="6" s="1"/>
  <c r="Y121" i="6"/>
  <c r="R114" i="4"/>
  <c r="S113" i="4"/>
  <c r="T120" i="6" s="1"/>
  <c r="S120" i="6"/>
  <c r="E362" i="4"/>
  <c r="L375" i="2"/>
  <c r="F369" i="6"/>
  <c r="J369" i="6" s="1"/>
  <c r="Q369" i="6" s="1"/>
  <c r="X115" i="4"/>
  <c r="E127" i="16"/>
  <c r="H126" i="16"/>
  <c r="D128" i="16"/>
  <c r="G127" i="16"/>
  <c r="C127" i="16"/>
  <c r="F126" i="16"/>
  <c r="AK161" i="2"/>
  <c r="AL160" i="2"/>
  <c r="AW158" i="2"/>
  <c r="AX158" i="2" s="1"/>
  <c r="X161" i="2"/>
  <c r="Y161" i="2" s="1"/>
  <c r="K127" i="14" l="1"/>
  <c r="I128" i="14"/>
  <c r="J128" i="14"/>
  <c r="T116" i="4"/>
  <c r="U115" i="4"/>
  <c r="Y115" i="4"/>
  <c r="Z122" i="6" s="1"/>
  <c r="Y122" i="6"/>
  <c r="S114" i="4"/>
  <c r="T121" i="6" s="1"/>
  <c r="R115" i="4"/>
  <c r="S121" i="6"/>
  <c r="L376" i="2"/>
  <c r="E363" i="4"/>
  <c r="F370" i="6"/>
  <c r="J370" i="6" s="1"/>
  <c r="Q370" i="6" s="1"/>
  <c r="X116" i="4"/>
  <c r="I126" i="16"/>
  <c r="C128" i="16"/>
  <c r="F127" i="16"/>
  <c r="D129" i="16"/>
  <c r="G128" i="16"/>
  <c r="E128" i="16"/>
  <c r="H127" i="16"/>
  <c r="I127" i="16" s="1"/>
  <c r="AK162" i="2"/>
  <c r="AL161" i="2"/>
  <c r="AW159" i="2"/>
  <c r="AX159" i="2" s="1"/>
  <c r="X162" i="2"/>
  <c r="Y162" i="2" s="1"/>
  <c r="K128" i="14" l="1"/>
  <c r="I129" i="14"/>
  <c r="J129" i="14"/>
  <c r="T117" i="4"/>
  <c r="U116" i="4"/>
  <c r="Y116" i="4"/>
  <c r="Z123" i="6" s="1"/>
  <c r="Y123" i="6"/>
  <c r="R116" i="4"/>
  <c r="S115" i="4"/>
  <c r="T122" i="6" s="1"/>
  <c r="S122" i="6"/>
  <c r="L377" i="2"/>
  <c r="E364" i="4"/>
  <c r="F371" i="6"/>
  <c r="J371" i="6" s="1"/>
  <c r="Q371" i="6" s="1"/>
  <c r="X117" i="4"/>
  <c r="E129" i="16"/>
  <c r="H128" i="16"/>
  <c r="D130" i="16"/>
  <c r="G129" i="16"/>
  <c r="C129" i="16"/>
  <c r="F128" i="16"/>
  <c r="AK163" i="2"/>
  <c r="AL162" i="2"/>
  <c r="AW160" i="2"/>
  <c r="AX160" i="2" s="1"/>
  <c r="X163" i="2"/>
  <c r="Y163" i="2" s="1"/>
  <c r="K129" i="14" l="1"/>
  <c r="I130" i="14"/>
  <c r="J130" i="14"/>
  <c r="T118" i="4"/>
  <c r="U117" i="4"/>
  <c r="Y117" i="4"/>
  <c r="Z124" i="6" s="1"/>
  <c r="Y124" i="6"/>
  <c r="R117" i="4"/>
  <c r="S116" i="4"/>
  <c r="T123" i="6" s="1"/>
  <c r="S123" i="6"/>
  <c r="L378" i="2"/>
  <c r="E365" i="4"/>
  <c r="F372" i="6"/>
  <c r="J372" i="6" s="1"/>
  <c r="Q372" i="6" s="1"/>
  <c r="X118" i="4"/>
  <c r="I128" i="16"/>
  <c r="C130" i="16"/>
  <c r="F129" i="16"/>
  <c r="D131" i="16"/>
  <c r="G130" i="16"/>
  <c r="E130" i="16"/>
  <c r="H129" i="16"/>
  <c r="I129" i="16" s="1"/>
  <c r="AK164" i="2"/>
  <c r="AL163" i="2"/>
  <c r="AW161" i="2"/>
  <c r="AX161" i="2" s="1"/>
  <c r="X164" i="2"/>
  <c r="Y164" i="2" s="1"/>
  <c r="K130" i="14" l="1"/>
  <c r="I131" i="14"/>
  <c r="J131" i="14"/>
  <c r="T119" i="4"/>
  <c r="U118" i="4"/>
  <c r="Y118" i="4"/>
  <c r="Z125" i="6" s="1"/>
  <c r="Y125" i="6"/>
  <c r="R118" i="4"/>
  <c r="S117" i="4"/>
  <c r="T124" i="6" s="1"/>
  <c r="S124" i="6"/>
  <c r="F373" i="6"/>
  <c r="J373" i="6" s="1"/>
  <c r="Q373" i="6" s="1"/>
  <c r="L379" i="2"/>
  <c r="E366" i="4"/>
  <c r="X119" i="4"/>
  <c r="E131" i="16"/>
  <c r="H130" i="16"/>
  <c r="D132" i="16"/>
  <c r="G131" i="16"/>
  <c r="C131" i="16"/>
  <c r="F130" i="16"/>
  <c r="AK165" i="2"/>
  <c r="AL164" i="2"/>
  <c r="AW162" i="2"/>
  <c r="AX162" i="2" s="1"/>
  <c r="X165" i="2"/>
  <c r="Y165" i="2" s="1"/>
  <c r="K131" i="14" l="1"/>
  <c r="I132" i="14"/>
  <c r="J132" i="14"/>
  <c r="T120" i="4"/>
  <c r="U119" i="4"/>
  <c r="Y119" i="4"/>
  <c r="Z126" i="6" s="1"/>
  <c r="Y126" i="6"/>
  <c r="S118" i="4"/>
  <c r="T125" i="6" s="1"/>
  <c r="R119" i="4"/>
  <c r="S125" i="6"/>
  <c r="L380" i="2"/>
  <c r="E367" i="4"/>
  <c r="F374" i="6"/>
  <c r="J374" i="6" s="1"/>
  <c r="Q374" i="6" s="1"/>
  <c r="X120" i="4"/>
  <c r="I130" i="16"/>
  <c r="C132" i="16"/>
  <c r="F131" i="16"/>
  <c r="D133" i="16"/>
  <c r="G132" i="16"/>
  <c r="E132" i="16"/>
  <c r="H131" i="16"/>
  <c r="I131" i="16" s="1"/>
  <c r="AK166" i="2"/>
  <c r="AL165" i="2"/>
  <c r="AW163" i="2"/>
  <c r="AX163" i="2" s="1"/>
  <c r="X166" i="2"/>
  <c r="Y166" i="2" s="1"/>
  <c r="K132" i="14" l="1"/>
  <c r="I133" i="14"/>
  <c r="J133" i="14"/>
  <c r="T121" i="4"/>
  <c r="U120" i="4"/>
  <c r="Y120" i="4"/>
  <c r="Z127" i="6" s="1"/>
  <c r="Y127" i="6"/>
  <c r="S119" i="4"/>
  <c r="T126" i="6" s="1"/>
  <c r="R120" i="4"/>
  <c r="S126" i="6"/>
  <c r="L381" i="2"/>
  <c r="F375" i="6"/>
  <c r="J375" i="6" s="1"/>
  <c r="Q375" i="6" s="1"/>
  <c r="E368" i="4"/>
  <c r="X121" i="4"/>
  <c r="E133" i="16"/>
  <c r="H132" i="16"/>
  <c r="D134" i="16"/>
  <c r="G133" i="16"/>
  <c r="C133" i="16"/>
  <c r="F132" i="16"/>
  <c r="AK167" i="2"/>
  <c r="AL166" i="2"/>
  <c r="AW164" i="2"/>
  <c r="AX164" i="2" s="1"/>
  <c r="X167" i="2"/>
  <c r="Y167" i="2" s="1"/>
  <c r="K133" i="14" l="1"/>
  <c r="I134" i="14"/>
  <c r="J134" i="14"/>
  <c r="T122" i="4"/>
  <c r="U121" i="4"/>
  <c r="Y121" i="4"/>
  <c r="Z128" i="6" s="1"/>
  <c r="Y128" i="6"/>
  <c r="R121" i="4"/>
  <c r="S120" i="4"/>
  <c r="T127" i="6" s="1"/>
  <c r="S127" i="6"/>
  <c r="L382" i="2"/>
  <c r="E369" i="4"/>
  <c r="F376" i="6"/>
  <c r="J376" i="6" s="1"/>
  <c r="Q376" i="6" s="1"/>
  <c r="X122" i="4"/>
  <c r="I132" i="16"/>
  <c r="C134" i="16"/>
  <c r="F133" i="16"/>
  <c r="D135" i="16"/>
  <c r="G134" i="16"/>
  <c r="E134" i="16"/>
  <c r="H133" i="16"/>
  <c r="I133" i="16" s="1"/>
  <c r="AK168" i="2"/>
  <c r="AL167" i="2"/>
  <c r="AW165" i="2"/>
  <c r="AX165" i="2" s="1"/>
  <c r="X168" i="2"/>
  <c r="Y168" i="2" s="1"/>
  <c r="K134" i="14" l="1"/>
  <c r="I135" i="14"/>
  <c r="J135" i="14"/>
  <c r="T123" i="4"/>
  <c r="U122" i="4"/>
  <c r="Y122" i="4"/>
  <c r="Z129" i="6" s="1"/>
  <c r="Y129" i="6"/>
  <c r="S121" i="4"/>
  <c r="T128" i="6" s="1"/>
  <c r="R122" i="4"/>
  <c r="S128" i="6"/>
  <c r="L383" i="2"/>
  <c r="E370" i="4"/>
  <c r="F377" i="6"/>
  <c r="J377" i="6" s="1"/>
  <c r="Q377" i="6" s="1"/>
  <c r="X123" i="4"/>
  <c r="E135" i="16"/>
  <c r="H134" i="16"/>
  <c r="D136" i="16"/>
  <c r="G135" i="16"/>
  <c r="C135" i="16"/>
  <c r="F134" i="16"/>
  <c r="AK169" i="2"/>
  <c r="AL168" i="2"/>
  <c r="AW166" i="2"/>
  <c r="AX166" i="2" s="1"/>
  <c r="X169" i="2"/>
  <c r="Y169" i="2" s="1"/>
  <c r="K135" i="14" l="1"/>
  <c r="I136" i="14"/>
  <c r="J136" i="14"/>
  <c r="T124" i="4"/>
  <c r="U123" i="4"/>
  <c r="Y123" i="4"/>
  <c r="Z130" i="6" s="1"/>
  <c r="Y130" i="6"/>
  <c r="S122" i="4"/>
  <c r="T129" i="6" s="1"/>
  <c r="R123" i="4"/>
  <c r="S129" i="6"/>
  <c r="L384" i="2"/>
  <c r="F378" i="6"/>
  <c r="J378" i="6" s="1"/>
  <c r="Q378" i="6" s="1"/>
  <c r="E371" i="4"/>
  <c r="X124" i="4"/>
  <c r="I134" i="16"/>
  <c r="C136" i="16"/>
  <c r="F135" i="16"/>
  <c r="D137" i="16"/>
  <c r="G136" i="16"/>
  <c r="E136" i="16"/>
  <c r="H135" i="16"/>
  <c r="I135" i="16" s="1"/>
  <c r="AK170" i="2"/>
  <c r="AL169" i="2"/>
  <c r="AW167" i="2"/>
  <c r="AX167" i="2" s="1"/>
  <c r="X170" i="2"/>
  <c r="Y170" i="2" s="1"/>
  <c r="K136" i="14" l="1"/>
  <c r="I137" i="14"/>
  <c r="J137" i="14"/>
  <c r="T125" i="4"/>
  <c r="U124" i="4"/>
  <c r="Y124" i="4"/>
  <c r="Z131" i="6" s="1"/>
  <c r="Y131" i="6"/>
  <c r="R124" i="4"/>
  <c r="S123" i="4"/>
  <c r="T130" i="6" s="1"/>
  <c r="S130" i="6"/>
  <c r="L385" i="2"/>
  <c r="E372" i="4"/>
  <c r="F379" i="6"/>
  <c r="J379" i="6" s="1"/>
  <c r="Q379" i="6" s="1"/>
  <c r="X125" i="4"/>
  <c r="E137" i="16"/>
  <c r="H136" i="16"/>
  <c r="D138" i="16"/>
  <c r="G137" i="16"/>
  <c r="C137" i="16"/>
  <c r="F136" i="16"/>
  <c r="AK171" i="2"/>
  <c r="AL170" i="2"/>
  <c r="AW168" i="2"/>
  <c r="AX168" i="2" s="1"/>
  <c r="X171" i="2"/>
  <c r="Y171" i="2" s="1"/>
  <c r="K137" i="14" l="1"/>
  <c r="I138" i="14"/>
  <c r="J138" i="14"/>
  <c r="T126" i="4"/>
  <c r="U125" i="4"/>
  <c r="Y125" i="4"/>
  <c r="Z132" i="6" s="1"/>
  <c r="Y132" i="6"/>
  <c r="S124" i="4"/>
  <c r="T131" i="6" s="1"/>
  <c r="R125" i="4"/>
  <c r="S131" i="6"/>
  <c r="L386" i="2"/>
  <c r="E373" i="4"/>
  <c r="F380" i="6"/>
  <c r="J380" i="6" s="1"/>
  <c r="Q380" i="6" s="1"/>
  <c r="X126" i="4"/>
  <c r="I136" i="16"/>
  <c r="C138" i="16"/>
  <c r="F137" i="16"/>
  <c r="D139" i="16"/>
  <c r="G138" i="16"/>
  <c r="E138" i="16"/>
  <c r="H137" i="16"/>
  <c r="I137" i="16" s="1"/>
  <c r="AK172" i="2"/>
  <c r="AL171" i="2"/>
  <c r="AW169" i="2"/>
  <c r="AX169" i="2" s="1"/>
  <c r="X172" i="2"/>
  <c r="Y172" i="2" s="1"/>
  <c r="K138" i="14" l="1"/>
  <c r="I139" i="14"/>
  <c r="J139" i="14"/>
  <c r="T127" i="4"/>
  <c r="U126" i="4"/>
  <c r="Y126" i="4"/>
  <c r="Z133" i="6" s="1"/>
  <c r="Y133" i="6"/>
  <c r="R126" i="4"/>
  <c r="S125" i="4"/>
  <c r="T132" i="6" s="1"/>
  <c r="S132" i="6"/>
  <c r="L387" i="2"/>
  <c r="F381" i="6"/>
  <c r="J381" i="6" s="1"/>
  <c r="Q381" i="6" s="1"/>
  <c r="E374" i="4"/>
  <c r="X127" i="4"/>
  <c r="E139" i="16"/>
  <c r="H138" i="16"/>
  <c r="D140" i="16"/>
  <c r="G139" i="16"/>
  <c r="C139" i="16"/>
  <c r="F138" i="16"/>
  <c r="AK173" i="2"/>
  <c r="AL172" i="2"/>
  <c r="AW170" i="2"/>
  <c r="AX170" i="2" s="1"/>
  <c r="X173" i="2"/>
  <c r="Y173" i="2" s="1"/>
  <c r="K139" i="14" l="1"/>
  <c r="I140" i="14"/>
  <c r="J140" i="14"/>
  <c r="T128" i="4"/>
  <c r="U127" i="4"/>
  <c r="Y127" i="4"/>
  <c r="Z134" i="6" s="1"/>
  <c r="Y134" i="6"/>
  <c r="R127" i="4"/>
  <c r="S126" i="4"/>
  <c r="T133" i="6" s="1"/>
  <c r="S133" i="6"/>
  <c r="E375" i="4"/>
  <c r="F382" i="6"/>
  <c r="J382" i="6" s="1"/>
  <c r="Q382" i="6" s="1"/>
  <c r="X128" i="4"/>
  <c r="I138" i="16"/>
  <c r="C140" i="16"/>
  <c r="F139" i="16"/>
  <c r="D141" i="16"/>
  <c r="G140" i="16"/>
  <c r="E140" i="16"/>
  <c r="H139" i="16"/>
  <c r="AK174" i="2"/>
  <c r="AL173" i="2"/>
  <c r="AW171" i="2"/>
  <c r="AX171" i="2" s="1"/>
  <c r="X174" i="2"/>
  <c r="Y174" i="2" s="1"/>
  <c r="K140" i="14" l="1"/>
  <c r="I141" i="14"/>
  <c r="J141" i="14"/>
  <c r="I139" i="16"/>
  <c r="T129" i="4"/>
  <c r="U128" i="4"/>
  <c r="Y128" i="4"/>
  <c r="Z135" i="6" s="1"/>
  <c r="Y135" i="6"/>
  <c r="R128" i="4"/>
  <c r="S127" i="4"/>
  <c r="T134" i="6" s="1"/>
  <c r="S134" i="6"/>
  <c r="X129" i="4"/>
  <c r="E141" i="16"/>
  <c r="H140" i="16"/>
  <c r="D142" i="16"/>
  <c r="G141" i="16"/>
  <c r="C141" i="16"/>
  <c r="F140" i="16"/>
  <c r="AK175" i="2"/>
  <c r="AL174" i="2"/>
  <c r="AW172" i="2"/>
  <c r="AX172" i="2" s="1"/>
  <c r="X175" i="2"/>
  <c r="Y175" i="2" s="1"/>
  <c r="K141" i="14" l="1"/>
  <c r="I142" i="14"/>
  <c r="J142" i="14"/>
  <c r="T130" i="4"/>
  <c r="U129" i="4"/>
  <c r="Y129" i="4"/>
  <c r="Z136" i="6" s="1"/>
  <c r="Y136" i="6"/>
  <c r="R129" i="4"/>
  <c r="S128" i="4"/>
  <c r="T135" i="6" s="1"/>
  <c r="S135" i="6"/>
  <c r="X130" i="4"/>
  <c r="I140" i="16"/>
  <c r="C142" i="16"/>
  <c r="F141" i="16"/>
  <c r="D143" i="16"/>
  <c r="G142" i="16"/>
  <c r="E142" i="16"/>
  <c r="H141" i="16"/>
  <c r="I141" i="16" s="1"/>
  <c r="AK176" i="2"/>
  <c r="AL175" i="2"/>
  <c r="AW173" i="2"/>
  <c r="AX173" i="2" s="1"/>
  <c r="X176" i="2"/>
  <c r="Y176" i="2" s="1"/>
  <c r="K142" i="14" l="1"/>
  <c r="I143" i="14"/>
  <c r="J143" i="14"/>
  <c r="T131" i="4"/>
  <c r="U130" i="4"/>
  <c r="Y130" i="4"/>
  <c r="Z137" i="6" s="1"/>
  <c r="Y137" i="6"/>
  <c r="R130" i="4"/>
  <c r="S129" i="4"/>
  <c r="T136" i="6" s="1"/>
  <c r="S136" i="6"/>
  <c r="X131" i="4"/>
  <c r="E143" i="16"/>
  <c r="H142" i="16"/>
  <c r="D144" i="16"/>
  <c r="G143" i="16"/>
  <c r="C143" i="16"/>
  <c r="F142" i="16"/>
  <c r="AK177" i="2"/>
  <c r="AL176" i="2"/>
  <c r="AW174" i="2"/>
  <c r="AX174" i="2" s="1"/>
  <c r="X177" i="2"/>
  <c r="Y177" i="2" s="1"/>
  <c r="K143" i="14" l="1"/>
  <c r="I144" i="14"/>
  <c r="J144" i="14"/>
  <c r="T132" i="4"/>
  <c r="U131" i="4"/>
  <c r="Y131" i="4"/>
  <c r="Z138" i="6" s="1"/>
  <c r="Y138" i="6"/>
  <c r="R131" i="4"/>
  <c r="S130" i="4"/>
  <c r="T137" i="6" s="1"/>
  <c r="S137" i="6"/>
  <c r="X132" i="4"/>
  <c r="I142" i="16"/>
  <c r="C144" i="16"/>
  <c r="F143" i="16"/>
  <c r="D145" i="16"/>
  <c r="G144" i="16"/>
  <c r="E144" i="16"/>
  <c r="H143" i="16"/>
  <c r="I143" i="16" s="1"/>
  <c r="AK178" i="2"/>
  <c r="AL177" i="2"/>
  <c r="AW175" i="2"/>
  <c r="AX175" i="2" s="1"/>
  <c r="X178" i="2"/>
  <c r="Y178" i="2" s="1"/>
  <c r="K144" i="14" l="1"/>
  <c r="I145" i="14"/>
  <c r="J145" i="14"/>
  <c r="T133" i="4"/>
  <c r="U132" i="4"/>
  <c r="Y132" i="4"/>
  <c r="Z139" i="6" s="1"/>
  <c r="Y139" i="6"/>
  <c r="R132" i="4"/>
  <c r="S131" i="4"/>
  <c r="T138" i="6" s="1"/>
  <c r="S138" i="6"/>
  <c r="X133" i="4"/>
  <c r="E145" i="16"/>
  <c r="H144" i="16"/>
  <c r="D146" i="16"/>
  <c r="G145" i="16"/>
  <c r="C145" i="16"/>
  <c r="F144" i="16"/>
  <c r="AK179" i="2"/>
  <c r="AL178" i="2"/>
  <c r="AW176" i="2"/>
  <c r="AX176" i="2" s="1"/>
  <c r="X179" i="2"/>
  <c r="Y179" i="2" s="1"/>
  <c r="K145" i="14" l="1"/>
  <c r="I146" i="14"/>
  <c r="J146" i="14"/>
  <c r="T134" i="4"/>
  <c r="U133" i="4"/>
  <c r="Y133" i="4"/>
  <c r="Z140" i="6" s="1"/>
  <c r="Y140" i="6"/>
  <c r="S132" i="4"/>
  <c r="T139" i="6" s="1"/>
  <c r="R133" i="4"/>
  <c r="S139" i="6"/>
  <c r="X134" i="4"/>
  <c r="I144" i="16"/>
  <c r="C146" i="16"/>
  <c r="F145" i="16"/>
  <c r="D147" i="16"/>
  <c r="G146" i="16"/>
  <c r="E146" i="16"/>
  <c r="H145" i="16"/>
  <c r="AK180" i="2"/>
  <c r="AL179" i="2"/>
  <c r="AW177" i="2"/>
  <c r="AX177" i="2" s="1"/>
  <c r="X180" i="2"/>
  <c r="Y180" i="2" s="1"/>
  <c r="K146" i="14" l="1"/>
  <c r="I147" i="14"/>
  <c r="J147" i="14"/>
  <c r="I145" i="16"/>
  <c r="T135" i="4"/>
  <c r="U134" i="4"/>
  <c r="Y134" i="4"/>
  <c r="Z141" i="6" s="1"/>
  <c r="Y141" i="6"/>
  <c r="R134" i="4"/>
  <c r="S133" i="4"/>
  <c r="T140" i="6" s="1"/>
  <c r="S140" i="6"/>
  <c r="X135" i="4"/>
  <c r="E147" i="16"/>
  <c r="H146" i="16"/>
  <c r="D148" i="16"/>
  <c r="G147" i="16"/>
  <c r="C147" i="16"/>
  <c r="F146" i="16"/>
  <c r="AK181" i="2"/>
  <c r="AL180" i="2"/>
  <c r="AW178" i="2"/>
  <c r="AX178" i="2" s="1"/>
  <c r="X181" i="2"/>
  <c r="Y181" i="2" s="1"/>
  <c r="K147" i="14" l="1"/>
  <c r="I148" i="14"/>
  <c r="J148" i="14"/>
  <c r="T136" i="4"/>
  <c r="U135" i="4"/>
  <c r="Y135" i="4"/>
  <c r="Z142" i="6" s="1"/>
  <c r="Y142" i="6"/>
  <c r="S134" i="4"/>
  <c r="T141" i="6" s="1"/>
  <c r="R135" i="4"/>
  <c r="S141" i="6"/>
  <c r="X136" i="4"/>
  <c r="I146" i="16"/>
  <c r="C148" i="16"/>
  <c r="F147" i="16"/>
  <c r="D149" i="16"/>
  <c r="G148" i="16"/>
  <c r="E148" i="16"/>
  <c r="H147" i="16"/>
  <c r="I147" i="16" s="1"/>
  <c r="AK182" i="2"/>
  <c r="AL181" i="2"/>
  <c r="AW179" i="2"/>
  <c r="AX179" i="2" s="1"/>
  <c r="X182" i="2"/>
  <c r="Y182" i="2" s="1"/>
  <c r="K148" i="14" l="1"/>
  <c r="I149" i="14"/>
  <c r="J149" i="14"/>
  <c r="T137" i="4"/>
  <c r="U136" i="4"/>
  <c r="Y136" i="4"/>
  <c r="Z143" i="6" s="1"/>
  <c r="Y143" i="6"/>
  <c r="R136" i="4"/>
  <c r="S135" i="4"/>
  <c r="T142" i="6" s="1"/>
  <c r="S142" i="6"/>
  <c r="X137" i="4"/>
  <c r="E149" i="16"/>
  <c r="H148" i="16"/>
  <c r="D150" i="16"/>
  <c r="G149" i="16"/>
  <c r="C149" i="16"/>
  <c r="F148" i="16"/>
  <c r="AK183" i="2"/>
  <c r="AL182" i="2"/>
  <c r="AW180" i="2"/>
  <c r="AX180" i="2" s="1"/>
  <c r="X183" i="2"/>
  <c r="Y183" i="2" s="1"/>
  <c r="K149" i="14" l="1"/>
  <c r="I150" i="14"/>
  <c r="J150" i="14"/>
  <c r="T138" i="4"/>
  <c r="U137" i="4"/>
  <c r="Y137" i="4"/>
  <c r="Z144" i="6" s="1"/>
  <c r="Y144" i="6"/>
  <c r="R137" i="4"/>
  <c r="S136" i="4"/>
  <c r="T143" i="6" s="1"/>
  <c r="S143" i="6"/>
  <c r="X138" i="4"/>
  <c r="I148" i="16"/>
  <c r="C150" i="16"/>
  <c r="F149" i="16"/>
  <c r="D151" i="16"/>
  <c r="G150" i="16"/>
  <c r="E150" i="16"/>
  <c r="H149" i="16"/>
  <c r="I149" i="16" s="1"/>
  <c r="AK184" i="2"/>
  <c r="AL183" i="2"/>
  <c r="AW181" i="2"/>
  <c r="AX181" i="2" s="1"/>
  <c r="X184" i="2"/>
  <c r="Y184" i="2" s="1"/>
  <c r="K150" i="14" l="1"/>
  <c r="I151" i="14"/>
  <c r="J151" i="14"/>
  <c r="T139" i="4"/>
  <c r="U138" i="4"/>
  <c r="Y138" i="4"/>
  <c r="Z145" i="6" s="1"/>
  <c r="Y145" i="6"/>
  <c r="R138" i="4"/>
  <c r="S137" i="4"/>
  <c r="T144" i="6" s="1"/>
  <c r="S144" i="6"/>
  <c r="X139" i="4"/>
  <c r="E151" i="16"/>
  <c r="H150" i="16"/>
  <c r="D152" i="16"/>
  <c r="G151" i="16"/>
  <c r="C151" i="16"/>
  <c r="F150" i="16"/>
  <c r="AK185" i="2"/>
  <c r="AL184" i="2"/>
  <c r="AW182" i="2"/>
  <c r="AX182" i="2" s="1"/>
  <c r="X185" i="2"/>
  <c r="Y185" i="2" s="1"/>
  <c r="K151" i="14" l="1"/>
  <c r="I152" i="14"/>
  <c r="J152" i="14"/>
  <c r="T140" i="4"/>
  <c r="U139" i="4"/>
  <c r="Y139" i="4"/>
  <c r="Z146" i="6" s="1"/>
  <c r="Y146" i="6"/>
  <c r="R139" i="4"/>
  <c r="S138" i="4"/>
  <c r="T145" i="6" s="1"/>
  <c r="S145" i="6"/>
  <c r="X140" i="4"/>
  <c r="I150" i="16"/>
  <c r="C152" i="16"/>
  <c r="F151" i="16"/>
  <c r="D153" i="16"/>
  <c r="G152" i="16"/>
  <c r="E152" i="16"/>
  <c r="H151" i="16"/>
  <c r="I151" i="16" s="1"/>
  <c r="AK186" i="2"/>
  <c r="AL185" i="2"/>
  <c r="AW183" i="2"/>
  <c r="AX183" i="2" s="1"/>
  <c r="X186" i="2"/>
  <c r="Y186" i="2" s="1"/>
  <c r="K152" i="14" l="1"/>
  <c r="I153" i="14"/>
  <c r="J153" i="14"/>
  <c r="T141" i="4"/>
  <c r="U140" i="4"/>
  <c r="Y140" i="4"/>
  <c r="Z147" i="6" s="1"/>
  <c r="Y147" i="6"/>
  <c r="S139" i="4"/>
  <c r="T146" i="6" s="1"/>
  <c r="R140" i="4"/>
  <c r="S146" i="6"/>
  <c r="X141" i="4"/>
  <c r="E153" i="16"/>
  <c r="H152" i="16"/>
  <c r="D154" i="16"/>
  <c r="G153" i="16"/>
  <c r="C153" i="16"/>
  <c r="F152" i="16"/>
  <c r="AK187" i="2"/>
  <c r="AL186" i="2"/>
  <c r="AW184" i="2"/>
  <c r="AX184" i="2" s="1"/>
  <c r="X187" i="2"/>
  <c r="Y187" i="2" s="1"/>
  <c r="K153" i="14" l="1"/>
  <c r="I154" i="14"/>
  <c r="J154" i="14"/>
  <c r="T142" i="4"/>
  <c r="U141" i="4"/>
  <c r="Y141" i="4"/>
  <c r="Z148" i="6" s="1"/>
  <c r="Y148" i="6"/>
  <c r="S140" i="4"/>
  <c r="T147" i="6" s="1"/>
  <c r="R141" i="4"/>
  <c r="S147" i="6"/>
  <c r="X142" i="4"/>
  <c r="I152" i="16"/>
  <c r="C154" i="16"/>
  <c r="F153" i="16"/>
  <c r="D155" i="16"/>
  <c r="G154" i="16"/>
  <c r="E154" i="16"/>
  <c r="H153" i="16"/>
  <c r="AK188" i="2"/>
  <c r="AL187" i="2"/>
  <c r="AW185" i="2"/>
  <c r="AX185" i="2" s="1"/>
  <c r="X188" i="2"/>
  <c r="Y188" i="2" s="1"/>
  <c r="K154" i="14" l="1"/>
  <c r="I155" i="14"/>
  <c r="J155" i="14"/>
  <c r="I153" i="16"/>
  <c r="T143" i="4"/>
  <c r="U142" i="4"/>
  <c r="Y142" i="4"/>
  <c r="Z149" i="6" s="1"/>
  <c r="Y149" i="6"/>
  <c r="R142" i="4"/>
  <c r="S141" i="4"/>
  <c r="T148" i="6" s="1"/>
  <c r="S148" i="6"/>
  <c r="X143" i="4"/>
  <c r="E155" i="16"/>
  <c r="H154" i="16"/>
  <c r="D156" i="16"/>
  <c r="G155" i="16"/>
  <c r="C155" i="16"/>
  <c r="F154" i="16"/>
  <c r="AK189" i="2"/>
  <c r="AL188" i="2"/>
  <c r="AW186" i="2"/>
  <c r="AX186" i="2" s="1"/>
  <c r="X189" i="2"/>
  <c r="Y189" i="2" s="1"/>
  <c r="K155" i="14" l="1"/>
  <c r="I156" i="14"/>
  <c r="J156" i="14"/>
  <c r="T144" i="4"/>
  <c r="U143" i="4"/>
  <c r="Y143" i="4"/>
  <c r="Z150" i="6" s="1"/>
  <c r="Y150" i="6"/>
  <c r="R143" i="4"/>
  <c r="S142" i="4"/>
  <c r="T149" i="6" s="1"/>
  <c r="S149" i="6"/>
  <c r="X144" i="4"/>
  <c r="I154" i="16"/>
  <c r="C156" i="16"/>
  <c r="F155" i="16"/>
  <c r="D157" i="16"/>
  <c r="G156" i="16"/>
  <c r="E156" i="16"/>
  <c r="H155" i="16"/>
  <c r="AK190" i="2"/>
  <c r="AL189" i="2"/>
  <c r="AW187" i="2"/>
  <c r="AX187" i="2" s="1"/>
  <c r="X190" i="2"/>
  <c r="Y190" i="2" s="1"/>
  <c r="K156" i="14" l="1"/>
  <c r="I157" i="14"/>
  <c r="J157" i="14"/>
  <c r="I155" i="16"/>
  <c r="T145" i="4"/>
  <c r="U144" i="4"/>
  <c r="Y144" i="4"/>
  <c r="Z151" i="6" s="1"/>
  <c r="Y151" i="6"/>
  <c r="R144" i="4"/>
  <c r="S143" i="4"/>
  <c r="T150" i="6" s="1"/>
  <c r="S150" i="6"/>
  <c r="X145" i="4"/>
  <c r="E157" i="16"/>
  <c r="H156" i="16"/>
  <c r="D158" i="16"/>
  <c r="G157" i="16"/>
  <c r="C157" i="16"/>
  <c r="F156" i="16"/>
  <c r="AK191" i="2"/>
  <c r="AL190" i="2"/>
  <c r="AW188" i="2"/>
  <c r="AX188" i="2" s="1"/>
  <c r="X191" i="2"/>
  <c r="Y191" i="2" s="1"/>
  <c r="K157" i="14" l="1"/>
  <c r="I158" i="14"/>
  <c r="J158" i="14"/>
  <c r="T146" i="4"/>
  <c r="U145" i="4"/>
  <c r="Y145" i="4"/>
  <c r="Z152" i="6" s="1"/>
  <c r="Y152" i="6"/>
  <c r="R145" i="4"/>
  <c r="S144" i="4"/>
  <c r="T151" i="6" s="1"/>
  <c r="S151" i="6"/>
  <c r="X146" i="4"/>
  <c r="I156" i="16"/>
  <c r="C158" i="16"/>
  <c r="F157" i="16"/>
  <c r="D159" i="16"/>
  <c r="G158" i="16"/>
  <c r="E158" i="16"/>
  <c r="H157" i="16"/>
  <c r="I157" i="16" s="1"/>
  <c r="AK192" i="2"/>
  <c r="AL191" i="2"/>
  <c r="AW189" i="2"/>
  <c r="AX189" i="2" s="1"/>
  <c r="X192" i="2"/>
  <c r="Y192" i="2" s="1"/>
  <c r="K158" i="14" l="1"/>
  <c r="I159" i="14"/>
  <c r="J159" i="14"/>
  <c r="T147" i="4"/>
  <c r="U146" i="4"/>
  <c r="Y146" i="4"/>
  <c r="Z153" i="6" s="1"/>
  <c r="Y153" i="6"/>
  <c r="R146" i="4"/>
  <c r="S145" i="4"/>
  <c r="T152" i="6" s="1"/>
  <c r="S152" i="6"/>
  <c r="X147" i="4"/>
  <c r="E159" i="16"/>
  <c r="H158" i="16"/>
  <c r="D160" i="16"/>
  <c r="G159" i="16"/>
  <c r="C159" i="16"/>
  <c r="F158" i="16"/>
  <c r="AK193" i="2"/>
  <c r="AL192" i="2"/>
  <c r="AW190" i="2"/>
  <c r="AX190" i="2" s="1"/>
  <c r="X193" i="2"/>
  <c r="Y193" i="2" s="1"/>
  <c r="K159" i="14" l="1"/>
  <c r="I160" i="14"/>
  <c r="J160" i="14"/>
  <c r="T148" i="4"/>
  <c r="U147" i="4"/>
  <c r="Y147" i="4"/>
  <c r="Z154" i="6" s="1"/>
  <c r="Y154" i="6"/>
  <c r="R147" i="4"/>
  <c r="S146" i="4"/>
  <c r="T153" i="6" s="1"/>
  <c r="S153" i="6"/>
  <c r="X148" i="4"/>
  <c r="I158" i="16"/>
  <c r="C160" i="16"/>
  <c r="F159" i="16"/>
  <c r="D161" i="16"/>
  <c r="G160" i="16"/>
  <c r="E160" i="16"/>
  <c r="H159" i="16"/>
  <c r="AK194" i="2"/>
  <c r="AL193" i="2"/>
  <c r="AW191" i="2"/>
  <c r="AX191" i="2" s="1"/>
  <c r="X194" i="2"/>
  <c r="Y194" i="2" s="1"/>
  <c r="K160" i="14" l="1"/>
  <c r="I161" i="14"/>
  <c r="J161" i="14"/>
  <c r="I159" i="16"/>
  <c r="T149" i="4"/>
  <c r="U148" i="4"/>
  <c r="Y148" i="4"/>
  <c r="Z155" i="6" s="1"/>
  <c r="Y155" i="6"/>
  <c r="R148" i="4"/>
  <c r="S147" i="4"/>
  <c r="T154" i="6" s="1"/>
  <c r="S154" i="6"/>
  <c r="X149" i="4"/>
  <c r="E161" i="16"/>
  <c r="H160" i="16"/>
  <c r="D162" i="16"/>
  <c r="G161" i="16"/>
  <c r="C161" i="16"/>
  <c r="F160" i="16"/>
  <c r="AK195" i="2"/>
  <c r="AL194" i="2"/>
  <c r="AW192" i="2"/>
  <c r="AX192" i="2" s="1"/>
  <c r="X195" i="2"/>
  <c r="Y195" i="2" s="1"/>
  <c r="K161" i="14" l="1"/>
  <c r="I162" i="14"/>
  <c r="J162" i="14"/>
  <c r="T150" i="4"/>
  <c r="U149" i="4"/>
  <c r="Y149" i="4"/>
  <c r="Z156" i="6" s="1"/>
  <c r="Y156" i="6"/>
  <c r="R149" i="4"/>
  <c r="S148" i="4"/>
  <c r="T155" i="6" s="1"/>
  <c r="S155" i="6"/>
  <c r="X150" i="4"/>
  <c r="I160" i="16"/>
  <c r="C162" i="16"/>
  <c r="F161" i="16"/>
  <c r="D163" i="16"/>
  <c r="G162" i="16"/>
  <c r="E162" i="16"/>
  <c r="H161" i="16"/>
  <c r="AK196" i="2"/>
  <c r="AL195" i="2"/>
  <c r="AW193" i="2"/>
  <c r="AX193" i="2" s="1"/>
  <c r="X196" i="2"/>
  <c r="Y196" i="2" s="1"/>
  <c r="K162" i="14" l="1"/>
  <c r="I163" i="14"/>
  <c r="J163" i="14"/>
  <c r="I161" i="16"/>
  <c r="T151" i="4"/>
  <c r="U150" i="4"/>
  <c r="Y150" i="4"/>
  <c r="Z157" i="6" s="1"/>
  <c r="Y157" i="6"/>
  <c r="R150" i="4"/>
  <c r="S149" i="4"/>
  <c r="T156" i="6" s="1"/>
  <c r="S156" i="6"/>
  <c r="X151" i="4"/>
  <c r="E163" i="16"/>
  <c r="H162" i="16"/>
  <c r="D164" i="16"/>
  <c r="G163" i="16"/>
  <c r="C163" i="16"/>
  <c r="F162" i="16"/>
  <c r="AK197" i="2"/>
  <c r="AL196" i="2"/>
  <c r="AW194" i="2"/>
  <c r="AX194" i="2" s="1"/>
  <c r="X197" i="2"/>
  <c r="Y197" i="2" s="1"/>
  <c r="K163" i="14" l="1"/>
  <c r="I164" i="14"/>
  <c r="J164" i="14"/>
  <c r="T152" i="4"/>
  <c r="U151" i="4"/>
  <c r="Y151" i="4"/>
  <c r="Z158" i="6" s="1"/>
  <c r="Y158" i="6"/>
  <c r="R151" i="4"/>
  <c r="S150" i="4"/>
  <c r="T157" i="6" s="1"/>
  <c r="S157" i="6"/>
  <c r="X152" i="4"/>
  <c r="I162" i="16"/>
  <c r="C164" i="16"/>
  <c r="F163" i="16"/>
  <c r="D165" i="16"/>
  <c r="G164" i="16"/>
  <c r="E164" i="16"/>
  <c r="H163" i="16"/>
  <c r="I163" i="16" s="1"/>
  <c r="AK198" i="2"/>
  <c r="AL197" i="2"/>
  <c r="AW195" i="2"/>
  <c r="AX195" i="2" s="1"/>
  <c r="X198" i="2"/>
  <c r="Y198" i="2" s="1"/>
  <c r="K164" i="14" l="1"/>
  <c r="I165" i="14"/>
  <c r="J165" i="14"/>
  <c r="T153" i="4"/>
  <c r="U152" i="4"/>
  <c r="Y152" i="4"/>
  <c r="Z159" i="6" s="1"/>
  <c r="Y159" i="6"/>
  <c r="R152" i="4"/>
  <c r="S151" i="4"/>
  <c r="T158" i="6" s="1"/>
  <c r="S158" i="6"/>
  <c r="X153" i="4"/>
  <c r="E165" i="16"/>
  <c r="H164" i="16"/>
  <c r="D166" i="16"/>
  <c r="G165" i="16"/>
  <c r="C165" i="16"/>
  <c r="F164" i="16"/>
  <c r="AK199" i="2"/>
  <c r="AL198" i="2"/>
  <c r="AW196" i="2"/>
  <c r="AX196" i="2" s="1"/>
  <c r="X199" i="2"/>
  <c r="Y199" i="2" s="1"/>
  <c r="K165" i="14" l="1"/>
  <c r="I166" i="14"/>
  <c r="J166" i="14"/>
  <c r="T154" i="4"/>
  <c r="U153" i="4"/>
  <c r="Y153" i="4"/>
  <c r="Z160" i="6" s="1"/>
  <c r="Y160" i="6"/>
  <c r="R153" i="4"/>
  <c r="S152" i="4"/>
  <c r="T159" i="6" s="1"/>
  <c r="S159" i="6"/>
  <c r="X154" i="4"/>
  <c r="I164" i="16"/>
  <c r="C166" i="16"/>
  <c r="F165" i="16"/>
  <c r="D167" i="16"/>
  <c r="G166" i="16"/>
  <c r="E166" i="16"/>
  <c r="H165" i="16"/>
  <c r="I165" i="16" s="1"/>
  <c r="AK200" i="2"/>
  <c r="AL199" i="2"/>
  <c r="AW197" i="2"/>
  <c r="AX197" i="2" s="1"/>
  <c r="X200" i="2"/>
  <c r="Y200" i="2" s="1"/>
  <c r="K166" i="14" l="1"/>
  <c r="I167" i="14"/>
  <c r="J167" i="14"/>
  <c r="T155" i="4"/>
  <c r="U154" i="4"/>
  <c r="Y154" i="4"/>
  <c r="Z161" i="6" s="1"/>
  <c r="Y161" i="6"/>
  <c r="R154" i="4"/>
  <c r="S153" i="4"/>
  <c r="T160" i="6" s="1"/>
  <c r="S160" i="6"/>
  <c r="X155" i="4"/>
  <c r="E167" i="16"/>
  <c r="H166" i="16"/>
  <c r="D168" i="16"/>
  <c r="G167" i="16"/>
  <c r="C167" i="16"/>
  <c r="F166" i="16"/>
  <c r="AK201" i="2"/>
  <c r="AL200" i="2"/>
  <c r="AW198" i="2"/>
  <c r="AX198" i="2" s="1"/>
  <c r="X201" i="2"/>
  <c r="Y201" i="2" s="1"/>
  <c r="K167" i="14" l="1"/>
  <c r="I168" i="14"/>
  <c r="J168" i="14"/>
  <c r="T156" i="4"/>
  <c r="U155" i="4"/>
  <c r="Y155" i="4"/>
  <c r="Z162" i="6" s="1"/>
  <c r="Y162" i="6"/>
  <c r="R155" i="4"/>
  <c r="S154" i="4"/>
  <c r="T161" i="6" s="1"/>
  <c r="S161" i="6"/>
  <c r="X156" i="4"/>
  <c r="I166" i="16"/>
  <c r="C168" i="16"/>
  <c r="F167" i="16"/>
  <c r="D169" i="16"/>
  <c r="G168" i="16"/>
  <c r="E168" i="16"/>
  <c r="H167" i="16"/>
  <c r="AK202" i="2"/>
  <c r="AL201" i="2"/>
  <c r="AW199" i="2"/>
  <c r="AX199" i="2" s="1"/>
  <c r="X202" i="2"/>
  <c r="Y202" i="2" s="1"/>
  <c r="K168" i="14" l="1"/>
  <c r="I169" i="14"/>
  <c r="J169" i="14"/>
  <c r="T157" i="4"/>
  <c r="U156" i="4"/>
  <c r="Y156" i="4"/>
  <c r="Z163" i="6" s="1"/>
  <c r="Y163" i="6"/>
  <c r="I167" i="16"/>
  <c r="R156" i="4"/>
  <c r="S155" i="4"/>
  <c r="T162" i="6" s="1"/>
  <c r="S162" i="6"/>
  <c r="X157" i="4"/>
  <c r="E169" i="16"/>
  <c r="H168" i="16"/>
  <c r="D170" i="16"/>
  <c r="G169" i="16"/>
  <c r="C169" i="16"/>
  <c r="F168" i="16"/>
  <c r="AK203" i="2"/>
  <c r="AL202" i="2"/>
  <c r="AW200" i="2"/>
  <c r="AX200" i="2" s="1"/>
  <c r="X203" i="2"/>
  <c r="Y203" i="2" s="1"/>
  <c r="K169" i="14" l="1"/>
  <c r="I170" i="14"/>
  <c r="J170" i="14"/>
  <c r="T158" i="4"/>
  <c r="U157" i="4"/>
  <c r="Y157" i="4"/>
  <c r="Z164" i="6" s="1"/>
  <c r="Y164" i="6"/>
  <c r="S156" i="4"/>
  <c r="T163" i="6" s="1"/>
  <c r="R157" i="4"/>
  <c r="S163" i="6"/>
  <c r="X158" i="4"/>
  <c r="I168" i="16"/>
  <c r="C170" i="16"/>
  <c r="F169" i="16"/>
  <c r="D171" i="16"/>
  <c r="G170" i="16"/>
  <c r="E170" i="16"/>
  <c r="H169" i="16"/>
  <c r="I169" i="16" s="1"/>
  <c r="AK204" i="2"/>
  <c r="AL203" i="2"/>
  <c r="AW201" i="2"/>
  <c r="AX201" i="2" s="1"/>
  <c r="X204" i="2"/>
  <c r="Y204" i="2" s="1"/>
  <c r="K170" i="14" l="1"/>
  <c r="I171" i="14"/>
  <c r="J171" i="14"/>
  <c r="T159" i="4"/>
  <c r="U158" i="4"/>
  <c r="Y158" i="4"/>
  <c r="Z165" i="6" s="1"/>
  <c r="Y165" i="6"/>
  <c r="R158" i="4"/>
  <c r="S157" i="4"/>
  <c r="T164" i="6" s="1"/>
  <c r="S164" i="6"/>
  <c r="X159" i="4"/>
  <c r="E171" i="16"/>
  <c r="H170" i="16"/>
  <c r="D172" i="16"/>
  <c r="G171" i="16"/>
  <c r="C171" i="16"/>
  <c r="F170" i="16"/>
  <c r="AK205" i="2"/>
  <c r="AL204" i="2"/>
  <c r="AW202" i="2"/>
  <c r="AX202" i="2" s="1"/>
  <c r="X205" i="2"/>
  <c r="Y205" i="2" s="1"/>
  <c r="K171" i="14" l="1"/>
  <c r="I172" i="14"/>
  <c r="J172" i="14"/>
  <c r="T160" i="4"/>
  <c r="U159" i="4"/>
  <c r="Y159" i="4"/>
  <c r="Z166" i="6" s="1"/>
  <c r="Y166" i="6"/>
  <c r="R159" i="4"/>
  <c r="S158" i="4"/>
  <c r="T165" i="6" s="1"/>
  <c r="S165" i="6"/>
  <c r="X160" i="4"/>
  <c r="I170" i="16"/>
  <c r="C172" i="16"/>
  <c r="F171" i="16"/>
  <c r="D173" i="16"/>
  <c r="G172" i="16"/>
  <c r="E172" i="16"/>
  <c r="H171" i="16"/>
  <c r="I171" i="16" s="1"/>
  <c r="AK206" i="2"/>
  <c r="AL205" i="2"/>
  <c r="AW203" i="2"/>
  <c r="AX203" i="2" s="1"/>
  <c r="X206" i="2"/>
  <c r="Y206" i="2" s="1"/>
  <c r="K172" i="14" l="1"/>
  <c r="I173" i="14"/>
  <c r="J173" i="14"/>
  <c r="T161" i="4"/>
  <c r="U160" i="4"/>
  <c r="Y160" i="4"/>
  <c r="Z167" i="6" s="1"/>
  <c r="Y167" i="6"/>
  <c r="S159" i="4"/>
  <c r="T166" i="6" s="1"/>
  <c r="R160" i="4"/>
  <c r="S166" i="6"/>
  <c r="X161" i="4"/>
  <c r="E173" i="16"/>
  <c r="H172" i="16"/>
  <c r="D174" i="16"/>
  <c r="G173" i="16"/>
  <c r="C173" i="16"/>
  <c r="F172" i="16"/>
  <c r="AK207" i="2"/>
  <c r="AL206" i="2"/>
  <c r="AW204" i="2"/>
  <c r="AX204" i="2" s="1"/>
  <c r="X207" i="2"/>
  <c r="Y207" i="2" s="1"/>
  <c r="K173" i="14" l="1"/>
  <c r="I174" i="14"/>
  <c r="J174" i="14"/>
  <c r="T162" i="4"/>
  <c r="U161" i="4"/>
  <c r="Y161" i="4"/>
  <c r="Z168" i="6" s="1"/>
  <c r="Y168" i="6"/>
  <c r="R161" i="4"/>
  <c r="S160" i="4"/>
  <c r="T167" i="6" s="1"/>
  <c r="S167" i="6"/>
  <c r="X162" i="4"/>
  <c r="I172" i="16"/>
  <c r="C174" i="16"/>
  <c r="F173" i="16"/>
  <c r="D175" i="16"/>
  <c r="G174" i="16"/>
  <c r="E174" i="16"/>
  <c r="H173" i="16"/>
  <c r="I173" i="16" s="1"/>
  <c r="AK208" i="2"/>
  <c r="AL207" i="2"/>
  <c r="AW205" i="2"/>
  <c r="AX205" i="2" s="1"/>
  <c r="X208" i="2"/>
  <c r="Y208" i="2" s="1"/>
  <c r="K174" i="14" l="1"/>
  <c r="I175" i="14"/>
  <c r="J175" i="14"/>
  <c r="T163" i="4"/>
  <c r="U162" i="4"/>
  <c r="Y162" i="4"/>
  <c r="Z169" i="6" s="1"/>
  <c r="Y169" i="6"/>
  <c r="R162" i="4"/>
  <c r="S161" i="4"/>
  <c r="T168" i="6" s="1"/>
  <c r="S168" i="6"/>
  <c r="X163" i="4"/>
  <c r="E175" i="16"/>
  <c r="H174" i="16"/>
  <c r="D176" i="16"/>
  <c r="G175" i="16"/>
  <c r="C175" i="16"/>
  <c r="F174" i="16"/>
  <c r="AK209" i="2"/>
  <c r="AL208" i="2"/>
  <c r="AW206" i="2"/>
  <c r="AX206" i="2" s="1"/>
  <c r="X209" i="2"/>
  <c r="Y209" i="2" s="1"/>
  <c r="K175" i="14" l="1"/>
  <c r="I176" i="14"/>
  <c r="J176" i="14"/>
  <c r="T164" i="4"/>
  <c r="U163" i="4"/>
  <c r="Y163" i="4"/>
  <c r="Z170" i="6" s="1"/>
  <c r="Y170" i="6"/>
  <c r="R163" i="4"/>
  <c r="S162" i="4"/>
  <c r="T169" i="6" s="1"/>
  <c r="S169" i="6"/>
  <c r="X164" i="4"/>
  <c r="I174" i="16"/>
  <c r="C176" i="16"/>
  <c r="F175" i="16"/>
  <c r="D177" i="16"/>
  <c r="G176" i="16"/>
  <c r="E176" i="16"/>
  <c r="H175" i="16"/>
  <c r="I175" i="16" s="1"/>
  <c r="AK210" i="2"/>
  <c r="AL209" i="2"/>
  <c r="AW207" i="2"/>
  <c r="AX207" i="2" s="1"/>
  <c r="X210" i="2"/>
  <c r="Y210" i="2" s="1"/>
  <c r="K176" i="14" l="1"/>
  <c r="I177" i="14"/>
  <c r="J177" i="14"/>
  <c r="T165" i="4"/>
  <c r="U164" i="4"/>
  <c r="Y164" i="4"/>
  <c r="Z171" i="6" s="1"/>
  <c r="Y171" i="6"/>
  <c r="R164" i="4"/>
  <c r="S163" i="4"/>
  <c r="T170" i="6" s="1"/>
  <c r="S170" i="6"/>
  <c r="X165" i="4"/>
  <c r="E177" i="16"/>
  <c r="H176" i="16"/>
  <c r="D178" i="16"/>
  <c r="G177" i="16"/>
  <c r="C177" i="16"/>
  <c r="F176" i="16"/>
  <c r="AK211" i="2"/>
  <c r="AL210" i="2"/>
  <c r="AW208" i="2"/>
  <c r="AX208" i="2" s="1"/>
  <c r="X211" i="2"/>
  <c r="Y211" i="2" s="1"/>
  <c r="K177" i="14" l="1"/>
  <c r="I178" i="14"/>
  <c r="J178" i="14"/>
  <c r="T166" i="4"/>
  <c r="U165" i="4"/>
  <c r="Y165" i="4"/>
  <c r="Z172" i="6" s="1"/>
  <c r="Y172" i="6"/>
  <c r="R165" i="4"/>
  <c r="S164" i="4"/>
  <c r="T171" i="6" s="1"/>
  <c r="S171" i="6"/>
  <c r="X166" i="4"/>
  <c r="I176" i="16"/>
  <c r="C178" i="16"/>
  <c r="F177" i="16"/>
  <c r="D179" i="16"/>
  <c r="G178" i="16"/>
  <c r="E178" i="16"/>
  <c r="H177" i="16"/>
  <c r="I177" i="16" s="1"/>
  <c r="AK212" i="2"/>
  <c r="AL211" i="2"/>
  <c r="AW209" i="2"/>
  <c r="AX209" i="2" s="1"/>
  <c r="X212" i="2"/>
  <c r="Y212" i="2" s="1"/>
  <c r="K178" i="14" l="1"/>
  <c r="I179" i="14"/>
  <c r="J179" i="14"/>
  <c r="T167" i="4"/>
  <c r="U166" i="4"/>
  <c r="Y166" i="4"/>
  <c r="Z173" i="6" s="1"/>
  <c r="Y173" i="6"/>
  <c r="R166" i="4"/>
  <c r="S165" i="4"/>
  <c r="T172" i="6" s="1"/>
  <c r="S172" i="6"/>
  <c r="X167" i="4"/>
  <c r="E179" i="16"/>
  <c r="H178" i="16"/>
  <c r="D180" i="16"/>
  <c r="G179" i="16"/>
  <c r="C179" i="16"/>
  <c r="F178" i="16"/>
  <c r="AK213" i="2"/>
  <c r="AL212" i="2"/>
  <c r="AW210" i="2"/>
  <c r="AX210" i="2" s="1"/>
  <c r="X213" i="2"/>
  <c r="Y213" i="2" s="1"/>
  <c r="K179" i="14" l="1"/>
  <c r="I180" i="14"/>
  <c r="J180" i="14"/>
  <c r="T168" i="4"/>
  <c r="U167" i="4"/>
  <c r="Y167" i="4"/>
  <c r="Z174" i="6" s="1"/>
  <c r="Y174" i="6"/>
  <c r="R167" i="4"/>
  <c r="S166" i="4"/>
  <c r="T173" i="6" s="1"/>
  <c r="S173" i="6"/>
  <c r="X168" i="4"/>
  <c r="I178" i="16"/>
  <c r="C180" i="16"/>
  <c r="F179" i="16"/>
  <c r="D181" i="16"/>
  <c r="G180" i="16"/>
  <c r="E180" i="16"/>
  <c r="H179" i="16"/>
  <c r="AK214" i="2"/>
  <c r="AL213" i="2"/>
  <c r="AW211" i="2"/>
  <c r="AX211" i="2" s="1"/>
  <c r="X214" i="2"/>
  <c r="Y214" i="2" s="1"/>
  <c r="K180" i="14" l="1"/>
  <c r="I181" i="14"/>
  <c r="J181" i="14"/>
  <c r="I179" i="16"/>
  <c r="T169" i="4"/>
  <c r="U168" i="4"/>
  <c r="Y168" i="4"/>
  <c r="Z175" i="6" s="1"/>
  <c r="Y175" i="6"/>
  <c r="S167" i="4"/>
  <c r="T174" i="6" s="1"/>
  <c r="R168" i="4"/>
  <c r="S174" i="6"/>
  <c r="X169" i="4"/>
  <c r="E181" i="16"/>
  <c r="H180" i="16"/>
  <c r="D182" i="16"/>
  <c r="G181" i="16"/>
  <c r="C181" i="16"/>
  <c r="F180" i="16"/>
  <c r="AK215" i="2"/>
  <c r="AL214" i="2"/>
  <c r="AW212" i="2"/>
  <c r="AX212" i="2" s="1"/>
  <c r="X215" i="2"/>
  <c r="Y215" i="2" s="1"/>
  <c r="K181" i="14" l="1"/>
  <c r="I182" i="14"/>
  <c r="J182" i="14"/>
  <c r="T170" i="4"/>
  <c r="U169" i="4"/>
  <c r="Y169" i="4"/>
  <c r="Z176" i="6" s="1"/>
  <c r="Y176" i="6"/>
  <c r="R169" i="4"/>
  <c r="S168" i="4"/>
  <c r="T175" i="6" s="1"/>
  <c r="S175" i="6"/>
  <c r="X170" i="4"/>
  <c r="I180" i="16"/>
  <c r="C182" i="16"/>
  <c r="F181" i="16"/>
  <c r="D183" i="16"/>
  <c r="G182" i="16"/>
  <c r="E182" i="16"/>
  <c r="H181" i="16"/>
  <c r="AK216" i="2"/>
  <c r="AL215" i="2"/>
  <c r="AW213" i="2"/>
  <c r="AX213" i="2" s="1"/>
  <c r="X216" i="2"/>
  <c r="Y216" i="2" s="1"/>
  <c r="K182" i="14" l="1"/>
  <c r="I183" i="14"/>
  <c r="J183" i="14"/>
  <c r="I181" i="16"/>
  <c r="T171" i="4"/>
  <c r="U170" i="4"/>
  <c r="Y170" i="4"/>
  <c r="Z177" i="6" s="1"/>
  <c r="Y177" i="6"/>
  <c r="R170" i="4"/>
  <c r="S169" i="4"/>
  <c r="T176" i="6" s="1"/>
  <c r="S176" i="6"/>
  <c r="X171" i="4"/>
  <c r="E183" i="16"/>
  <c r="H182" i="16"/>
  <c r="D184" i="16"/>
  <c r="G183" i="16"/>
  <c r="C183" i="16"/>
  <c r="F182" i="16"/>
  <c r="AK217" i="2"/>
  <c r="AL216" i="2"/>
  <c r="AW214" i="2"/>
  <c r="AX214" i="2" s="1"/>
  <c r="X217" i="2"/>
  <c r="Y217" i="2" s="1"/>
  <c r="K183" i="14" l="1"/>
  <c r="I184" i="14"/>
  <c r="J184" i="14"/>
  <c r="T172" i="4"/>
  <c r="U171" i="4"/>
  <c r="Y171" i="4"/>
  <c r="Z178" i="6" s="1"/>
  <c r="Y178" i="6"/>
  <c r="R171" i="4"/>
  <c r="S170" i="4"/>
  <c r="T177" i="6" s="1"/>
  <c r="S177" i="6"/>
  <c r="X172" i="4"/>
  <c r="I182" i="16"/>
  <c r="C184" i="16"/>
  <c r="F183" i="16"/>
  <c r="D185" i="16"/>
  <c r="G184" i="16"/>
  <c r="E184" i="16"/>
  <c r="H183" i="16"/>
  <c r="AK218" i="2"/>
  <c r="AL217" i="2"/>
  <c r="AW215" i="2"/>
  <c r="AX215" i="2" s="1"/>
  <c r="X218" i="2"/>
  <c r="Y218" i="2" s="1"/>
  <c r="K184" i="14" l="1"/>
  <c r="I185" i="14"/>
  <c r="J185" i="14"/>
  <c r="T173" i="4"/>
  <c r="U172" i="4"/>
  <c r="I183" i="16"/>
  <c r="Y172" i="4"/>
  <c r="Z179" i="6" s="1"/>
  <c r="Y179" i="6"/>
  <c r="S171" i="4"/>
  <c r="T178" i="6" s="1"/>
  <c r="R172" i="4"/>
  <c r="S178" i="6"/>
  <c r="X173" i="4"/>
  <c r="E185" i="16"/>
  <c r="H184" i="16"/>
  <c r="D186" i="16"/>
  <c r="G185" i="16"/>
  <c r="C185" i="16"/>
  <c r="F184" i="16"/>
  <c r="AK219" i="2"/>
  <c r="AL218" i="2"/>
  <c r="AW216" i="2"/>
  <c r="AX216" i="2" s="1"/>
  <c r="X219" i="2"/>
  <c r="Y219" i="2" s="1"/>
  <c r="K185" i="14" l="1"/>
  <c r="I186" i="14"/>
  <c r="J186" i="14"/>
  <c r="T174" i="4"/>
  <c r="U173" i="4"/>
  <c r="Y173" i="4"/>
  <c r="Z180" i="6" s="1"/>
  <c r="Y180" i="6"/>
  <c r="S172" i="4"/>
  <c r="T179" i="6" s="1"/>
  <c r="R173" i="4"/>
  <c r="S179" i="6"/>
  <c r="X174" i="4"/>
  <c r="I184" i="16"/>
  <c r="C186" i="16"/>
  <c r="F185" i="16"/>
  <c r="D187" i="16"/>
  <c r="G186" i="16"/>
  <c r="E186" i="16"/>
  <c r="H185" i="16"/>
  <c r="I185" i="16" s="1"/>
  <c r="AK220" i="2"/>
  <c r="AL219" i="2"/>
  <c r="AW217" i="2"/>
  <c r="AX217" i="2" s="1"/>
  <c r="X220" i="2"/>
  <c r="Y220" i="2" s="1"/>
  <c r="K186" i="14" l="1"/>
  <c r="I187" i="14"/>
  <c r="J187" i="14"/>
  <c r="T175" i="4"/>
  <c r="U174" i="4"/>
  <c r="Y174" i="4"/>
  <c r="Z181" i="6" s="1"/>
  <c r="Y181" i="6"/>
  <c r="R174" i="4"/>
  <c r="S173" i="4"/>
  <c r="T180" i="6" s="1"/>
  <c r="S180" i="6"/>
  <c r="X175" i="4"/>
  <c r="E187" i="16"/>
  <c r="H186" i="16"/>
  <c r="D188" i="16"/>
  <c r="G187" i="16"/>
  <c r="C187" i="16"/>
  <c r="F186" i="16"/>
  <c r="AK221" i="2"/>
  <c r="AL220" i="2"/>
  <c r="AW218" i="2"/>
  <c r="AX218" i="2" s="1"/>
  <c r="X221" i="2"/>
  <c r="Y221" i="2" s="1"/>
  <c r="K187" i="14" l="1"/>
  <c r="I188" i="14"/>
  <c r="J188" i="14"/>
  <c r="T176" i="4"/>
  <c r="U175" i="4"/>
  <c r="Y175" i="4"/>
  <c r="Z182" i="6" s="1"/>
  <c r="Y182" i="6"/>
  <c r="R175" i="4"/>
  <c r="S174" i="4"/>
  <c r="T181" i="6" s="1"/>
  <c r="S181" i="6"/>
  <c r="X176" i="4"/>
  <c r="I186" i="16"/>
  <c r="C188" i="16"/>
  <c r="F187" i="16"/>
  <c r="D189" i="16"/>
  <c r="G188" i="16"/>
  <c r="E188" i="16"/>
  <c r="H187" i="16"/>
  <c r="I187" i="16" s="1"/>
  <c r="AK222" i="2"/>
  <c r="AL221" i="2"/>
  <c r="AW219" i="2"/>
  <c r="AX219" i="2" s="1"/>
  <c r="X222" i="2"/>
  <c r="Y222" i="2" s="1"/>
  <c r="K188" i="14" l="1"/>
  <c r="I189" i="14"/>
  <c r="J189" i="14"/>
  <c r="T177" i="4"/>
  <c r="U176" i="4"/>
  <c r="Y176" i="4"/>
  <c r="Z183" i="6" s="1"/>
  <c r="Y183" i="6"/>
  <c r="S175" i="4"/>
  <c r="T182" i="6" s="1"/>
  <c r="R176" i="4"/>
  <c r="S182" i="6"/>
  <c r="X177" i="4"/>
  <c r="E189" i="16"/>
  <c r="H188" i="16"/>
  <c r="D190" i="16"/>
  <c r="G189" i="16"/>
  <c r="C189" i="16"/>
  <c r="F188" i="16"/>
  <c r="AK223" i="2"/>
  <c r="AL222" i="2"/>
  <c r="AW220" i="2"/>
  <c r="AX220" i="2" s="1"/>
  <c r="X223" i="2"/>
  <c r="Y223" i="2" s="1"/>
  <c r="K189" i="14" l="1"/>
  <c r="I190" i="14"/>
  <c r="J190" i="14"/>
  <c r="T178" i="4"/>
  <c r="U177" i="4"/>
  <c r="Y177" i="4"/>
  <c r="Z184" i="6" s="1"/>
  <c r="Y184" i="6"/>
  <c r="R177" i="4"/>
  <c r="S176" i="4"/>
  <c r="T183" i="6" s="1"/>
  <c r="S183" i="6"/>
  <c r="X178" i="4"/>
  <c r="I188" i="16"/>
  <c r="C190" i="16"/>
  <c r="F189" i="16"/>
  <c r="D191" i="16"/>
  <c r="G190" i="16"/>
  <c r="E190" i="16"/>
  <c r="H189" i="16"/>
  <c r="I189" i="16" s="1"/>
  <c r="AK224" i="2"/>
  <c r="AL223" i="2"/>
  <c r="AW221" i="2"/>
  <c r="AX221" i="2" s="1"/>
  <c r="X224" i="2"/>
  <c r="Y224" i="2" s="1"/>
  <c r="K190" i="14" l="1"/>
  <c r="I191" i="14"/>
  <c r="J191" i="14"/>
  <c r="T179" i="4"/>
  <c r="U178" i="4"/>
  <c r="Y178" i="4"/>
  <c r="Z185" i="6" s="1"/>
  <c r="Y185" i="6"/>
  <c r="R178" i="4"/>
  <c r="S177" i="4"/>
  <c r="T184" i="6" s="1"/>
  <c r="S184" i="6"/>
  <c r="X179" i="4"/>
  <c r="E191" i="16"/>
  <c r="H190" i="16"/>
  <c r="D192" i="16"/>
  <c r="G191" i="16"/>
  <c r="C191" i="16"/>
  <c r="F190" i="16"/>
  <c r="AK225" i="2"/>
  <c r="AL224" i="2"/>
  <c r="AW222" i="2"/>
  <c r="AX222" i="2" s="1"/>
  <c r="X225" i="2"/>
  <c r="Y225" i="2" s="1"/>
  <c r="K191" i="14" l="1"/>
  <c r="I192" i="14"/>
  <c r="J192" i="14"/>
  <c r="T180" i="4"/>
  <c r="U179" i="4"/>
  <c r="Y179" i="4"/>
  <c r="Z186" i="6" s="1"/>
  <c r="Y186" i="6"/>
  <c r="R179" i="4"/>
  <c r="S178" i="4"/>
  <c r="T185" i="6" s="1"/>
  <c r="S185" i="6"/>
  <c r="X180" i="4"/>
  <c r="I190" i="16"/>
  <c r="C192" i="16"/>
  <c r="F191" i="16"/>
  <c r="D193" i="16"/>
  <c r="G192" i="16"/>
  <c r="E192" i="16"/>
  <c r="H191" i="16"/>
  <c r="I191" i="16" s="1"/>
  <c r="AK226" i="2"/>
  <c r="AL225" i="2"/>
  <c r="AW223" i="2"/>
  <c r="AX223" i="2" s="1"/>
  <c r="X226" i="2"/>
  <c r="Y226" i="2" s="1"/>
  <c r="K192" i="14" l="1"/>
  <c r="I193" i="14"/>
  <c r="J193" i="14"/>
  <c r="T181" i="4"/>
  <c r="U180" i="4"/>
  <c r="Y180" i="4"/>
  <c r="Z187" i="6" s="1"/>
  <c r="Y187" i="6"/>
  <c r="S179" i="4"/>
  <c r="T186" i="6" s="1"/>
  <c r="R180" i="4"/>
  <c r="S186" i="6"/>
  <c r="X181" i="4"/>
  <c r="E193" i="16"/>
  <c r="H192" i="16"/>
  <c r="D194" i="16"/>
  <c r="G193" i="16"/>
  <c r="C193" i="16"/>
  <c r="F192" i="16"/>
  <c r="AK227" i="2"/>
  <c r="AL226" i="2"/>
  <c r="AW224" i="2"/>
  <c r="AX224" i="2" s="1"/>
  <c r="X227" i="2"/>
  <c r="Y227" i="2" s="1"/>
  <c r="K193" i="14" l="1"/>
  <c r="I194" i="14"/>
  <c r="J194" i="14"/>
  <c r="T182" i="4"/>
  <c r="U181" i="4"/>
  <c r="Y181" i="4"/>
  <c r="Z188" i="6" s="1"/>
  <c r="Y188" i="6"/>
  <c r="S180" i="4"/>
  <c r="T187" i="6" s="1"/>
  <c r="R181" i="4"/>
  <c r="S187" i="6"/>
  <c r="X182" i="4"/>
  <c r="I192" i="16"/>
  <c r="C194" i="16"/>
  <c r="F193" i="16"/>
  <c r="D195" i="16"/>
  <c r="G194" i="16"/>
  <c r="E194" i="16"/>
  <c r="H193" i="16"/>
  <c r="AK228" i="2"/>
  <c r="AL227" i="2"/>
  <c r="AW225" i="2"/>
  <c r="AX225" i="2" s="1"/>
  <c r="X228" i="2"/>
  <c r="Y228" i="2" s="1"/>
  <c r="K194" i="14" l="1"/>
  <c r="I195" i="14"/>
  <c r="J195" i="14"/>
  <c r="I193" i="16"/>
  <c r="T183" i="4"/>
  <c r="U182" i="4"/>
  <c r="Y182" i="4"/>
  <c r="Z189" i="6" s="1"/>
  <c r="Y189" i="6"/>
  <c r="R182" i="4"/>
  <c r="S181" i="4"/>
  <c r="T188" i="6" s="1"/>
  <c r="S188" i="6"/>
  <c r="X183" i="4"/>
  <c r="E195" i="16"/>
  <c r="H194" i="16"/>
  <c r="D196" i="16"/>
  <c r="G195" i="16"/>
  <c r="C195" i="16"/>
  <c r="F194" i="16"/>
  <c r="AK229" i="2"/>
  <c r="AL228" i="2"/>
  <c r="AW226" i="2"/>
  <c r="AX226" i="2" s="1"/>
  <c r="X229" i="2"/>
  <c r="Y229" i="2" s="1"/>
  <c r="K195" i="14" l="1"/>
  <c r="I196" i="14"/>
  <c r="J196" i="14"/>
  <c r="T184" i="4"/>
  <c r="U183" i="4"/>
  <c r="Y183" i="4"/>
  <c r="Z190" i="6" s="1"/>
  <c r="Y190" i="6"/>
  <c r="S182" i="4"/>
  <c r="T189" i="6" s="1"/>
  <c r="R183" i="4"/>
  <c r="S189" i="6"/>
  <c r="X184" i="4"/>
  <c r="I194" i="16"/>
  <c r="C196" i="16"/>
  <c r="F195" i="16"/>
  <c r="D197" i="16"/>
  <c r="G196" i="16"/>
  <c r="E196" i="16"/>
  <c r="H195" i="16"/>
  <c r="I195" i="16" s="1"/>
  <c r="AK230" i="2"/>
  <c r="AL229" i="2"/>
  <c r="AW227" i="2"/>
  <c r="AX227" i="2" s="1"/>
  <c r="X230" i="2"/>
  <c r="Y230" i="2" s="1"/>
  <c r="K196" i="14" l="1"/>
  <c r="I197" i="14"/>
  <c r="J197" i="14"/>
  <c r="T185" i="4"/>
  <c r="U184" i="4"/>
  <c r="Y184" i="4"/>
  <c r="Z191" i="6" s="1"/>
  <c r="Y191" i="6"/>
  <c r="S183" i="4"/>
  <c r="T190" i="6" s="1"/>
  <c r="R184" i="4"/>
  <c r="S190" i="6"/>
  <c r="X185" i="4"/>
  <c r="E197" i="16"/>
  <c r="H196" i="16"/>
  <c r="D198" i="16"/>
  <c r="G197" i="16"/>
  <c r="C197" i="16"/>
  <c r="F196" i="16"/>
  <c r="AK231" i="2"/>
  <c r="AL230" i="2"/>
  <c r="AW228" i="2"/>
  <c r="AX228" i="2" s="1"/>
  <c r="X231" i="2"/>
  <c r="Y231" i="2" s="1"/>
  <c r="K197" i="14" l="1"/>
  <c r="I198" i="14"/>
  <c r="J198" i="14"/>
  <c r="T186" i="4"/>
  <c r="U185" i="4"/>
  <c r="Y185" i="4"/>
  <c r="Z192" i="6" s="1"/>
  <c r="Y192" i="6"/>
  <c r="R185" i="4"/>
  <c r="S184" i="4"/>
  <c r="T191" i="6" s="1"/>
  <c r="S191" i="6"/>
  <c r="X186" i="4"/>
  <c r="I196" i="16"/>
  <c r="C198" i="16"/>
  <c r="F197" i="16"/>
  <c r="D199" i="16"/>
  <c r="G198" i="16"/>
  <c r="E198" i="16"/>
  <c r="H197" i="16"/>
  <c r="I197" i="16" s="1"/>
  <c r="AK232" i="2"/>
  <c r="AL231" i="2"/>
  <c r="AW229" i="2"/>
  <c r="AX229" i="2" s="1"/>
  <c r="X232" i="2"/>
  <c r="Y232" i="2" s="1"/>
  <c r="K198" i="14" l="1"/>
  <c r="I199" i="14"/>
  <c r="J199" i="14"/>
  <c r="T187" i="4"/>
  <c r="U186" i="4"/>
  <c r="Y186" i="4"/>
  <c r="Z193" i="6" s="1"/>
  <c r="Y193" i="6"/>
  <c r="R186" i="4"/>
  <c r="S185" i="4"/>
  <c r="T192" i="6" s="1"/>
  <c r="S192" i="6"/>
  <c r="X187" i="4"/>
  <c r="E199" i="16"/>
  <c r="H198" i="16"/>
  <c r="D200" i="16"/>
  <c r="G199" i="16"/>
  <c r="C199" i="16"/>
  <c r="F198" i="16"/>
  <c r="AK233" i="2"/>
  <c r="AL232" i="2"/>
  <c r="AW230" i="2"/>
  <c r="AX230" i="2" s="1"/>
  <c r="X233" i="2"/>
  <c r="Y233" i="2" s="1"/>
  <c r="K199" i="14" l="1"/>
  <c r="I200" i="14"/>
  <c r="J200" i="14"/>
  <c r="T188" i="4"/>
  <c r="U187" i="4"/>
  <c r="Y187" i="4"/>
  <c r="Z194" i="6" s="1"/>
  <c r="Y194" i="6"/>
  <c r="S186" i="4"/>
  <c r="T193" i="6" s="1"/>
  <c r="R187" i="4"/>
  <c r="S193" i="6"/>
  <c r="X188" i="4"/>
  <c r="I198" i="16"/>
  <c r="C200" i="16"/>
  <c r="F199" i="16"/>
  <c r="D201" i="16"/>
  <c r="G200" i="16"/>
  <c r="E200" i="16"/>
  <c r="H199" i="16"/>
  <c r="I199" i="16" s="1"/>
  <c r="AK234" i="2"/>
  <c r="AL233" i="2"/>
  <c r="AW231" i="2"/>
  <c r="AX231" i="2" s="1"/>
  <c r="X234" i="2"/>
  <c r="Y234" i="2" s="1"/>
  <c r="K200" i="14" l="1"/>
  <c r="I201" i="14"/>
  <c r="J201" i="14"/>
  <c r="T189" i="4"/>
  <c r="U188" i="4"/>
  <c r="Y188" i="4"/>
  <c r="Z195" i="6" s="1"/>
  <c r="Y195" i="6"/>
  <c r="S187" i="4"/>
  <c r="T194" i="6" s="1"/>
  <c r="R188" i="4"/>
  <c r="S194" i="6"/>
  <c r="X189" i="4"/>
  <c r="E201" i="16"/>
  <c r="H200" i="16"/>
  <c r="D202" i="16"/>
  <c r="G201" i="16"/>
  <c r="C201" i="16"/>
  <c r="F200" i="16"/>
  <c r="AK235" i="2"/>
  <c r="AL234" i="2"/>
  <c r="AW232" i="2"/>
  <c r="AX232" i="2" s="1"/>
  <c r="X235" i="2"/>
  <c r="Y235" i="2" s="1"/>
  <c r="K201" i="14" l="1"/>
  <c r="I202" i="14"/>
  <c r="J202" i="14"/>
  <c r="T190" i="4"/>
  <c r="U189" i="4"/>
  <c r="Y189" i="4"/>
  <c r="Z196" i="6" s="1"/>
  <c r="Y196" i="6"/>
  <c r="R189" i="4"/>
  <c r="S188" i="4"/>
  <c r="T195" i="6" s="1"/>
  <c r="S195" i="6"/>
  <c r="X190" i="4"/>
  <c r="I200" i="16"/>
  <c r="C202" i="16"/>
  <c r="F201" i="16"/>
  <c r="D203" i="16"/>
  <c r="G202" i="16"/>
  <c r="E202" i="16"/>
  <c r="H201" i="16"/>
  <c r="I201" i="16" s="1"/>
  <c r="AK236" i="2"/>
  <c r="AL235" i="2"/>
  <c r="AW233" i="2"/>
  <c r="AX233" i="2" s="1"/>
  <c r="X236" i="2"/>
  <c r="Y236" i="2" s="1"/>
  <c r="K202" i="14" l="1"/>
  <c r="I203" i="14"/>
  <c r="J203" i="14"/>
  <c r="T191" i="4"/>
  <c r="U190" i="4"/>
  <c r="Y190" i="4"/>
  <c r="Z197" i="6" s="1"/>
  <c r="Y197" i="6"/>
  <c r="R190" i="4"/>
  <c r="S189" i="4"/>
  <c r="T196" i="6" s="1"/>
  <c r="S196" i="6"/>
  <c r="X191" i="4"/>
  <c r="E203" i="16"/>
  <c r="H202" i="16"/>
  <c r="D204" i="16"/>
  <c r="G203" i="16"/>
  <c r="C203" i="16"/>
  <c r="F202" i="16"/>
  <c r="AK237" i="2"/>
  <c r="AL236" i="2"/>
  <c r="AW234" i="2"/>
  <c r="AX234" i="2" s="1"/>
  <c r="X237" i="2"/>
  <c r="Y237" i="2" s="1"/>
  <c r="K203" i="14" l="1"/>
  <c r="I204" i="14"/>
  <c r="J204" i="14"/>
  <c r="T192" i="4"/>
  <c r="U191" i="4"/>
  <c r="Y191" i="4"/>
  <c r="Z198" i="6" s="1"/>
  <c r="Y198" i="6"/>
  <c r="R191" i="4"/>
  <c r="S190" i="4"/>
  <c r="T197" i="6" s="1"/>
  <c r="S197" i="6"/>
  <c r="X192" i="4"/>
  <c r="I202" i="16"/>
  <c r="C204" i="16"/>
  <c r="F203" i="16"/>
  <c r="D205" i="16"/>
  <c r="G204" i="16"/>
  <c r="E204" i="16"/>
  <c r="H203" i="16"/>
  <c r="I203" i="16" s="1"/>
  <c r="AK238" i="2"/>
  <c r="AL237" i="2"/>
  <c r="AW235" i="2"/>
  <c r="AX235" i="2" s="1"/>
  <c r="X238" i="2"/>
  <c r="Y238" i="2" s="1"/>
  <c r="K204" i="14" l="1"/>
  <c r="I205" i="14"/>
  <c r="J205" i="14"/>
  <c r="T193" i="4"/>
  <c r="U192" i="4"/>
  <c r="Y192" i="4"/>
  <c r="Z199" i="6" s="1"/>
  <c r="Y199" i="6"/>
  <c r="R192" i="4"/>
  <c r="S191" i="4"/>
  <c r="T198" i="6" s="1"/>
  <c r="S198" i="6"/>
  <c r="X193" i="4"/>
  <c r="E205" i="16"/>
  <c r="H204" i="16"/>
  <c r="D206" i="16"/>
  <c r="G205" i="16"/>
  <c r="C205" i="16"/>
  <c r="F204" i="16"/>
  <c r="AK239" i="2"/>
  <c r="AL238" i="2"/>
  <c r="AW236" i="2"/>
  <c r="AX236" i="2" s="1"/>
  <c r="X239" i="2"/>
  <c r="Y239" i="2" s="1"/>
  <c r="K205" i="14" l="1"/>
  <c r="I206" i="14"/>
  <c r="J206" i="14"/>
  <c r="T194" i="4"/>
  <c r="U193" i="4"/>
  <c r="Y193" i="4"/>
  <c r="Z200" i="6" s="1"/>
  <c r="Y200" i="6"/>
  <c r="S192" i="4"/>
  <c r="T199" i="6" s="1"/>
  <c r="R193" i="4"/>
  <c r="S199" i="6"/>
  <c r="X194" i="4"/>
  <c r="I204" i="16"/>
  <c r="C206" i="16"/>
  <c r="F205" i="16"/>
  <c r="D207" i="16"/>
  <c r="G206" i="16"/>
  <c r="E206" i="16"/>
  <c r="H205" i="16"/>
  <c r="I205" i="16" s="1"/>
  <c r="AK240" i="2"/>
  <c r="AL239" i="2"/>
  <c r="AW237" i="2"/>
  <c r="AX237" i="2" s="1"/>
  <c r="X240" i="2"/>
  <c r="Y240" i="2" s="1"/>
  <c r="K206" i="14" l="1"/>
  <c r="I207" i="14"/>
  <c r="J207" i="14"/>
  <c r="T195" i="4"/>
  <c r="U194" i="4"/>
  <c r="Y194" i="4"/>
  <c r="Z201" i="6" s="1"/>
  <c r="Y201" i="6"/>
  <c r="R194" i="4"/>
  <c r="S193" i="4"/>
  <c r="T200" i="6" s="1"/>
  <c r="S200" i="6"/>
  <c r="X195" i="4"/>
  <c r="E207" i="16"/>
  <c r="H206" i="16"/>
  <c r="D208" i="16"/>
  <c r="G207" i="16"/>
  <c r="C207" i="16"/>
  <c r="F206" i="16"/>
  <c r="AK241" i="2"/>
  <c r="AL240" i="2"/>
  <c r="AW238" i="2"/>
  <c r="AX238" i="2" s="1"/>
  <c r="X241" i="2"/>
  <c r="Y241" i="2" s="1"/>
  <c r="K207" i="14" l="1"/>
  <c r="I208" i="14"/>
  <c r="J208" i="14"/>
  <c r="T196" i="4"/>
  <c r="U195" i="4"/>
  <c r="Y195" i="4"/>
  <c r="Z202" i="6" s="1"/>
  <c r="Y202" i="6"/>
  <c r="R195" i="4"/>
  <c r="S194" i="4"/>
  <c r="T201" i="6" s="1"/>
  <c r="S201" i="6"/>
  <c r="X196" i="4"/>
  <c r="I206" i="16"/>
  <c r="C208" i="16"/>
  <c r="F207" i="16"/>
  <c r="D209" i="16"/>
  <c r="G208" i="16"/>
  <c r="E208" i="16"/>
  <c r="H207" i="16"/>
  <c r="AK242" i="2"/>
  <c r="AL241" i="2"/>
  <c r="AW239" i="2"/>
  <c r="AX239" i="2" s="1"/>
  <c r="X242" i="2"/>
  <c r="Y242" i="2" s="1"/>
  <c r="K208" i="14" l="1"/>
  <c r="I209" i="14"/>
  <c r="J209" i="14"/>
  <c r="T197" i="4"/>
  <c r="U196" i="4"/>
  <c r="Y196" i="4"/>
  <c r="Z203" i="6" s="1"/>
  <c r="Y203" i="6"/>
  <c r="I207" i="16"/>
  <c r="S195" i="4"/>
  <c r="T202" i="6" s="1"/>
  <c r="R196" i="4"/>
  <c r="S202" i="6"/>
  <c r="X197" i="4"/>
  <c r="E209" i="16"/>
  <c r="H208" i="16"/>
  <c r="D210" i="16"/>
  <c r="G209" i="16"/>
  <c r="C209" i="16"/>
  <c r="F208" i="16"/>
  <c r="AK243" i="2"/>
  <c r="AL242" i="2"/>
  <c r="AW240" i="2"/>
  <c r="AX240" i="2" s="1"/>
  <c r="X243" i="2"/>
  <c r="Y243" i="2" s="1"/>
  <c r="K209" i="14" l="1"/>
  <c r="I210" i="14"/>
  <c r="J210" i="14"/>
  <c r="T198" i="4"/>
  <c r="U197" i="4"/>
  <c r="Y197" i="4"/>
  <c r="Z204" i="6" s="1"/>
  <c r="Y204" i="6"/>
  <c r="R197" i="4"/>
  <c r="S196" i="4"/>
  <c r="T203" i="6" s="1"/>
  <c r="S203" i="6"/>
  <c r="X198" i="4"/>
  <c r="I208" i="16"/>
  <c r="C210" i="16"/>
  <c r="F209" i="16"/>
  <c r="D211" i="16"/>
  <c r="G210" i="16"/>
  <c r="E210" i="16"/>
  <c r="H209" i="16"/>
  <c r="AK244" i="2"/>
  <c r="AL243" i="2"/>
  <c r="AW241" i="2"/>
  <c r="AX241" i="2" s="1"/>
  <c r="X244" i="2"/>
  <c r="Y244" i="2" s="1"/>
  <c r="K210" i="14" l="1"/>
  <c r="I211" i="14"/>
  <c r="J211" i="14"/>
  <c r="T199" i="4"/>
  <c r="U198" i="4"/>
  <c r="Y198" i="4"/>
  <c r="Z205" i="6" s="1"/>
  <c r="Y205" i="6"/>
  <c r="I209" i="16"/>
  <c r="R198" i="4"/>
  <c r="S197" i="4"/>
  <c r="T204" i="6" s="1"/>
  <c r="S204" i="6"/>
  <c r="X199" i="4"/>
  <c r="E211" i="16"/>
  <c r="H210" i="16"/>
  <c r="D212" i="16"/>
  <c r="G211" i="16"/>
  <c r="C211" i="16"/>
  <c r="F210" i="16"/>
  <c r="AK245" i="2"/>
  <c r="AL244" i="2"/>
  <c r="AW242" i="2"/>
  <c r="AX242" i="2" s="1"/>
  <c r="X245" i="2"/>
  <c r="Y245" i="2" s="1"/>
  <c r="K211" i="14" l="1"/>
  <c r="I212" i="14"/>
  <c r="J212" i="14"/>
  <c r="T200" i="4"/>
  <c r="U199" i="4"/>
  <c r="Y199" i="4"/>
  <c r="Z206" i="6" s="1"/>
  <c r="Y206" i="6"/>
  <c r="S198" i="4"/>
  <c r="T205" i="6" s="1"/>
  <c r="R199" i="4"/>
  <c r="S205" i="6"/>
  <c r="X200" i="4"/>
  <c r="I210" i="16"/>
  <c r="C212" i="16"/>
  <c r="F211" i="16"/>
  <c r="D213" i="16"/>
  <c r="G212" i="16"/>
  <c r="E212" i="16"/>
  <c r="H211" i="16"/>
  <c r="I211" i="16" s="1"/>
  <c r="AK246" i="2"/>
  <c r="AL245" i="2"/>
  <c r="AW243" i="2"/>
  <c r="AX243" i="2" s="1"/>
  <c r="X246" i="2"/>
  <c r="Y246" i="2" s="1"/>
  <c r="K212" i="14" l="1"/>
  <c r="I213" i="14"/>
  <c r="J213" i="14"/>
  <c r="T201" i="4"/>
  <c r="U200" i="4"/>
  <c r="Y200" i="4"/>
  <c r="Z207" i="6" s="1"/>
  <c r="Y207" i="6"/>
  <c r="S199" i="4"/>
  <c r="T206" i="6" s="1"/>
  <c r="R200" i="4"/>
  <c r="S206" i="6"/>
  <c r="X201" i="4"/>
  <c r="E213" i="16"/>
  <c r="H212" i="16"/>
  <c r="D214" i="16"/>
  <c r="G213" i="16"/>
  <c r="C213" i="16"/>
  <c r="F212" i="16"/>
  <c r="AK247" i="2"/>
  <c r="AL246" i="2"/>
  <c r="AW244" i="2"/>
  <c r="AX244" i="2" s="1"/>
  <c r="X247" i="2"/>
  <c r="Y247" i="2" s="1"/>
  <c r="K213" i="14" l="1"/>
  <c r="I214" i="14"/>
  <c r="J214" i="14"/>
  <c r="T202" i="4"/>
  <c r="U201" i="4"/>
  <c r="Y201" i="4"/>
  <c r="Z208" i="6" s="1"/>
  <c r="Y208" i="6"/>
  <c r="R201" i="4"/>
  <c r="S200" i="4"/>
  <c r="T207" i="6" s="1"/>
  <c r="S207" i="6"/>
  <c r="X202" i="4"/>
  <c r="I212" i="16"/>
  <c r="C214" i="16"/>
  <c r="F213" i="16"/>
  <c r="D215" i="16"/>
  <c r="G214" i="16"/>
  <c r="E214" i="16"/>
  <c r="H213" i="16"/>
  <c r="I213" i="16" s="1"/>
  <c r="AK248" i="2"/>
  <c r="AL247" i="2"/>
  <c r="AW245" i="2"/>
  <c r="AX245" i="2" s="1"/>
  <c r="X248" i="2"/>
  <c r="Y248" i="2" s="1"/>
  <c r="K214" i="14" l="1"/>
  <c r="I215" i="14"/>
  <c r="J215" i="14"/>
  <c r="T203" i="4"/>
  <c r="U202" i="4"/>
  <c r="Y202" i="4"/>
  <c r="Z209" i="6" s="1"/>
  <c r="Y209" i="6"/>
  <c r="R202" i="4"/>
  <c r="S201" i="4"/>
  <c r="T208" i="6" s="1"/>
  <c r="S208" i="6"/>
  <c r="X203" i="4"/>
  <c r="E215" i="16"/>
  <c r="H214" i="16"/>
  <c r="D216" i="16"/>
  <c r="G215" i="16"/>
  <c r="C215" i="16"/>
  <c r="F214" i="16"/>
  <c r="AK249" i="2"/>
  <c r="AL248" i="2"/>
  <c r="AW246" i="2"/>
  <c r="AX246" i="2" s="1"/>
  <c r="X249" i="2"/>
  <c r="Y249" i="2" s="1"/>
  <c r="K215" i="14" l="1"/>
  <c r="I216" i="14"/>
  <c r="J216" i="14"/>
  <c r="T204" i="4"/>
  <c r="U203" i="4"/>
  <c r="Y203" i="4"/>
  <c r="Z210" i="6" s="1"/>
  <c r="Y210" i="6"/>
  <c r="S202" i="4"/>
  <c r="T209" i="6" s="1"/>
  <c r="R203" i="4"/>
  <c r="S209" i="6"/>
  <c r="X204" i="4"/>
  <c r="I214" i="16"/>
  <c r="C216" i="16"/>
  <c r="F215" i="16"/>
  <c r="D217" i="16"/>
  <c r="G216" i="16"/>
  <c r="E216" i="16"/>
  <c r="H215" i="16"/>
  <c r="I215" i="16" s="1"/>
  <c r="AK250" i="2"/>
  <c r="AL249" i="2"/>
  <c r="AW247" i="2"/>
  <c r="AX247" i="2" s="1"/>
  <c r="X250" i="2"/>
  <c r="Y250" i="2" s="1"/>
  <c r="K216" i="14" l="1"/>
  <c r="I217" i="14"/>
  <c r="J217" i="14"/>
  <c r="T205" i="4"/>
  <c r="U204" i="4"/>
  <c r="Y204" i="4"/>
  <c r="Z211" i="6" s="1"/>
  <c r="Y211" i="6"/>
  <c r="R204" i="4"/>
  <c r="S203" i="4"/>
  <c r="T210" i="6" s="1"/>
  <c r="S210" i="6"/>
  <c r="X205" i="4"/>
  <c r="E217" i="16"/>
  <c r="H216" i="16"/>
  <c r="D218" i="16"/>
  <c r="G217" i="16"/>
  <c r="C217" i="16"/>
  <c r="F216" i="16"/>
  <c r="AK251" i="2"/>
  <c r="AL250" i="2"/>
  <c r="AW248" i="2"/>
  <c r="AX248" i="2" s="1"/>
  <c r="X251" i="2"/>
  <c r="Y251" i="2" s="1"/>
  <c r="K217" i="14" l="1"/>
  <c r="I218" i="14"/>
  <c r="J218" i="14"/>
  <c r="T206" i="4"/>
  <c r="U205" i="4"/>
  <c r="Y205" i="4"/>
  <c r="Z212" i="6" s="1"/>
  <c r="Y212" i="6"/>
  <c r="R205" i="4"/>
  <c r="S204" i="4"/>
  <c r="T211" i="6" s="1"/>
  <c r="S211" i="6"/>
  <c r="X206" i="4"/>
  <c r="I216" i="16"/>
  <c r="C218" i="16"/>
  <c r="F217" i="16"/>
  <c r="D219" i="16"/>
  <c r="G218" i="16"/>
  <c r="E218" i="16"/>
  <c r="H217" i="16"/>
  <c r="I217" i="16" s="1"/>
  <c r="AK252" i="2"/>
  <c r="AL251" i="2"/>
  <c r="AW249" i="2"/>
  <c r="AX249" i="2" s="1"/>
  <c r="X252" i="2"/>
  <c r="Y252" i="2" s="1"/>
  <c r="K218" i="14" l="1"/>
  <c r="I219" i="14"/>
  <c r="J219" i="14"/>
  <c r="T207" i="4"/>
  <c r="U206" i="4"/>
  <c r="Y206" i="4"/>
  <c r="Z213" i="6" s="1"/>
  <c r="Y213" i="6"/>
  <c r="R206" i="4"/>
  <c r="S205" i="4"/>
  <c r="T212" i="6" s="1"/>
  <c r="S212" i="6"/>
  <c r="X207" i="4"/>
  <c r="E219" i="16"/>
  <c r="H218" i="16"/>
  <c r="D220" i="16"/>
  <c r="G219" i="16"/>
  <c r="C219" i="16"/>
  <c r="F218" i="16"/>
  <c r="AK253" i="2"/>
  <c r="AL252" i="2"/>
  <c r="AW250" i="2"/>
  <c r="AX250" i="2" s="1"/>
  <c r="X253" i="2"/>
  <c r="Y253" i="2" s="1"/>
  <c r="K219" i="14" l="1"/>
  <c r="I220" i="14"/>
  <c r="J220" i="14"/>
  <c r="T208" i="4"/>
  <c r="U207" i="4"/>
  <c r="Y207" i="4"/>
  <c r="Z214" i="6" s="1"/>
  <c r="Y214" i="6"/>
  <c r="R207" i="4"/>
  <c r="S206" i="4"/>
  <c r="T213" i="6" s="1"/>
  <c r="S213" i="6"/>
  <c r="X208" i="4"/>
  <c r="I218" i="16"/>
  <c r="C220" i="16"/>
  <c r="F219" i="16"/>
  <c r="D221" i="16"/>
  <c r="G220" i="16"/>
  <c r="E220" i="16"/>
  <c r="H219" i="16"/>
  <c r="AK254" i="2"/>
  <c r="AL253" i="2"/>
  <c r="AW251" i="2"/>
  <c r="AX251" i="2" s="1"/>
  <c r="X254" i="2"/>
  <c r="Y254" i="2" s="1"/>
  <c r="K220" i="14" l="1"/>
  <c r="I221" i="14"/>
  <c r="J221" i="14"/>
  <c r="I219" i="16"/>
  <c r="T209" i="4"/>
  <c r="U208" i="4"/>
  <c r="Y208" i="4"/>
  <c r="Z215" i="6" s="1"/>
  <c r="Y215" i="6"/>
  <c r="S207" i="4"/>
  <c r="T214" i="6" s="1"/>
  <c r="R208" i="4"/>
  <c r="S214" i="6"/>
  <c r="X209" i="4"/>
  <c r="E221" i="16"/>
  <c r="H220" i="16"/>
  <c r="D222" i="16"/>
  <c r="G221" i="16"/>
  <c r="C221" i="16"/>
  <c r="F220" i="16"/>
  <c r="AK255" i="2"/>
  <c r="AL254" i="2"/>
  <c r="AW252" i="2"/>
  <c r="AX252" i="2" s="1"/>
  <c r="X255" i="2"/>
  <c r="Y255" i="2" s="1"/>
  <c r="K221" i="14" l="1"/>
  <c r="I222" i="14"/>
  <c r="J222" i="14"/>
  <c r="T210" i="4"/>
  <c r="U209" i="4"/>
  <c r="Y209" i="4"/>
  <c r="Z216" i="6" s="1"/>
  <c r="Y216" i="6"/>
  <c r="R209" i="4"/>
  <c r="S208" i="4"/>
  <c r="T215" i="6" s="1"/>
  <c r="S215" i="6"/>
  <c r="X210" i="4"/>
  <c r="I220" i="16"/>
  <c r="C222" i="16"/>
  <c r="F221" i="16"/>
  <c r="D223" i="16"/>
  <c r="G222" i="16"/>
  <c r="E222" i="16"/>
  <c r="H221" i="16"/>
  <c r="I221" i="16" s="1"/>
  <c r="AK256" i="2"/>
  <c r="AL255" i="2"/>
  <c r="AW253" i="2"/>
  <c r="AX253" i="2" s="1"/>
  <c r="X256" i="2"/>
  <c r="Y256" i="2" s="1"/>
  <c r="K222" i="14" l="1"/>
  <c r="I223" i="14"/>
  <c r="J223" i="14"/>
  <c r="T211" i="4"/>
  <c r="U210" i="4"/>
  <c r="Y210" i="4"/>
  <c r="Z217" i="6" s="1"/>
  <c r="Y217" i="6"/>
  <c r="R210" i="4"/>
  <c r="S209" i="4"/>
  <c r="T216" i="6" s="1"/>
  <c r="S216" i="6"/>
  <c r="X211" i="4"/>
  <c r="E223" i="16"/>
  <c r="H222" i="16"/>
  <c r="D224" i="16"/>
  <c r="G223" i="16"/>
  <c r="C223" i="16"/>
  <c r="F222" i="16"/>
  <c r="AK257" i="2"/>
  <c r="AL256" i="2"/>
  <c r="AW254" i="2"/>
  <c r="AX254" i="2" s="1"/>
  <c r="X257" i="2"/>
  <c r="Y257" i="2" s="1"/>
  <c r="K223" i="14" l="1"/>
  <c r="I224" i="14"/>
  <c r="J224" i="14"/>
  <c r="T212" i="4"/>
  <c r="U211" i="4"/>
  <c r="Y211" i="4"/>
  <c r="Z218" i="6" s="1"/>
  <c r="Y218" i="6"/>
  <c r="S210" i="4"/>
  <c r="T217" i="6" s="1"/>
  <c r="R211" i="4"/>
  <c r="S217" i="6"/>
  <c r="X212" i="4"/>
  <c r="I222" i="16"/>
  <c r="C224" i="16"/>
  <c r="F223" i="16"/>
  <c r="D225" i="16"/>
  <c r="G224" i="16"/>
  <c r="E224" i="16"/>
  <c r="H223" i="16"/>
  <c r="I223" i="16" s="1"/>
  <c r="AK258" i="2"/>
  <c r="AL257" i="2"/>
  <c r="AW255" i="2"/>
  <c r="AX255" i="2" s="1"/>
  <c r="X258" i="2"/>
  <c r="Y258" i="2" s="1"/>
  <c r="K224" i="14" l="1"/>
  <c r="I225" i="14"/>
  <c r="J225" i="14"/>
  <c r="T213" i="4"/>
  <c r="U212" i="4"/>
  <c r="Y212" i="4"/>
  <c r="Z219" i="6" s="1"/>
  <c r="Y219" i="6"/>
  <c r="S211" i="4"/>
  <c r="T218" i="6" s="1"/>
  <c r="R212" i="4"/>
  <c r="S218" i="6"/>
  <c r="X213" i="4"/>
  <c r="E225" i="16"/>
  <c r="H224" i="16"/>
  <c r="D226" i="16"/>
  <c r="G225" i="16"/>
  <c r="C225" i="16"/>
  <c r="F224" i="16"/>
  <c r="AK259" i="2"/>
  <c r="AL258" i="2"/>
  <c r="AW256" i="2"/>
  <c r="AX256" i="2" s="1"/>
  <c r="X259" i="2"/>
  <c r="Y259" i="2" s="1"/>
  <c r="K225" i="14" l="1"/>
  <c r="I226" i="14"/>
  <c r="J226" i="14"/>
  <c r="T214" i="4"/>
  <c r="U213" i="4"/>
  <c r="Y213" i="4"/>
  <c r="Z220" i="6" s="1"/>
  <c r="Y220" i="6"/>
  <c r="R213" i="4"/>
  <c r="S212" i="4"/>
  <c r="T219" i="6" s="1"/>
  <c r="S219" i="6"/>
  <c r="X214" i="4"/>
  <c r="I224" i="16"/>
  <c r="C226" i="16"/>
  <c r="F225" i="16"/>
  <c r="D227" i="16"/>
  <c r="G226" i="16"/>
  <c r="E226" i="16"/>
  <c r="H225" i="16"/>
  <c r="I225" i="16" s="1"/>
  <c r="AK260" i="2"/>
  <c r="AL259" i="2"/>
  <c r="AW257" i="2"/>
  <c r="AX257" i="2" s="1"/>
  <c r="X260" i="2"/>
  <c r="Y260" i="2" s="1"/>
  <c r="K226" i="14" l="1"/>
  <c r="I227" i="14"/>
  <c r="J227" i="14"/>
  <c r="T215" i="4"/>
  <c r="U214" i="4"/>
  <c r="Y214" i="4"/>
  <c r="Z221" i="6" s="1"/>
  <c r="Y221" i="6"/>
  <c r="S213" i="4"/>
  <c r="T220" i="6" s="1"/>
  <c r="R214" i="4"/>
  <c r="S220" i="6"/>
  <c r="X215" i="4"/>
  <c r="E227" i="16"/>
  <c r="H226" i="16"/>
  <c r="D228" i="16"/>
  <c r="G227" i="16"/>
  <c r="C227" i="16"/>
  <c r="F226" i="16"/>
  <c r="AK261" i="2"/>
  <c r="AL260" i="2"/>
  <c r="AW258" i="2"/>
  <c r="AX258" i="2" s="1"/>
  <c r="X261" i="2"/>
  <c r="Y261" i="2" s="1"/>
  <c r="K227" i="14" l="1"/>
  <c r="I228" i="14"/>
  <c r="J228" i="14"/>
  <c r="T216" i="4"/>
  <c r="U215" i="4"/>
  <c r="Y215" i="4"/>
  <c r="Z222" i="6" s="1"/>
  <c r="Y222" i="6"/>
  <c r="S214" i="4"/>
  <c r="T221" i="6" s="1"/>
  <c r="R215" i="4"/>
  <c r="S221" i="6"/>
  <c r="X216" i="4"/>
  <c r="I226" i="16"/>
  <c r="C228" i="16"/>
  <c r="F227" i="16"/>
  <c r="D229" i="16"/>
  <c r="G228" i="16"/>
  <c r="E228" i="16"/>
  <c r="H227" i="16"/>
  <c r="I227" i="16" s="1"/>
  <c r="AK262" i="2"/>
  <c r="AL261" i="2"/>
  <c r="AW259" i="2"/>
  <c r="AX259" i="2" s="1"/>
  <c r="X262" i="2"/>
  <c r="Y262" i="2" s="1"/>
  <c r="K228" i="14" l="1"/>
  <c r="I229" i="14"/>
  <c r="J229" i="14"/>
  <c r="T217" i="4"/>
  <c r="U216" i="4"/>
  <c r="Y216" i="4"/>
  <c r="Z223" i="6" s="1"/>
  <c r="Y223" i="6"/>
  <c r="R216" i="4"/>
  <c r="S215" i="4"/>
  <c r="T222" i="6" s="1"/>
  <c r="S222" i="6"/>
  <c r="X217" i="4"/>
  <c r="E229" i="16"/>
  <c r="H228" i="16"/>
  <c r="D230" i="16"/>
  <c r="G229" i="16"/>
  <c r="C229" i="16"/>
  <c r="F228" i="16"/>
  <c r="AK263" i="2"/>
  <c r="AL262" i="2"/>
  <c r="AW260" i="2"/>
  <c r="AX260" i="2" s="1"/>
  <c r="X263" i="2"/>
  <c r="Y263" i="2" s="1"/>
  <c r="K229" i="14" l="1"/>
  <c r="I230" i="14"/>
  <c r="J230" i="14"/>
  <c r="T218" i="4"/>
  <c r="U217" i="4"/>
  <c r="Y217" i="4"/>
  <c r="Z224" i="6" s="1"/>
  <c r="Y224" i="6"/>
  <c r="R217" i="4"/>
  <c r="S216" i="4"/>
  <c r="T223" i="6" s="1"/>
  <c r="S223" i="6"/>
  <c r="X218" i="4"/>
  <c r="I228" i="16"/>
  <c r="C230" i="16"/>
  <c r="F229" i="16"/>
  <c r="D231" i="16"/>
  <c r="G230" i="16"/>
  <c r="E230" i="16"/>
  <c r="H229" i="16"/>
  <c r="I229" i="16" s="1"/>
  <c r="AK264" i="2"/>
  <c r="AL263" i="2"/>
  <c r="AW261" i="2"/>
  <c r="AX261" i="2" s="1"/>
  <c r="X264" i="2"/>
  <c r="Y264" i="2" s="1"/>
  <c r="K230" i="14" l="1"/>
  <c r="I231" i="14"/>
  <c r="J231" i="14"/>
  <c r="T219" i="4"/>
  <c r="U218" i="4"/>
  <c r="Y218" i="4"/>
  <c r="Z225" i="6" s="1"/>
  <c r="Y225" i="6"/>
  <c r="R218" i="4"/>
  <c r="S217" i="4"/>
  <c r="T224" i="6" s="1"/>
  <c r="S224" i="6"/>
  <c r="X219" i="4"/>
  <c r="E231" i="16"/>
  <c r="H230" i="16"/>
  <c r="D232" i="16"/>
  <c r="G231" i="16"/>
  <c r="C231" i="16"/>
  <c r="F230" i="16"/>
  <c r="AK265" i="2"/>
  <c r="AL264" i="2"/>
  <c r="AW262" i="2"/>
  <c r="AX262" i="2" s="1"/>
  <c r="X265" i="2"/>
  <c r="Y265" i="2" s="1"/>
  <c r="K231" i="14" l="1"/>
  <c r="I232" i="14"/>
  <c r="J232" i="14"/>
  <c r="T220" i="4"/>
  <c r="U219" i="4"/>
  <c r="Y219" i="4"/>
  <c r="Z226" i="6" s="1"/>
  <c r="Y226" i="6"/>
  <c r="R219" i="4"/>
  <c r="S218" i="4"/>
  <c r="T225" i="6" s="1"/>
  <c r="S225" i="6"/>
  <c r="X220" i="4"/>
  <c r="I230" i="16"/>
  <c r="C232" i="16"/>
  <c r="F231" i="16"/>
  <c r="D233" i="16"/>
  <c r="G232" i="16"/>
  <c r="E232" i="16"/>
  <c r="H231" i="16"/>
  <c r="AK266" i="2"/>
  <c r="AL265" i="2"/>
  <c r="AW263" i="2"/>
  <c r="AX263" i="2" s="1"/>
  <c r="X266" i="2"/>
  <c r="Y266" i="2" s="1"/>
  <c r="K232" i="14" l="1"/>
  <c r="I233" i="14"/>
  <c r="J233" i="14"/>
  <c r="I231" i="16"/>
  <c r="T221" i="4"/>
  <c r="U220" i="4"/>
  <c r="Y220" i="4"/>
  <c r="Z227" i="6" s="1"/>
  <c r="Y227" i="6"/>
  <c r="R220" i="4"/>
  <c r="S219" i="4"/>
  <c r="T226" i="6" s="1"/>
  <c r="S226" i="6"/>
  <c r="X221" i="4"/>
  <c r="E233" i="16"/>
  <c r="H232" i="16"/>
  <c r="D234" i="16"/>
  <c r="G233" i="16"/>
  <c r="C233" i="16"/>
  <c r="F232" i="16"/>
  <c r="AK267" i="2"/>
  <c r="AL266" i="2"/>
  <c r="AW264" i="2"/>
  <c r="AX264" i="2" s="1"/>
  <c r="X267" i="2"/>
  <c r="Y267" i="2" s="1"/>
  <c r="K233" i="14" l="1"/>
  <c r="I234" i="14"/>
  <c r="J234" i="14"/>
  <c r="T222" i="4"/>
  <c r="U221" i="4"/>
  <c r="Y221" i="4"/>
  <c r="Z228" i="6" s="1"/>
  <c r="Y228" i="6"/>
  <c r="R221" i="4"/>
  <c r="S220" i="4"/>
  <c r="T227" i="6" s="1"/>
  <c r="S227" i="6"/>
  <c r="X222" i="4"/>
  <c r="I232" i="16"/>
  <c r="C234" i="16"/>
  <c r="F233" i="16"/>
  <c r="D235" i="16"/>
  <c r="G234" i="16"/>
  <c r="E234" i="16"/>
  <c r="H233" i="16"/>
  <c r="I233" i="16" s="1"/>
  <c r="AK268" i="2"/>
  <c r="AL267" i="2"/>
  <c r="AW265" i="2"/>
  <c r="AX265" i="2" s="1"/>
  <c r="X268" i="2"/>
  <c r="Y268" i="2" s="1"/>
  <c r="K234" i="14" l="1"/>
  <c r="I235" i="14"/>
  <c r="J235" i="14"/>
  <c r="T223" i="4"/>
  <c r="U222" i="4"/>
  <c r="Y222" i="4"/>
  <c r="Z229" i="6" s="1"/>
  <c r="Y229" i="6"/>
  <c r="R222" i="4"/>
  <c r="S221" i="4"/>
  <c r="T228" i="6" s="1"/>
  <c r="S228" i="6"/>
  <c r="X223" i="4"/>
  <c r="E235" i="16"/>
  <c r="H234" i="16"/>
  <c r="D236" i="16"/>
  <c r="G235" i="16"/>
  <c r="C235" i="16"/>
  <c r="F234" i="16"/>
  <c r="AK269" i="2"/>
  <c r="AL268" i="2"/>
  <c r="AW266" i="2"/>
  <c r="AX266" i="2" s="1"/>
  <c r="X269" i="2"/>
  <c r="Y269" i="2" s="1"/>
  <c r="K235" i="14" l="1"/>
  <c r="I236" i="14"/>
  <c r="J236" i="14"/>
  <c r="T224" i="4"/>
  <c r="U223" i="4"/>
  <c r="Y223" i="4"/>
  <c r="Z230" i="6" s="1"/>
  <c r="Y230" i="6"/>
  <c r="R223" i="4"/>
  <c r="S222" i="4"/>
  <c r="T229" i="6" s="1"/>
  <c r="S229" i="6"/>
  <c r="X224" i="4"/>
  <c r="I234" i="16"/>
  <c r="C236" i="16"/>
  <c r="F235" i="16"/>
  <c r="D237" i="16"/>
  <c r="G236" i="16"/>
  <c r="E236" i="16"/>
  <c r="H235" i="16"/>
  <c r="I235" i="16" s="1"/>
  <c r="AK270" i="2"/>
  <c r="AL269" i="2"/>
  <c r="AW267" i="2"/>
  <c r="AX267" i="2" s="1"/>
  <c r="X270" i="2"/>
  <c r="Y270" i="2" s="1"/>
  <c r="K236" i="14" l="1"/>
  <c r="I237" i="14"/>
  <c r="J237" i="14"/>
  <c r="T225" i="4"/>
  <c r="U224" i="4"/>
  <c r="Y224" i="4"/>
  <c r="Z231" i="6" s="1"/>
  <c r="Y231" i="6"/>
  <c r="R224" i="4"/>
  <c r="S223" i="4"/>
  <c r="T230" i="6" s="1"/>
  <c r="S230" i="6"/>
  <c r="X225" i="4"/>
  <c r="E237" i="16"/>
  <c r="H236" i="16"/>
  <c r="D238" i="16"/>
  <c r="G237" i="16"/>
  <c r="C237" i="16"/>
  <c r="F236" i="16"/>
  <c r="AK271" i="2"/>
  <c r="AL270" i="2"/>
  <c r="AW268" i="2"/>
  <c r="AX268" i="2" s="1"/>
  <c r="X271" i="2"/>
  <c r="Y271" i="2" s="1"/>
  <c r="K237" i="14" l="1"/>
  <c r="I238" i="14"/>
  <c r="J238" i="14"/>
  <c r="T226" i="4"/>
  <c r="U225" i="4"/>
  <c r="Y225" i="4"/>
  <c r="Z232" i="6" s="1"/>
  <c r="Y232" i="6"/>
  <c r="R225" i="4"/>
  <c r="S224" i="4"/>
  <c r="T231" i="6" s="1"/>
  <c r="S231" i="6"/>
  <c r="X226" i="4"/>
  <c r="I236" i="16"/>
  <c r="C238" i="16"/>
  <c r="F237" i="16"/>
  <c r="D239" i="16"/>
  <c r="G238" i="16"/>
  <c r="E238" i="16"/>
  <c r="H237" i="16"/>
  <c r="I237" i="16" s="1"/>
  <c r="AK272" i="2"/>
  <c r="AL271" i="2"/>
  <c r="AW269" i="2"/>
  <c r="AX269" i="2" s="1"/>
  <c r="X272" i="2"/>
  <c r="Y272" i="2" s="1"/>
  <c r="K238" i="14" l="1"/>
  <c r="I239" i="14"/>
  <c r="J239" i="14"/>
  <c r="T227" i="4"/>
  <c r="U226" i="4"/>
  <c r="Y226" i="4"/>
  <c r="Z233" i="6" s="1"/>
  <c r="Y233" i="6"/>
  <c r="R226" i="4"/>
  <c r="S225" i="4"/>
  <c r="T232" i="6" s="1"/>
  <c r="S232" i="6"/>
  <c r="X227" i="4"/>
  <c r="E239" i="16"/>
  <c r="H238" i="16"/>
  <c r="D240" i="16"/>
  <c r="G239" i="16"/>
  <c r="C239" i="16"/>
  <c r="F238" i="16"/>
  <c r="AK273" i="2"/>
  <c r="AL272" i="2"/>
  <c r="AW270" i="2"/>
  <c r="AX270" i="2" s="1"/>
  <c r="X273" i="2"/>
  <c r="Y273" i="2" s="1"/>
  <c r="K239" i="14" l="1"/>
  <c r="I240" i="14"/>
  <c r="J240" i="14"/>
  <c r="T228" i="4"/>
  <c r="U227" i="4"/>
  <c r="Y227" i="4"/>
  <c r="Z234" i="6" s="1"/>
  <c r="Y234" i="6"/>
  <c r="S226" i="4"/>
  <c r="T233" i="6" s="1"/>
  <c r="R227" i="4"/>
  <c r="S233" i="6"/>
  <c r="X228" i="4"/>
  <c r="I238" i="16"/>
  <c r="C240" i="16"/>
  <c r="F239" i="16"/>
  <c r="D241" i="16"/>
  <c r="G240" i="16"/>
  <c r="E240" i="16"/>
  <c r="H239" i="16"/>
  <c r="I239" i="16" s="1"/>
  <c r="AK274" i="2"/>
  <c r="AL273" i="2"/>
  <c r="AW271" i="2"/>
  <c r="AX271" i="2" s="1"/>
  <c r="X274" i="2"/>
  <c r="Y274" i="2" s="1"/>
  <c r="K240" i="14" l="1"/>
  <c r="I241" i="14"/>
  <c r="J241" i="14"/>
  <c r="T229" i="4"/>
  <c r="U228" i="4"/>
  <c r="Y228" i="4"/>
  <c r="Z235" i="6" s="1"/>
  <c r="Y235" i="6"/>
  <c r="S227" i="4"/>
  <c r="T234" i="6" s="1"/>
  <c r="R228" i="4"/>
  <c r="S234" i="6"/>
  <c r="X229" i="4"/>
  <c r="E241" i="16"/>
  <c r="H240" i="16"/>
  <c r="D242" i="16"/>
  <c r="G241" i="16"/>
  <c r="C241" i="16"/>
  <c r="F240" i="16"/>
  <c r="AK275" i="2"/>
  <c r="AL274" i="2"/>
  <c r="AW272" i="2"/>
  <c r="AX272" i="2" s="1"/>
  <c r="X275" i="2"/>
  <c r="Y275" i="2" s="1"/>
  <c r="K241" i="14" l="1"/>
  <c r="I242" i="14"/>
  <c r="J242" i="14"/>
  <c r="T230" i="4"/>
  <c r="U229" i="4"/>
  <c r="Y229" i="4"/>
  <c r="Z236" i="6" s="1"/>
  <c r="Y236" i="6"/>
  <c r="S228" i="4"/>
  <c r="T235" i="6" s="1"/>
  <c r="R229" i="4"/>
  <c r="S235" i="6"/>
  <c r="X230" i="4"/>
  <c r="I240" i="16"/>
  <c r="C242" i="16"/>
  <c r="F241" i="16"/>
  <c r="D243" i="16"/>
  <c r="G242" i="16"/>
  <c r="E242" i="16"/>
  <c r="H241" i="16"/>
  <c r="I241" i="16" s="1"/>
  <c r="AK276" i="2"/>
  <c r="AL275" i="2"/>
  <c r="AW273" i="2"/>
  <c r="AX273" i="2" s="1"/>
  <c r="X276" i="2"/>
  <c r="Y276" i="2" s="1"/>
  <c r="K242" i="14" l="1"/>
  <c r="I243" i="14"/>
  <c r="J243" i="14"/>
  <c r="T231" i="4"/>
  <c r="U230" i="4"/>
  <c r="Y230" i="4"/>
  <c r="Z237" i="6" s="1"/>
  <c r="Y237" i="6"/>
  <c r="R230" i="4"/>
  <c r="S229" i="4"/>
  <c r="T236" i="6" s="1"/>
  <c r="S236" i="6"/>
  <c r="X231" i="4"/>
  <c r="E243" i="16"/>
  <c r="H242" i="16"/>
  <c r="D244" i="16"/>
  <c r="G243" i="16"/>
  <c r="C243" i="16"/>
  <c r="F242" i="16"/>
  <c r="AK277" i="2"/>
  <c r="AL276" i="2"/>
  <c r="AW274" i="2"/>
  <c r="AX274" i="2" s="1"/>
  <c r="X277" i="2"/>
  <c r="Y277" i="2" s="1"/>
  <c r="K243" i="14" l="1"/>
  <c r="I244" i="14"/>
  <c r="J244" i="14"/>
  <c r="T232" i="4"/>
  <c r="U231" i="4"/>
  <c r="Y231" i="4"/>
  <c r="Z238" i="6" s="1"/>
  <c r="Y238" i="6"/>
  <c r="R231" i="4"/>
  <c r="S230" i="4"/>
  <c r="T237" i="6" s="1"/>
  <c r="S237" i="6"/>
  <c r="X232" i="4"/>
  <c r="I242" i="16"/>
  <c r="C244" i="16"/>
  <c r="F243" i="16"/>
  <c r="D245" i="16"/>
  <c r="G244" i="16"/>
  <c r="E244" i="16"/>
  <c r="H243" i="16"/>
  <c r="I243" i="16" s="1"/>
  <c r="AK278" i="2"/>
  <c r="AL277" i="2"/>
  <c r="AW275" i="2"/>
  <c r="AX275" i="2" s="1"/>
  <c r="X278" i="2"/>
  <c r="Y278" i="2" s="1"/>
  <c r="K244" i="14" l="1"/>
  <c r="I245" i="14"/>
  <c r="J245" i="14"/>
  <c r="T233" i="4"/>
  <c r="U232" i="4"/>
  <c r="Y232" i="4"/>
  <c r="Z239" i="6" s="1"/>
  <c r="Y239" i="6"/>
  <c r="R232" i="4"/>
  <c r="S231" i="4"/>
  <c r="T238" i="6" s="1"/>
  <c r="S238" i="6"/>
  <c r="X233" i="4"/>
  <c r="E245" i="16"/>
  <c r="H244" i="16"/>
  <c r="D246" i="16"/>
  <c r="G245" i="16"/>
  <c r="C245" i="16"/>
  <c r="F244" i="16"/>
  <c r="AK279" i="2"/>
  <c r="AL278" i="2"/>
  <c r="AW276" i="2"/>
  <c r="AX276" i="2" s="1"/>
  <c r="X279" i="2"/>
  <c r="Y279" i="2" s="1"/>
  <c r="K245" i="14" l="1"/>
  <c r="I246" i="14"/>
  <c r="J246" i="14"/>
  <c r="T234" i="4"/>
  <c r="U233" i="4"/>
  <c r="Y233" i="4"/>
  <c r="Z240" i="6" s="1"/>
  <c r="Y240" i="6"/>
  <c r="S232" i="4"/>
  <c r="T239" i="6" s="1"/>
  <c r="R233" i="4"/>
  <c r="S239" i="6"/>
  <c r="X234" i="4"/>
  <c r="I244" i="16"/>
  <c r="C246" i="16"/>
  <c r="F245" i="16"/>
  <c r="D247" i="16"/>
  <c r="G246" i="16"/>
  <c r="E246" i="16"/>
  <c r="H245" i="16"/>
  <c r="AK280" i="2"/>
  <c r="AL279" i="2"/>
  <c r="AW277" i="2"/>
  <c r="AX277" i="2" s="1"/>
  <c r="X280" i="2"/>
  <c r="Y280" i="2" s="1"/>
  <c r="K246" i="14" l="1"/>
  <c r="I247" i="14"/>
  <c r="J247" i="14"/>
  <c r="I245" i="16"/>
  <c r="T235" i="4"/>
  <c r="U234" i="4"/>
  <c r="Y234" i="4"/>
  <c r="Z241" i="6" s="1"/>
  <c r="Y241" i="6"/>
  <c r="R234" i="4"/>
  <c r="S233" i="4"/>
  <c r="T240" i="6" s="1"/>
  <c r="S240" i="6"/>
  <c r="X235" i="4"/>
  <c r="E247" i="16"/>
  <c r="H246" i="16"/>
  <c r="D248" i="16"/>
  <c r="G247" i="16"/>
  <c r="C247" i="16"/>
  <c r="F246" i="16"/>
  <c r="AK281" i="2"/>
  <c r="AL280" i="2"/>
  <c r="AW278" i="2"/>
  <c r="AX278" i="2" s="1"/>
  <c r="X281" i="2"/>
  <c r="Y281" i="2" s="1"/>
  <c r="K247" i="14" l="1"/>
  <c r="I248" i="14"/>
  <c r="J248" i="14"/>
  <c r="T236" i="4"/>
  <c r="U235" i="4"/>
  <c r="Y235" i="4"/>
  <c r="Z242" i="6" s="1"/>
  <c r="Y242" i="6"/>
  <c r="S234" i="4"/>
  <c r="T241" i="6" s="1"/>
  <c r="R235" i="4"/>
  <c r="S241" i="6"/>
  <c r="X236" i="4"/>
  <c r="I246" i="16"/>
  <c r="C248" i="16"/>
  <c r="F247" i="16"/>
  <c r="D249" i="16"/>
  <c r="G248" i="16"/>
  <c r="E248" i="16"/>
  <c r="H247" i="16"/>
  <c r="AK282" i="2"/>
  <c r="AL281" i="2"/>
  <c r="AW279" i="2"/>
  <c r="AX279" i="2" s="1"/>
  <c r="X282" i="2"/>
  <c r="Y282" i="2" s="1"/>
  <c r="K248" i="14" l="1"/>
  <c r="I249" i="14"/>
  <c r="J249" i="14"/>
  <c r="I247" i="16"/>
  <c r="T237" i="4"/>
  <c r="U236" i="4"/>
  <c r="Y236" i="4"/>
  <c r="Z243" i="6" s="1"/>
  <c r="Y243" i="6"/>
  <c r="S235" i="4"/>
  <c r="T242" i="6" s="1"/>
  <c r="R236" i="4"/>
  <c r="S242" i="6"/>
  <c r="X237" i="4"/>
  <c r="E249" i="16"/>
  <c r="H248" i="16"/>
  <c r="D250" i="16"/>
  <c r="G249" i="16"/>
  <c r="C249" i="16"/>
  <c r="F248" i="16"/>
  <c r="AK283" i="2"/>
  <c r="AL282" i="2"/>
  <c r="AW280" i="2"/>
  <c r="AX280" i="2" s="1"/>
  <c r="X283" i="2"/>
  <c r="Y283" i="2" s="1"/>
  <c r="K249" i="14" l="1"/>
  <c r="I250" i="14"/>
  <c r="J250" i="14"/>
  <c r="T238" i="4"/>
  <c r="U237" i="4"/>
  <c r="Y237" i="4"/>
  <c r="Z244" i="6" s="1"/>
  <c r="Y244" i="6"/>
  <c r="R237" i="4"/>
  <c r="S236" i="4"/>
  <c r="T243" i="6" s="1"/>
  <c r="S243" i="6"/>
  <c r="X238" i="4"/>
  <c r="I248" i="16"/>
  <c r="C250" i="16"/>
  <c r="F249" i="16"/>
  <c r="D251" i="16"/>
  <c r="G250" i="16"/>
  <c r="E250" i="16"/>
  <c r="H249" i="16"/>
  <c r="I249" i="16" s="1"/>
  <c r="AK284" i="2"/>
  <c r="AL283" i="2"/>
  <c r="AW281" i="2"/>
  <c r="AX281" i="2" s="1"/>
  <c r="X284" i="2"/>
  <c r="Y284" i="2" s="1"/>
  <c r="K250" i="14" l="1"/>
  <c r="I251" i="14"/>
  <c r="J251" i="14"/>
  <c r="T239" i="4"/>
  <c r="U238" i="4"/>
  <c r="Y238" i="4"/>
  <c r="Z245" i="6" s="1"/>
  <c r="Y245" i="6"/>
  <c r="R238" i="4"/>
  <c r="S237" i="4"/>
  <c r="T244" i="6" s="1"/>
  <c r="S244" i="6"/>
  <c r="X239" i="4"/>
  <c r="E251" i="16"/>
  <c r="H250" i="16"/>
  <c r="D252" i="16"/>
  <c r="G251" i="16"/>
  <c r="C251" i="16"/>
  <c r="F250" i="16"/>
  <c r="AK285" i="2"/>
  <c r="AL284" i="2"/>
  <c r="AW282" i="2"/>
  <c r="AX282" i="2" s="1"/>
  <c r="X285" i="2"/>
  <c r="Y285" i="2" s="1"/>
  <c r="K251" i="14" l="1"/>
  <c r="I252" i="14"/>
  <c r="J252" i="14"/>
  <c r="T240" i="4"/>
  <c r="U239" i="4"/>
  <c r="Y239" i="4"/>
  <c r="Z246" i="6" s="1"/>
  <c r="Y246" i="6"/>
  <c r="R239" i="4"/>
  <c r="S238" i="4"/>
  <c r="T245" i="6" s="1"/>
  <c r="S245" i="6"/>
  <c r="X240" i="4"/>
  <c r="I250" i="16"/>
  <c r="C252" i="16"/>
  <c r="F251" i="16"/>
  <c r="D253" i="16"/>
  <c r="G252" i="16"/>
  <c r="E252" i="16"/>
  <c r="H251" i="16"/>
  <c r="I251" i="16" s="1"/>
  <c r="AK286" i="2"/>
  <c r="AL285" i="2"/>
  <c r="AW283" i="2"/>
  <c r="AX283" i="2" s="1"/>
  <c r="X286" i="2"/>
  <c r="Y286" i="2" s="1"/>
  <c r="K252" i="14" l="1"/>
  <c r="I253" i="14"/>
  <c r="J253" i="14"/>
  <c r="T241" i="4"/>
  <c r="U240" i="4"/>
  <c r="Y240" i="4"/>
  <c r="Z247" i="6" s="1"/>
  <c r="Y247" i="6"/>
  <c r="R240" i="4"/>
  <c r="S239" i="4"/>
  <c r="T246" i="6" s="1"/>
  <c r="S246" i="6"/>
  <c r="X241" i="4"/>
  <c r="E253" i="16"/>
  <c r="H252" i="16"/>
  <c r="D254" i="16"/>
  <c r="G253" i="16"/>
  <c r="C253" i="16"/>
  <c r="F252" i="16"/>
  <c r="AK287" i="2"/>
  <c r="AL286" i="2"/>
  <c r="AW284" i="2"/>
  <c r="AX284" i="2" s="1"/>
  <c r="X287" i="2"/>
  <c r="Y287" i="2" s="1"/>
  <c r="K253" i="14" l="1"/>
  <c r="I254" i="14"/>
  <c r="J254" i="14"/>
  <c r="T242" i="4"/>
  <c r="U241" i="4"/>
  <c r="Y241" i="4"/>
  <c r="Z248" i="6" s="1"/>
  <c r="Y248" i="6"/>
  <c r="R241" i="4"/>
  <c r="S240" i="4"/>
  <c r="T247" i="6" s="1"/>
  <c r="S247" i="6"/>
  <c r="X242" i="4"/>
  <c r="I252" i="16"/>
  <c r="C254" i="16"/>
  <c r="F253" i="16"/>
  <c r="D255" i="16"/>
  <c r="G254" i="16"/>
  <c r="E254" i="16"/>
  <c r="H253" i="16"/>
  <c r="I253" i="16" s="1"/>
  <c r="AK288" i="2"/>
  <c r="AL287" i="2"/>
  <c r="AW285" i="2"/>
  <c r="AX285" i="2" s="1"/>
  <c r="X288" i="2"/>
  <c r="Y288" i="2" s="1"/>
  <c r="K254" i="14" l="1"/>
  <c r="I255" i="14"/>
  <c r="J255" i="14"/>
  <c r="T243" i="4"/>
  <c r="U242" i="4"/>
  <c r="Y242" i="4"/>
  <c r="Z249" i="6" s="1"/>
  <c r="Y249" i="6"/>
  <c r="S241" i="4"/>
  <c r="T248" i="6" s="1"/>
  <c r="R242" i="4"/>
  <c r="S248" i="6"/>
  <c r="X243" i="4"/>
  <c r="E255" i="16"/>
  <c r="H254" i="16"/>
  <c r="D256" i="16"/>
  <c r="G255" i="16"/>
  <c r="C255" i="16"/>
  <c r="F254" i="16"/>
  <c r="AK289" i="2"/>
  <c r="AL288" i="2"/>
  <c r="AW286" i="2"/>
  <c r="AX286" i="2" s="1"/>
  <c r="X289" i="2"/>
  <c r="Y289" i="2" s="1"/>
  <c r="K255" i="14" l="1"/>
  <c r="I256" i="14"/>
  <c r="J256" i="14"/>
  <c r="T244" i="4"/>
  <c r="U243" i="4"/>
  <c r="Y243" i="4"/>
  <c r="Z250" i="6" s="1"/>
  <c r="Y250" i="6"/>
  <c r="R243" i="4"/>
  <c r="S242" i="4"/>
  <c r="T249" i="6" s="1"/>
  <c r="S249" i="6"/>
  <c r="X244" i="4"/>
  <c r="I254" i="16"/>
  <c r="C256" i="16"/>
  <c r="F255" i="16"/>
  <c r="D257" i="16"/>
  <c r="G256" i="16"/>
  <c r="E256" i="16"/>
  <c r="H255" i="16"/>
  <c r="I255" i="16" s="1"/>
  <c r="AK290" i="2"/>
  <c r="AL289" i="2"/>
  <c r="AW287" i="2"/>
  <c r="AX287" i="2" s="1"/>
  <c r="X290" i="2"/>
  <c r="Y290" i="2" s="1"/>
  <c r="K256" i="14" l="1"/>
  <c r="I257" i="14"/>
  <c r="J257" i="14"/>
  <c r="T245" i="4"/>
  <c r="U244" i="4"/>
  <c r="Y244" i="4"/>
  <c r="Z251" i="6" s="1"/>
  <c r="Y251" i="6"/>
  <c r="R244" i="4"/>
  <c r="S243" i="4"/>
  <c r="T250" i="6" s="1"/>
  <c r="S250" i="6"/>
  <c r="X245" i="4"/>
  <c r="E257" i="16"/>
  <c r="H256" i="16"/>
  <c r="D258" i="16"/>
  <c r="G257" i="16"/>
  <c r="C257" i="16"/>
  <c r="F256" i="16"/>
  <c r="AK291" i="2"/>
  <c r="AL290" i="2"/>
  <c r="AW288" i="2"/>
  <c r="AX288" i="2" s="1"/>
  <c r="X291" i="2"/>
  <c r="Y291" i="2" s="1"/>
  <c r="K257" i="14" l="1"/>
  <c r="I258" i="14"/>
  <c r="J258" i="14"/>
  <c r="T246" i="4"/>
  <c r="U245" i="4"/>
  <c r="Y245" i="4"/>
  <c r="Z252" i="6" s="1"/>
  <c r="Y252" i="6"/>
  <c r="S244" i="4"/>
  <c r="T251" i="6" s="1"/>
  <c r="R245" i="4"/>
  <c r="S251" i="6"/>
  <c r="X246" i="4"/>
  <c r="I256" i="16"/>
  <c r="C258" i="16"/>
  <c r="F257" i="16"/>
  <c r="D259" i="16"/>
  <c r="G258" i="16"/>
  <c r="E258" i="16"/>
  <c r="H257" i="16"/>
  <c r="I257" i="16" s="1"/>
  <c r="AK292" i="2"/>
  <c r="AL291" i="2"/>
  <c r="AW289" i="2"/>
  <c r="AX289" i="2" s="1"/>
  <c r="X292" i="2"/>
  <c r="Y292" i="2" s="1"/>
  <c r="K258" i="14" l="1"/>
  <c r="I259" i="14"/>
  <c r="J259" i="14"/>
  <c r="T247" i="4"/>
  <c r="U246" i="4"/>
  <c r="Y246" i="4"/>
  <c r="Z253" i="6" s="1"/>
  <c r="Y253" i="6"/>
  <c r="R246" i="4"/>
  <c r="S245" i="4"/>
  <c r="T252" i="6" s="1"/>
  <c r="S252" i="6"/>
  <c r="X247" i="4"/>
  <c r="E259" i="16"/>
  <c r="H258" i="16"/>
  <c r="D260" i="16"/>
  <c r="G259" i="16"/>
  <c r="C259" i="16"/>
  <c r="F258" i="16"/>
  <c r="AK293" i="2"/>
  <c r="AL292" i="2"/>
  <c r="AW290" i="2"/>
  <c r="AX290" i="2" s="1"/>
  <c r="X293" i="2"/>
  <c r="Y293" i="2" s="1"/>
  <c r="K259" i="14" l="1"/>
  <c r="I260" i="14"/>
  <c r="J260" i="14"/>
  <c r="T248" i="4"/>
  <c r="U247" i="4"/>
  <c r="Y247" i="4"/>
  <c r="Z254" i="6" s="1"/>
  <c r="Y254" i="6"/>
  <c r="R247" i="4"/>
  <c r="S246" i="4"/>
  <c r="T253" i="6" s="1"/>
  <c r="S253" i="6"/>
  <c r="X248" i="4"/>
  <c r="I258" i="16"/>
  <c r="C260" i="16"/>
  <c r="F259" i="16"/>
  <c r="D261" i="16"/>
  <c r="G260" i="16"/>
  <c r="E260" i="16"/>
  <c r="H259" i="16"/>
  <c r="I259" i="16" s="1"/>
  <c r="AK294" i="2"/>
  <c r="AL293" i="2"/>
  <c r="AW291" i="2"/>
  <c r="AX291" i="2" s="1"/>
  <c r="X294" i="2"/>
  <c r="Y294" i="2" s="1"/>
  <c r="K260" i="14" l="1"/>
  <c r="I261" i="14"/>
  <c r="J261" i="14"/>
  <c r="T249" i="4"/>
  <c r="U248" i="4"/>
  <c r="Y248" i="4"/>
  <c r="Z255" i="6" s="1"/>
  <c r="Y255" i="6"/>
  <c r="R248" i="4"/>
  <c r="S247" i="4"/>
  <c r="T254" i="6" s="1"/>
  <c r="S254" i="6"/>
  <c r="X249" i="4"/>
  <c r="E261" i="16"/>
  <c r="H260" i="16"/>
  <c r="D262" i="16"/>
  <c r="G261" i="16"/>
  <c r="C261" i="16"/>
  <c r="F260" i="16"/>
  <c r="AK295" i="2"/>
  <c r="AL294" i="2"/>
  <c r="AW292" i="2"/>
  <c r="AX292" i="2" s="1"/>
  <c r="X295" i="2"/>
  <c r="Y295" i="2" s="1"/>
  <c r="K261" i="14" l="1"/>
  <c r="I262" i="14"/>
  <c r="J262" i="14"/>
  <c r="T250" i="4"/>
  <c r="U249" i="4"/>
  <c r="Y249" i="4"/>
  <c r="Z256" i="6" s="1"/>
  <c r="Y256" i="6"/>
  <c r="S248" i="4"/>
  <c r="T255" i="6" s="1"/>
  <c r="R249" i="4"/>
  <c r="S255" i="6"/>
  <c r="X250" i="4"/>
  <c r="I260" i="16"/>
  <c r="C262" i="16"/>
  <c r="F261" i="16"/>
  <c r="D263" i="16"/>
  <c r="G262" i="16"/>
  <c r="E262" i="16"/>
  <c r="H261" i="16"/>
  <c r="I261" i="16" s="1"/>
  <c r="AK296" i="2"/>
  <c r="AL295" i="2"/>
  <c r="AW293" i="2"/>
  <c r="AX293" i="2" s="1"/>
  <c r="X296" i="2"/>
  <c r="Y296" i="2" s="1"/>
  <c r="K262" i="14" l="1"/>
  <c r="I263" i="14"/>
  <c r="J263" i="14"/>
  <c r="T251" i="4"/>
  <c r="U250" i="4"/>
  <c r="Y250" i="4"/>
  <c r="Z257" i="6" s="1"/>
  <c r="Y257" i="6"/>
  <c r="R250" i="4"/>
  <c r="S249" i="4"/>
  <c r="T256" i="6" s="1"/>
  <c r="S256" i="6"/>
  <c r="X251" i="4"/>
  <c r="E263" i="16"/>
  <c r="H262" i="16"/>
  <c r="D264" i="16"/>
  <c r="G263" i="16"/>
  <c r="C263" i="16"/>
  <c r="F262" i="16"/>
  <c r="AK297" i="2"/>
  <c r="AL296" i="2"/>
  <c r="AW294" i="2"/>
  <c r="AX294" i="2" s="1"/>
  <c r="X297" i="2"/>
  <c r="Y297" i="2" s="1"/>
  <c r="K263" i="14" l="1"/>
  <c r="I264" i="14"/>
  <c r="J264" i="14"/>
  <c r="T252" i="4"/>
  <c r="U251" i="4"/>
  <c r="Y251" i="4"/>
  <c r="Z258" i="6" s="1"/>
  <c r="Y258" i="6"/>
  <c r="S250" i="4"/>
  <c r="T257" i="6" s="1"/>
  <c r="R251" i="4"/>
  <c r="S257" i="6"/>
  <c r="X252" i="4"/>
  <c r="I262" i="16"/>
  <c r="C264" i="16"/>
  <c r="F263" i="16"/>
  <c r="D265" i="16"/>
  <c r="G264" i="16"/>
  <c r="E264" i="16"/>
  <c r="H263" i="16"/>
  <c r="I263" i="16" s="1"/>
  <c r="AK298" i="2"/>
  <c r="AL297" i="2"/>
  <c r="AW295" i="2"/>
  <c r="AX295" i="2" s="1"/>
  <c r="X298" i="2"/>
  <c r="Y298" i="2" s="1"/>
  <c r="K264" i="14" l="1"/>
  <c r="I265" i="14"/>
  <c r="J265" i="14"/>
  <c r="T253" i="4"/>
  <c r="U252" i="4"/>
  <c r="Y252" i="4"/>
  <c r="Z259" i="6" s="1"/>
  <c r="Y259" i="6"/>
  <c r="R252" i="4"/>
  <c r="S251" i="4"/>
  <c r="T258" i="6" s="1"/>
  <c r="S258" i="6"/>
  <c r="X253" i="4"/>
  <c r="E265" i="16"/>
  <c r="H264" i="16"/>
  <c r="D266" i="16"/>
  <c r="G265" i="16"/>
  <c r="C265" i="16"/>
  <c r="F264" i="16"/>
  <c r="AK299" i="2"/>
  <c r="AL298" i="2"/>
  <c r="AW296" i="2"/>
  <c r="AX296" i="2" s="1"/>
  <c r="X299" i="2"/>
  <c r="Y299" i="2" s="1"/>
  <c r="K265" i="14" l="1"/>
  <c r="I266" i="14"/>
  <c r="J266" i="14"/>
  <c r="T254" i="4"/>
  <c r="U253" i="4"/>
  <c r="Y253" i="4"/>
  <c r="Z260" i="6" s="1"/>
  <c r="Y260" i="6"/>
  <c r="R253" i="4"/>
  <c r="S252" i="4"/>
  <c r="T259" i="6" s="1"/>
  <c r="S259" i="6"/>
  <c r="X254" i="4"/>
  <c r="I264" i="16"/>
  <c r="C266" i="16"/>
  <c r="F265" i="16"/>
  <c r="D267" i="16"/>
  <c r="G266" i="16"/>
  <c r="E266" i="16"/>
  <c r="H265" i="16"/>
  <c r="I265" i="16" s="1"/>
  <c r="AK300" i="2"/>
  <c r="AL299" i="2"/>
  <c r="AW297" i="2"/>
  <c r="AX297" i="2" s="1"/>
  <c r="X300" i="2"/>
  <c r="Y300" i="2" s="1"/>
  <c r="K266" i="14" l="1"/>
  <c r="I267" i="14"/>
  <c r="J267" i="14"/>
  <c r="T255" i="4"/>
  <c r="U254" i="4"/>
  <c r="Y254" i="4"/>
  <c r="Z261" i="6" s="1"/>
  <c r="Y261" i="6"/>
  <c r="R254" i="4"/>
  <c r="S253" i="4"/>
  <c r="T260" i="6" s="1"/>
  <c r="S260" i="6"/>
  <c r="X255" i="4"/>
  <c r="E267" i="16"/>
  <c r="H266" i="16"/>
  <c r="D268" i="16"/>
  <c r="G267" i="16"/>
  <c r="C267" i="16"/>
  <c r="F266" i="16"/>
  <c r="AK301" i="2"/>
  <c r="AL300" i="2"/>
  <c r="AW298" i="2"/>
  <c r="AX298" i="2" s="1"/>
  <c r="X301" i="2"/>
  <c r="Y301" i="2" s="1"/>
  <c r="K267" i="14" l="1"/>
  <c r="I268" i="14"/>
  <c r="J268" i="14"/>
  <c r="T256" i="4"/>
  <c r="U255" i="4"/>
  <c r="Y255" i="4"/>
  <c r="Z262" i="6" s="1"/>
  <c r="Y262" i="6"/>
  <c r="S254" i="4"/>
  <c r="T261" i="6" s="1"/>
  <c r="R255" i="4"/>
  <c r="S261" i="6"/>
  <c r="X256" i="4"/>
  <c r="I266" i="16"/>
  <c r="C268" i="16"/>
  <c r="F267" i="16"/>
  <c r="D269" i="16"/>
  <c r="G268" i="16"/>
  <c r="E268" i="16"/>
  <c r="H267" i="16"/>
  <c r="AK302" i="2"/>
  <c r="AL301" i="2"/>
  <c r="AW299" i="2"/>
  <c r="AX299" i="2" s="1"/>
  <c r="X302" i="2"/>
  <c r="Y302" i="2" s="1"/>
  <c r="K268" i="14" l="1"/>
  <c r="I269" i="14"/>
  <c r="J269" i="14"/>
  <c r="T257" i="4"/>
  <c r="U256" i="4"/>
  <c r="Y256" i="4"/>
  <c r="Z263" i="6" s="1"/>
  <c r="Y263" i="6"/>
  <c r="I267" i="16"/>
  <c r="R256" i="4"/>
  <c r="S255" i="4"/>
  <c r="T262" i="6" s="1"/>
  <c r="S262" i="6"/>
  <c r="X257" i="4"/>
  <c r="E269" i="16"/>
  <c r="H268" i="16"/>
  <c r="D270" i="16"/>
  <c r="G269" i="16"/>
  <c r="C269" i="16"/>
  <c r="F268" i="16"/>
  <c r="AK303" i="2"/>
  <c r="AL302" i="2"/>
  <c r="AW300" i="2"/>
  <c r="AX300" i="2" s="1"/>
  <c r="X303" i="2"/>
  <c r="Y303" i="2" s="1"/>
  <c r="K269" i="14" l="1"/>
  <c r="I270" i="14"/>
  <c r="J270" i="14"/>
  <c r="T258" i="4"/>
  <c r="U257" i="4"/>
  <c r="Y257" i="4"/>
  <c r="Z264" i="6" s="1"/>
  <c r="Y264" i="6"/>
  <c r="R257" i="4"/>
  <c r="S256" i="4"/>
  <c r="T263" i="6" s="1"/>
  <c r="S263" i="6"/>
  <c r="X258" i="4"/>
  <c r="I268" i="16"/>
  <c r="C270" i="16"/>
  <c r="F269" i="16"/>
  <c r="D271" i="16"/>
  <c r="G270" i="16"/>
  <c r="E270" i="16"/>
  <c r="H269" i="16"/>
  <c r="I269" i="16" s="1"/>
  <c r="AK304" i="2"/>
  <c r="AL303" i="2"/>
  <c r="AW301" i="2"/>
  <c r="AX301" i="2" s="1"/>
  <c r="X304" i="2"/>
  <c r="Y304" i="2" s="1"/>
  <c r="K270" i="14" l="1"/>
  <c r="I271" i="14"/>
  <c r="J271" i="14"/>
  <c r="T259" i="4"/>
  <c r="U258" i="4"/>
  <c r="Y258" i="4"/>
  <c r="Z265" i="6" s="1"/>
  <c r="Y265" i="6"/>
  <c r="S257" i="4"/>
  <c r="T264" i="6" s="1"/>
  <c r="R258" i="4"/>
  <c r="S264" i="6"/>
  <c r="X259" i="4"/>
  <c r="E271" i="16"/>
  <c r="H270" i="16"/>
  <c r="D272" i="16"/>
  <c r="G271" i="16"/>
  <c r="C271" i="16"/>
  <c r="F270" i="16"/>
  <c r="AK305" i="2"/>
  <c r="AL304" i="2"/>
  <c r="AW302" i="2"/>
  <c r="AX302" i="2" s="1"/>
  <c r="X305" i="2"/>
  <c r="Y305" i="2" s="1"/>
  <c r="K271" i="14" l="1"/>
  <c r="I272" i="14"/>
  <c r="J272" i="14"/>
  <c r="T260" i="4"/>
  <c r="U259" i="4"/>
  <c r="Y259" i="4"/>
  <c r="Z266" i="6" s="1"/>
  <c r="Y266" i="6"/>
  <c r="R259" i="4"/>
  <c r="S258" i="4"/>
  <c r="T265" i="6" s="1"/>
  <c r="S265" i="6"/>
  <c r="X260" i="4"/>
  <c r="I270" i="16"/>
  <c r="C272" i="16"/>
  <c r="F271" i="16"/>
  <c r="D273" i="16"/>
  <c r="G272" i="16"/>
  <c r="E272" i="16"/>
  <c r="H271" i="16"/>
  <c r="I271" i="16" s="1"/>
  <c r="AK306" i="2"/>
  <c r="AL305" i="2"/>
  <c r="AW303" i="2"/>
  <c r="AX303" i="2" s="1"/>
  <c r="X306" i="2"/>
  <c r="Y306" i="2" s="1"/>
  <c r="K272" i="14" l="1"/>
  <c r="I273" i="14"/>
  <c r="J273" i="14"/>
  <c r="T261" i="4"/>
  <c r="U260" i="4"/>
  <c r="Y260" i="4"/>
  <c r="Z267" i="6" s="1"/>
  <c r="Y267" i="6"/>
  <c r="S259" i="4"/>
  <c r="T266" i="6" s="1"/>
  <c r="R260" i="4"/>
  <c r="S266" i="6"/>
  <c r="X261" i="4"/>
  <c r="E273" i="16"/>
  <c r="H272" i="16"/>
  <c r="D274" i="16"/>
  <c r="G273" i="16"/>
  <c r="C273" i="16"/>
  <c r="F272" i="16"/>
  <c r="AK307" i="2"/>
  <c r="AL306" i="2"/>
  <c r="AW304" i="2"/>
  <c r="AX304" i="2" s="1"/>
  <c r="X307" i="2"/>
  <c r="Y307" i="2" s="1"/>
  <c r="K273" i="14" l="1"/>
  <c r="I274" i="14"/>
  <c r="J274" i="14"/>
  <c r="T262" i="4"/>
  <c r="U261" i="4"/>
  <c r="Y261" i="4"/>
  <c r="Z268" i="6" s="1"/>
  <c r="Y268" i="6"/>
  <c r="S260" i="4"/>
  <c r="T267" i="6" s="1"/>
  <c r="R261" i="4"/>
  <c r="S267" i="6"/>
  <c r="X262" i="4"/>
  <c r="I272" i="16"/>
  <c r="C274" i="16"/>
  <c r="F273" i="16"/>
  <c r="D275" i="16"/>
  <c r="G274" i="16"/>
  <c r="E274" i="16"/>
  <c r="H273" i="16"/>
  <c r="I273" i="16" s="1"/>
  <c r="AK308" i="2"/>
  <c r="AL307" i="2"/>
  <c r="AW305" i="2"/>
  <c r="AX305" i="2" s="1"/>
  <c r="X308" i="2"/>
  <c r="Y308" i="2" s="1"/>
  <c r="K274" i="14" l="1"/>
  <c r="I275" i="14"/>
  <c r="J275" i="14"/>
  <c r="T263" i="4"/>
  <c r="U262" i="4"/>
  <c r="Y262" i="4"/>
  <c r="Z269" i="6" s="1"/>
  <c r="Y269" i="6"/>
  <c r="S261" i="4"/>
  <c r="T268" i="6" s="1"/>
  <c r="R262" i="4"/>
  <c r="S268" i="6"/>
  <c r="X263" i="4"/>
  <c r="E275" i="16"/>
  <c r="H274" i="16"/>
  <c r="D276" i="16"/>
  <c r="G275" i="16"/>
  <c r="C275" i="16"/>
  <c r="F274" i="16"/>
  <c r="AK309" i="2"/>
  <c r="AL308" i="2"/>
  <c r="AW306" i="2"/>
  <c r="AX306" i="2" s="1"/>
  <c r="X309" i="2"/>
  <c r="Y309" i="2" s="1"/>
  <c r="K275" i="14" l="1"/>
  <c r="I276" i="14"/>
  <c r="J276" i="14"/>
  <c r="T264" i="4"/>
  <c r="U263" i="4"/>
  <c r="Y263" i="4"/>
  <c r="Z270" i="6" s="1"/>
  <c r="Y270" i="6"/>
  <c r="R263" i="4"/>
  <c r="S262" i="4"/>
  <c r="T269" i="6" s="1"/>
  <c r="S269" i="6"/>
  <c r="X264" i="4"/>
  <c r="I274" i="16"/>
  <c r="C276" i="16"/>
  <c r="F275" i="16"/>
  <c r="D277" i="16"/>
  <c r="G276" i="16"/>
  <c r="E276" i="16"/>
  <c r="H275" i="16"/>
  <c r="AK310" i="2"/>
  <c r="AL309" i="2"/>
  <c r="AW307" i="2"/>
  <c r="AX307" i="2" s="1"/>
  <c r="X310" i="2"/>
  <c r="Y310" i="2" s="1"/>
  <c r="K276" i="14" l="1"/>
  <c r="I277" i="14"/>
  <c r="J277" i="14"/>
  <c r="I275" i="16"/>
  <c r="T265" i="4"/>
  <c r="U264" i="4"/>
  <c r="Y264" i="4"/>
  <c r="Z271" i="6" s="1"/>
  <c r="Y271" i="6"/>
  <c r="R264" i="4"/>
  <c r="S263" i="4"/>
  <c r="T270" i="6" s="1"/>
  <c r="S270" i="6"/>
  <c r="X265" i="4"/>
  <c r="E277" i="16"/>
  <c r="H276" i="16"/>
  <c r="D278" i="16"/>
  <c r="G277" i="16"/>
  <c r="C277" i="16"/>
  <c r="F276" i="16"/>
  <c r="AK311" i="2"/>
  <c r="AL310" i="2"/>
  <c r="AW308" i="2"/>
  <c r="AX308" i="2" s="1"/>
  <c r="X311" i="2"/>
  <c r="Y311" i="2" s="1"/>
  <c r="K277" i="14" l="1"/>
  <c r="I278" i="14"/>
  <c r="J278" i="14"/>
  <c r="T266" i="4"/>
  <c r="U265" i="4"/>
  <c r="Y265" i="4"/>
  <c r="Z272" i="6" s="1"/>
  <c r="Y272" i="6"/>
  <c r="R265" i="4"/>
  <c r="S264" i="4"/>
  <c r="T271" i="6" s="1"/>
  <c r="S271" i="6"/>
  <c r="X266" i="4"/>
  <c r="I276" i="16"/>
  <c r="C278" i="16"/>
  <c r="F277" i="16"/>
  <c r="D279" i="16"/>
  <c r="G278" i="16"/>
  <c r="E278" i="16"/>
  <c r="H277" i="16"/>
  <c r="AK312" i="2"/>
  <c r="AL311" i="2"/>
  <c r="AW309" i="2"/>
  <c r="AX309" i="2" s="1"/>
  <c r="X312" i="2"/>
  <c r="Y312" i="2" s="1"/>
  <c r="K278" i="14" l="1"/>
  <c r="I279" i="14"/>
  <c r="J279" i="14"/>
  <c r="I277" i="16"/>
  <c r="T267" i="4"/>
  <c r="U266" i="4"/>
  <c r="Y266" i="4"/>
  <c r="Z273" i="6" s="1"/>
  <c r="Y273" i="6"/>
  <c r="R266" i="4"/>
  <c r="S265" i="4"/>
  <c r="T272" i="6" s="1"/>
  <c r="S272" i="6"/>
  <c r="X267" i="4"/>
  <c r="E279" i="16"/>
  <c r="H278" i="16"/>
  <c r="D280" i="16"/>
  <c r="G279" i="16"/>
  <c r="C279" i="16"/>
  <c r="F278" i="16"/>
  <c r="AK313" i="2"/>
  <c r="AL312" i="2"/>
  <c r="AW310" i="2"/>
  <c r="AX310" i="2" s="1"/>
  <c r="X313" i="2"/>
  <c r="Y313" i="2" s="1"/>
  <c r="K279" i="14" l="1"/>
  <c r="I280" i="14"/>
  <c r="J280" i="14"/>
  <c r="T268" i="4"/>
  <c r="U267" i="4"/>
  <c r="Y267" i="4"/>
  <c r="Z274" i="6" s="1"/>
  <c r="Y274" i="6"/>
  <c r="R267" i="4"/>
  <c r="S266" i="4"/>
  <c r="T273" i="6" s="1"/>
  <c r="S273" i="6"/>
  <c r="X268" i="4"/>
  <c r="I278" i="16"/>
  <c r="C280" i="16"/>
  <c r="F279" i="16"/>
  <c r="D281" i="16"/>
  <c r="G280" i="16"/>
  <c r="E280" i="16"/>
  <c r="H279" i="16"/>
  <c r="AK314" i="2"/>
  <c r="AL313" i="2"/>
  <c r="AW311" i="2"/>
  <c r="AX311" i="2" s="1"/>
  <c r="X314" i="2"/>
  <c r="Y314" i="2" s="1"/>
  <c r="K280" i="14" l="1"/>
  <c r="I281" i="14"/>
  <c r="J281" i="14"/>
  <c r="I279" i="16"/>
  <c r="T269" i="4"/>
  <c r="U268" i="4"/>
  <c r="Y268" i="4"/>
  <c r="Z275" i="6" s="1"/>
  <c r="Y275" i="6"/>
  <c r="R268" i="4"/>
  <c r="S267" i="4"/>
  <c r="T274" i="6" s="1"/>
  <c r="S274" i="6"/>
  <c r="X269" i="4"/>
  <c r="E281" i="16"/>
  <c r="H280" i="16"/>
  <c r="D282" i="16"/>
  <c r="G281" i="16"/>
  <c r="C281" i="16"/>
  <c r="F280" i="16"/>
  <c r="AK315" i="2"/>
  <c r="AL314" i="2"/>
  <c r="AW312" i="2"/>
  <c r="AX312" i="2" s="1"/>
  <c r="X315" i="2"/>
  <c r="Y315" i="2" s="1"/>
  <c r="K281" i="14" l="1"/>
  <c r="I282" i="14"/>
  <c r="J282" i="14"/>
  <c r="T270" i="4"/>
  <c r="U269" i="4"/>
  <c r="Y269" i="4"/>
  <c r="Z276" i="6" s="1"/>
  <c r="Y276" i="6"/>
  <c r="S268" i="4"/>
  <c r="T275" i="6" s="1"/>
  <c r="R269" i="4"/>
  <c r="S275" i="6"/>
  <c r="X270" i="4"/>
  <c r="I280" i="16"/>
  <c r="C282" i="16"/>
  <c r="F281" i="16"/>
  <c r="D283" i="16"/>
  <c r="G282" i="16"/>
  <c r="E282" i="16"/>
  <c r="H281" i="16"/>
  <c r="AK316" i="2"/>
  <c r="AL315" i="2"/>
  <c r="AW313" i="2"/>
  <c r="AX313" i="2" s="1"/>
  <c r="X316" i="2"/>
  <c r="Y316" i="2" s="1"/>
  <c r="K282" i="14" l="1"/>
  <c r="I283" i="14"/>
  <c r="J283" i="14"/>
  <c r="I281" i="16"/>
  <c r="T271" i="4"/>
  <c r="U270" i="4"/>
  <c r="Y270" i="4"/>
  <c r="Z277" i="6" s="1"/>
  <c r="Y277" i="6"/>
  <c r="R270" i="4"/>
  <c r="S269" i="4"/>
  <c r="T276" i="6" s="1"/>
  <c r="S276" i="6"/>
  <c r="X271" i="4"/>
  <c r="E283" i="16"/>
  <c r="H282" i="16"/>
  <c r="D284" i="16"/>
  <c r="G283" i="16"/>
  <c r="C283" i="16"/>
  <c r="F282" i="16"/>
  <c r="AK317" i="2"/>
  <c r="AL316" i="2"/>
  <c r="AW314" i="2"/>
  <c r="AX314" i="2" s="1"/>
  <c r="X317" i="2"/>
  <c r="Y317" i="2" s="1"/>
  <c r="K283" i="14" l="1"/>
  <c r="I284" i="14"/>
  <c r="J284" i="14"/>
  <c r="T272" i="4"/>
  <c r="U271" i="4"/>
  <c r="Y271" i="4"/>
  <c r="Z278" i="6" s="1"/>
  <c r="Y278" i="6"/>
  <c r="R271" i="4"/>
  <c r="S270" i="4"/>
  <c r="T277" i="6" s="1"/>
  <c r="S277" i="6"/>
  <c r="X272" i="4"/>
  <c r="I282" i="16"/>
  <c r="C284" i="16"/>
  <c r="F283" i="16"/>
  <c r="D285" i="16"/>
  <c r="G284" i="16"/>
  <c r="E284" i="16"/>
  <c r="H283" i="16"/>
  <c r="I283" i="16" s="1"/>
  <c r="AK318" i="2"/>
  <c r="AL317" i="2"/>
  <c r="AW315" i="2"/>
  <c r="AX315" i="2" s="1"/>
  <c r="X318" i="2"/>
  <c r="Y318" i="2" s="1"/>
  <c r="K284" i="14" l="1"/>
  <c r="I285" i="14"/>
  <c r="J285" i="14"/>
  <c r="T273" i="4"/>
  <c r="U272" i="4"/>
  <c r="Y272" i="4"/>
  <c r="Z279" i="6" s="1"/>
  <c r="Y279" i="6"/>
  <c r="R272" i="4"/>
  <c r="S271" i="4"/>
  <c r="T278" i="6" s="1"/>
  <c r="S278" i="6"/>
  <c r="X273" i="4"/>
  <c r="E285" i="16"/>
  <c r="H284" i="16"/>
  <c r="D286" i="16"/>
  <c r="G285" i="16"/>
  <c r="C285" i="16"/>
  <c r="F284" i="16"/>
  <c r="AK319" i="2"/>
  <c r="AL318" i="2"/>
  <c r="AW316" i="2"/>
  <c r="AX316" i="2" s="1"/>
  <c r="X319" i="2"/>
  <c r="Y319" i="2" s="1"/>
  <c r="K285" i="14" l="1"/>
  <c r="I286" i="14"/>
  <c r="J286" i="14"/>
  <c r="T274" i="4"/>
  <c r="U273" i="4"/>
  <c r="Y273" i="4"/>
  <c r="Z280" i="6" s="1"/>
  <c r="Y280" i="6"/>
  <c r="R273" i="4"/>
  <c r="S272" i="4"/>
  <c r="T279" i="6" s="1"/>
  <c r="S279" i="6"/>
  <c r="X274" i="4"/>
  <c r="I284" i="16"/>
  <c r="C286" i="16"/>
  <c r="F285" i="16"/>
  <c r="D287" i="16"/>
  <c r="G286" i="16"/>
  <c r="E286" i="16"/>
  <c r="H285" i="16"/>
  <c r="I285" i="16" s="1"/>
  <c r="AK320" i="2"/>
  <c r="AL319" i="2"/>
  <c r="AW317" i="2"/>
  <c r="AX317" i="2" s="1"/>
  <c r="X320" i="2"/>
  <c r="Y320" i="2" s="1"/>
  <c r="K286" i="14" l="1"/>
  <c r="I287" i="14"/>
  <c r="J287" i="14"/>
  <c r="T275" i="4"/>
  <c r="U274" i="4"/>
  <c r="Y274" i="4"/>
  <c r="Z281" i="6" s="1"/>
  <c r="Y281" i="6"/>
  <c r="S273" i="4"/>
  <c r="T280" i="6" s="1"/>
  <c r="R274" i="4"/>
  <c r="S280" i="6"/>
  <c r="X275" i="4"/>
  <c r="E287" i="16"/>
  <c r="H286" i="16"/>
  <c r="D288" i="16"/>
  <c r="G287" i="16"/>
  <c r="C287" i="16"/>
  <c r="F286" i="16"/>
  <c r="AK321" i="2"/>
  <c r="AL320" i="2"/>
  <c r="AW318" i="2"/>
  <c r="AX318" i="2" s="1"/>
  <c r="X321" i="2"/>
  <c r="Y321" i="2" s="1"/>
  <c r="K287" i="14" l="1"/>
  <c r="I288" i="14"/>
  <c r="J288" i="14"/>
  <c r="T276" i="4"/>
  <c r="U275" i="4"/>
  <c r="Y275" i="4"/>
  <c r="Z282" i="6" s="1"/>
  <c r="Y282" i="6"/>
  <c r="R275" i="4"/>
  <c r="S274" i="4"/>
  <c r="T281" i="6" s="1"/>
  <c r="S281" i="6"/>
  <c r="X276" i="4"/>
  <c r="I286" i="16"/>
  <c r="C288" i="16"/>
  <c r="F287" i="16"/>
  <c r="D289" i="16"/>
  <c r="G288" i="16"/>
  <c r="E288" i="16"/>
  <c r="H287" i="16"/>
  <c r="I287" i="16" s="1"/>
  <c r="AK322" i="2"/>
  <c r="AL321" i="2"/>
  <c r="AW319" i="2"/>
  <c r="AX319" i="2" s="1"/>
  <c r="X322" i="2"/>
  <c r="Y322" i="2" s="1"/>
  <c r="K288" i="14" l="1"/>
  <c r="I289" i="14"/>
  <c r="J289" i="14"/>
  <c r="T277" i="4"/>
  <c r="U276" i="4"/>
  <c r="Y276" i="4"/>
  <c r="Z283" i="6" s="1"/>
  <c r="Y283" i="6"/>
  <c r="S275" i="4"/>
  <c r="T282" i="6" s="1"/>
  <c r="R276" i="4"/>
  <c r="S282" i="6"/>
  <c r="X277" i="4"/>
  <c r="E289" i="16"/>
  <c r="H288" i="16"/>
  <c r="D290" i="16"/>
  <c r="G289" i="16"/>
  <c r="C289" i="16"/>
  <c r="F288" i="16"/>
  <c r="AK323" i="2"/>
  <c r="AL322" i="2"/>
  <c r="AW320" i="2"/>
  <c r="AX320" i="2" s="1"/>
  <c r="X323" i="2"/>
  <c r="Y323" i="2" s="1"/>
  <c r="K289" i="14" l="1"/>
  <c r="I290" i="14"/>
  <c r="J290" i="14"/>
  <c r="T278" i="4"/>
  <c r="U277" i="4"/>
  <c r="Y277" i="4"/>
  <c r="Z284" i="6" s="1"/>
  <c r="Y284" i="6"/>
  <c r="R277" i="4"/>
  <c r="S276" i="4"/>
  <c r="T283" i="6" s="1"/>
  <c r="S283" i="6"/>
  <c r="X278" i="4"/>
  <c r="I288" i="16"/>
  <c r="C290" i="16"/>
  <c r="F289" i="16"/>
  <c r="D291" i="16"/>
  <c r="G290" i="16"/>
  <c r="E290" i="16"/>
  <c r="H289" i="16"/>
  <c r="I289" i="16" s="1"/>
  <c r="AK324" i="2"/>
  <c r="AL323" i="2"/>
  <c r="AW321" i="2"/>
  <c r="AX321" i="2" s="1"/>
  <c r="X324" i="2"/>
  <c r="Y324" i="2" s="1"/>
  <c r="K290" i="14" l="1"/>
  <c r="I291" i="14"/>
  <c r="J291" i="14"/>
  <c r="T279" i="4"/>
  <c r="U278" i="4"/>
  <c r="Y278" i="4"/>
  <c r="Z285" i="6" s="1"/>
  <c r="Y285" i="6"/>
  <c r="R278" i="4"/>
  <c r="S277" i="4"/>
  <c r="T284" i="6" s="1"/>
  <c r="S284" i="6"/>
  <c r="X279" i="4"/>
  <c r="E291" i="16"/>
  <c r="H290" i="16"/>
  <c r="D292" i="16"/>
  <c r="G291" i="16"/>
  <c r="C291" i="16"/>
  <c r="F290" i="16"/>
  <c r="AK325" i="2"/>
  <c r="AL324" i="2"/>
  <c r="AW322" i="2"/>
  <c r="AX322" i="2" s="1"/>
  <c r="X325" i="2"/>
  <c r="Y325" i="2" s="1"/>
  <c r="K291" i="14" l="1"/>
  <c r="I292" i="14"/>
  <c r="J292" i="14"/>
  <c r="T280" i="4"/>
  <c r="U279" i="4"/>
  <c r="Y279" i="4"/>
  <c r="Z286" i="6" s="1"/>
  <c r="Y286" i="6"/>
  <c r="R279" i="4"/>
  <c r="S278" i="4"/>
  <c r="T285" i="6" s="1"/>
  <c r="S285" i="6"/>
  <c r="X280" i="4"/>
  <c r="I290" i="16"/>
  <c r="C292" i="16"/>
  <c r="F291" i="16"/>
  <c r="D293" i="16"/>
  <c r="G292" i="16"/>
  <c r="E292" i="16"/>
  <c r="H291" i="16"/>
  <c r="I291" i="16" s="1"/>
  <c r="AK326" i="2"/>
  <c r="AL325" i="2"/>
  <c r="AW323" i="2"/>
  <c r="AX323" i="2" s="1"/>
  <c r="X326" i="2"/>
  <c r="Y326" i="2" s="1"/>
  <c r="K292" i="14" l="1"/>
  <c r="I293" i="14"/>
  <c r="J293" i="14"/>
  <c r="T281" i="4"/>
  <c r="U280" i="4"/>
  <c r="Y280" i="4"/>
  <c r="Z287" i="6" s="1"/>
  <c r="Y287" i="6"/>
  <c r="S279" i="4"/>
  <c r="T286" i="6" s="1"/>
  <c r="R280" i="4"/>
  <c r="S286" i="6"/>
  <c r="X281" i="4"/>
  <c r="E293" i="16"/>
  <c r="H292" i="16"/>
  <c r="D294" i="16"/>
  <c r="G293" i="16"/>
  <c r="C293" i="16"/>
  <c r="F292" i="16"/>
  <c r="AK327" i="2"/>
  <c r="AL326" i="2"/>
  <c r="AW324" i="2"/>
  <c r="AX324" i="2" s="1"/>
  <c r="X327" i="2"/>
  <c r="Y327" i="2" s="1"/>
  <c r="K293" i="14" l="1"/>
  <c r="I294" i="14"/>
  <c r="J294" i="14"/>
  <c r="T282" i="4"/>
  <c r="U281" i="4"/>
  <c r="Y281" i="4"/>
  <c r="Z288" i="6" s="1"/>
  <c r="Y288" i="6"/>
  <c r="R281" i="4"/>
  <c r="S280" i="4"/>
  <c r="T287" i="6" s="1"/>
  <c r="S287" i="6"/>
  <c r="X282" i="4"/>
  <c r="I292" i="16"/>
  <c r="C294" i="16"/>
  <c r="F293" i="16"/>
  <c r="D295" i="16"/>
  <c r="G294" i="16"/>
  <c r="E294" i="16"/>
  <c r="H293" i="16"/>
  <c r="I293" i="16" s="1"/>
  <c r="AK328" i="2"/>
  <c r="AL327" i="2"/>
  <c r="AW325" i="2"/>
  <c r="AX325" i="2" s="1"/>
  <c r="X328" i="2"/>
  <c r="Y328" i="2" s="1"/>
  <c r="K294" i="14" l="1"/>
  <c r="I295" i="14"/>
  <c r="J295" i="14"/>
  <c r="T283" i="4"/>
  <c r="U282" i="4"/>
  <c r="Y282" i="4"/>
  <c r="Z289" i="6" s="1"/>
  <c r="Y289" i="6"/>
  <c r="R282" i="4"/>
  <c r="S281" i="4"/>
  <c r="T288" i="6" s="1"/>
  <c r="S288" i="6"/>
  <c r="X283" i="4"/>
  <c r="E295" i="16"/>
  <c r="H294" i="16"/>
  <c r="D296" i="16"/>
  <c r="G295" i="16"/>
  <c r="C295" i="16"/>
  <c r="F294" i="16"/>
  <c r="AK329" i="2"/>
  <c r="AL328" i="2"/>
  <c r="AW326" i="2"/>
  <c r="AX326" i="2" s="1"/>
  <c r="X329" i="2"/>
  <c r="Y329" i="2" s="1"/>
  <c r="K295" i="14" l="1"/>
  <c r="I296" i="14"/>
  <c r="J296" i="14"/>
  <c r="T284" i="4"/>
  <c r="U283" i="4"/>
  <c r="Y283" i="4"/>
  <c r="Z290" i="6" s="1"/>
  <c r="Y290" i="6"/>
  <c r="R283" i="4"/>
  <c r="S282" i="4"/>
  <c r="T289" i="6" s="1"/>
  <c r="S289" i="6"/>
  <c r="X284" i="4"/>
  <c r="I294" i="16"/>
  <c r="C296" i="16"/>
  <c r="F295" i="16"/>
  <c r="D297" i="16"/>
  <c r="G296" i="16"/>
  <c r="E296" i="16"/>
  <c r="H295" i="16"/>
  <c r="I295" i="16" s="1"/>
  <c r="AK330" i="2"/>
  <c r="AL329" i="2"/>
  <c r="AW327" i="2"/>
  <c r="AX327" i="2" s="1"/>
  <c r="X330" i="2"/>
  <c r="Y330" i="2" s="1"/>
  <c r="K296" i="14" l="1"/>
  <c r="I297" i="14"/>
  <c r="J297" i="14"/>
  <c r="T285" i="4"/>
  <c r="U284" i="4"/>
  <c r="Y284" i="4"/>
  <c r="Z291" i="6" s="1"/>
  <c r="Y291" i="6"/>
  <c r="R284" i="4"/>
  <c r="S283" i="4"/>
  <c r="T290" i="6" s="1"/>
  <c r="S290" i="6"/>
  <c r="X285" i="4"/>
  <c r="E297" i="16"/>
  <c r="H296" i="16"/>
  <c r="D298" i="16"/>
  <c r="G297" i="16"/>
  <c r="C297" i="16"/>
  <c r="F296" i="16"/>
  <c r="AK331" i="2"/>
  <c r="AL330" i="2"/>
  <c r="AW328" i="2"/>
  <c r="AX328" i="2" s="1"/>
  <c r="X331" i="2"/>
  <c r="Y331" i="2" s="1"/>
  <c r="K297" i="14" l="1"/>
  <c r="I298" i="14"/>
  <c r="J298" i="14"/>
  <c r="T286" i="4"/>
  <c r="U285" i="4"/>
  <c r="Y285" i="4"/>
  <c r="Z292" i="6" s="1"/>
  <c r="Y292" i="6"/>
  <c r="R285" i="4"/>
  <c r="S284" i="4"/>
  <c r="T291" i="6" s="1"/>
  <c r="S291" i="6"/>
  <c r="X286" i="4"/>
  <c r="I296" i="16"/>
  <c r="C298" i="16"/>
  <c r="F297" i="16"/>
  <c r="D299" i="16"/>
  <c r="G298" i="16"/>
  <c r="E298" i="16"/>
  <c r="H297" i="16"/>
  <c r="I297" i="16" s="1"/>
  <c r="AK332" i="2"/>
  <c r="AL331" i="2"/>
  <c r="AW329" i="2"/>
  <c r="AX329" i="2" s="1"/>
  <c r="X332" i="2"/>
  <c r="Y332" i="2" s="1"/>
  <c r="K298" i="14" l="1"/>
  <c r="I299" i="14"/>
  <c r="J299" i="14"/>
  <c r="T287" i="4"/>
  <c r="U286" i="4"/>
  <c r="Y286" i="4"/>
  <c r="Z293" i="6" s="1"/>
  <c r="Y293" i="6"/>
  <c r="R286" i="4"/>
  <c r="S285" i="4"/>
  <c r="T292" i="6" s="1"/>
  <c r="S292" i="6"/>
  <c r="X287" i="4"/>
  <c r="E299" i="16"/>
  <c r="H298" i="16"/>
  <c r="D300" i="16"/>
  <c r="G299" i="16"/>
  <c r="C299" i="16"/>
  <c r="F298" i="16"/>
  <c r="AK333" i="2"/>
  <c r="AL332" i="2"/>
  <c r="AW330" i="2"/>
  <c r="AX330" i="2" s="1"/>
  <c r="X333" i="2"/>
  <c r="Y333" i="2" s="1"/>
  <c r="K299" i="14" l="1"/>
  <c r="I300" i="14"/>
  <c r="J300" i="14"/>
  <c r="T288" i="4"/>
  <c r="U287" i="4"/>
  <c r="Y287" i="4"/>
  <c r="Z294" i="6" s="1"/>
  <c r="Y294" i="6"/>
  <c r="R287" i="4"/>
  <c r="S286" i="4"/>
  <c r="T293" i="6" s="1"/>
  <c r="S293" i="6"/>
  <c r="X288" i="4"/>
  <c r="I298" i="16"/>
  <c r="C300" i="16"/>
  <c r="F299" i="16"/>
  <c r="D301" i="16"/>
  <c r="G300" i="16"/>
  <c r="E300" i="16"/>
  <c r="H299" i="16"/>
  <c r="I299" i="16" s="1"/>
  <c r="AK334" i="2"/>
  <c r="AL333" i="2"/>
  <c r="AW331" i="2"/>
  <c r="AX331" i="2" s="1"/>
  <c r="X334" i="2"/>
  <c r="Y334" i="2" s="1"/>
  <c r="K300" i="14" l="1"/>
  <c r="I301" i="14"/>
  <c r="J301" i="14"/>
  <c r="T289" i="4"/>
  <c r="U288" i="4"/>
  <c r="Y288" i="4"/>
  <c r="Z295" i="6" s="1"/>
  <c r="Y295" i="6"/>
  <c r="R288" i="4"/>
  <c r="S287" i="4"/>
  <c r="T294" i="6" s="1"/>
  <c r="S294" i="6"/>
  <c r="X289" i="4"/>
  <c r="E301" i="16"/>
  <c r="H300" i="16"/>
  <c r="D302" i="16"/>
  <c r="G301" i="16"/>
  <c r="C301" i="16"/>
  <c r="F300" i="16"/>
  <c r="AK335" i="2"/>
  <c r="AL334" i="2"/>
  <c r="AW332" i="2"/>
  <c r="AX332" i="2" s="1"/>
  <c r="X335" i="2"/>
  <c r="Y335" i="2" s="1"/>
  <c r="K301" i="14" l="1"/>
  <c r="I302" i="14"/>
  <c r="J302" i="14"/>
  <c r="T290" i="4"/>
  <c r="U289" i="4"/>
  <c r="Y289" i="4"/>
  <c r="Z296" i="6" s="1"/>
  <c r="Y296" i="6"/>
  <c r="R289" i="4"/>
  <c r="S288" i="4"/>
  <c r="T295" i="6" s="1"/>
  <c r="S295" i="6"/>
  <c r="X290" i="4"/>
  <c r="I300" i="16"/>
  <c r="C302" i="16"/>
  <c r="F301" i="16"/>
  <c r="D303" i="16"/>
  <c r="G302" i="16"/>
  <c r="E302" i="16"/>
  <c r="H301" i="16"/>
  <c r="I301" i="16" s="1"/>
  <c r="AK336" i="2"/>
  <c r="AL335" i="2"/>
  <c r="AW333" i="2"/>
  <c r="AX333" i="2" s="1"/>
  <c r="X336" i="2"/>
  <c r="Y336" i="2" s="1"/>
  <c r="K302" i="14" l="1"/>
  <c r="I303" i="14"/>
  <c r="J303" i="14"/>
  <c r="T291" i="4"/>
  <c r="U290" i="4"/>
  <c r="Y290" i="4"/>
  <c r="Z297" i="6" s="1"/>
  <c r="Y297" i="6"/>
  <c r="S289" i="4"/>
  <c r="T296" i="6" s="1"/>
  <c r="R290" i="4"/>
  <c r="S296" i="6"/>
  <c r="X291" i="4"/>
  <c r="E303" i="16"/>
  <c r="H302" i="16"/>
  <c r="D304" i="16"/>
  <c r="G303" i="16"/>
  <c r="C303" i="16"/>
  <c r="F302" i="16"/>
  <c r="AK337" i="2"/>
  <c r="AL336" i="2"/>
  <c r="AW334" i="2"/>
  <c r="AX334" i="2" s="1"/>
  <c r="X337" i="2"/>
  <c r="Y337" i="2" s="1"/>
  <c r="K303" i="14" l="1"/>
  <c r="I304" i="14"/>
  <c r="J304" i="14"/>
  <c r="T292" i="4"/>
  <c r="U291" i="4"/>
  <c r="Y291" i="4"/>
  <c r="Z298" i="6" s="1"/>
  <c r="Y298" i="6"/>
  <c r="S290" i="4"/>
  <c r="T297" i="6" s="1"/>
  <c r="R291" i="4"/>
  <c r="S297" i="6"/>
  <c r="X292" i="4"/>
  <c r="I302" i="16"/>
  <c r="C304" i="16"/>
  <c r="F303" i="16"/>
  <c r="D305" i="16"/>
  <c r="G304" i="16"/>
  <c r="E304" i="16"/>
  <c r="H303" i="16"/>
  <c r="I303" i="16" s="1"/>
  <c r="AK338" i="2"/>
  <c r="AL337" i="2"/>
  <c r="AW335" i="2"/>
  <c r="AX335" i="2" s="1"/>
  <c r="X338" i="2"/>
  <c r="Y338" i="2" s="1"/>
  <c r="K304" i="14" l="1"/>
  <c r="I305" i="14"/>
  <c r="J305" i="14"/>
  <c r="T293" i="4"/>
  <c r="U292" i="4"/>
  <c r="Y292" i="4"/>
  <c r="Z299" i="6" s="1"/>
  <c r="Y299" i="6"/>
  <c r="R292" i="4"/>
  <c r="S291" i="4"/>
  <c r="T298" i="6" s="1"/>
  <c r="S298" i="6"/>
  <c r="X293" i="4"/>
  <c r="E305" i="16"/>
  <c r="H304" i="16"/>
  <c r="D306" i="16"/>
  <c r="G305" i="16"/>
  <c r="C305" i="16"/>
  <c r="F304" i="16"/>
  <c r="AK339" i="2"/>
  <c r="AL338" i="2"/>
  <c r="AW336" i="2"/>
  <c r="AX336" i="2" s="1"/>
  <c r="X339" i="2"/>
  <c r="Y339" i="2" s="1"/>
  <c r="K305" i="14" l="1"/>
  <c r="I306" i="14"/>
  <c r="J306" i="14"/>
  <c r="T294" i="4"/>
  <c r="U293" i="4"/>
  <c r="Y293" i="4"/>
  <c r="Z300" i="6" s="1"/>
  <c r="Y300" i="6"/>
  <c r="R293" i="4"/>
  <c r="S292" i="4"/>
  <c r="T299" i="6" s="1"/>
  <c r="S299" i="6"/>
  <c r="X294" i="4"/>
  <c r="I304" i="16"/>
  <c r="C306" i="16"/>
  <c r="F305" i="16"/>
  <c r="D307" i="16"/>
  <c r="G306" i="16"/>
  <c r="E306" i="16"/>
  <c r="H305" i="16"/>
  <c r="AK340" i="2"/>
  <c r="AL339" i="2"/>
  <c r="AW337" i="2"/>
  <c r="AX337" i="2" s="1"/>
  <c r="X340" i="2"/>
  <c r="Y340" i="2" s="1"/>
  <c r="K306" i="14" l="1"/>
  <c r="I307" i="14"/>
  <c r="J307" i="14"/>
  <c r="I305" i="16"/>
  <c r="T295" i="4"/>
  <c r="U294" i="4"/>
  <c r="Y294" i="4"/>
  <c r="Z301" i="6" s="1"/>
  <c r="Y301" i="6"/>
  <c r="R294" i="4"/>
  <c r="S293" i="4"/>
  <c r="T300" i="6" s="1"/>
  <c r="S300" i="6"/>
  <c r="X295" i="4"/>
  <c r="E307" i="16"/>
  <c r="H306" i="16"/>
  <c r="D308" i="16"/>
  <c r="G307" i="16"/>
  <c r="C307" i="16"/>
  <c r="F306" i="16"/>
  <c r="AK341" i="2"/>
  <c r="AL340" i="2"/>
  <c r="AW338" i="2"/>
  <c r="AX338" i="2" s="1"/>
  <c r="X341" i="2"/>
  <c r="Y341" i="2" s="1"/>
  <c r="K307" i="14" l="1"/>
  <c r="I308" i="14"/>
  <c r="J308" i="14"/>
  <c r="T296" i="4"/>
  <c r="U295" i="4"/>
  <c r="Y295" i="4"/>
  <c r="Z302" i="6" s="1"/>
  <c r="Y302" i="6"/>
  <c r="R295" i="4"/>
  <c r="S294" i="4"/>
  <c r="T301" i="6" s="1"/>
  <c r="S301" i="6"/>
  <c r="X296" i="4"/>
  <c r="I306" i="16"/>
  <c r="C308" i="16"/>
  <c r="F307" i="16"/>
  <c r="D309" i="16"/>
  <c r="G308" i="16"/>
  <c r="E308" i="16"/>
  <c r="H307" i="16"/>
  <c r="I307" i="16" s="1"/>
  <c r="AK342" i="2"/>
  <c r="AL341" i="2"/>
  <c r="AW339" i="2"/>
  <c r="AX339" i="2" s="1"/>
  <c r="X342" i="2"/>
  <c r="Y342" i="2" s="1"/>
  <c r="K308" i="14" l="1"/>
  <c r="I309" i="14"/>
  <c r="J309" i="14"/>
  <c r="T297" i="4"/>
  <c r="U296" i="4"/>
  <c r="Y296" i="4"/>
  <c r="Z303" i="6" s="1"/>
  <c r="Y303" i="6"/>
  <c r="S295" i="4"/>
  <c r="T302" i="6" s="1"/>
  <c r="R296" i="4"/>
  <c r="S302" i="6"/>
  <c r="X297" i="4"/>
  <c r="E309" i="16"/>
  <c r="H308" i="16"/>
  <c r="D310" i="16"/>
  <c r="G309" i="16"/>
  <c r="C309" i="16"/>
  <c r="F308" i="16"/>
  <c r="AK343" i="2"/>
  <c r="AL342" i="2"/>
  <c r="AW340" i="2"/>
  <c r="AX340" i="2" s="1"/>
  <c r="X343" i="2"/>
  <c r="Y343" i="2" s="1"/>
  <c r="K309" i="14" l="1"/>
  <c r="I310" i="14"/>
  <c r="J310" i="14"/>
  <c r="T298" i="4"/>
  <c r="U297" i="4"/>
  <c r="Y297" i="4"/>
  <c r="Z304" i="6" s="1"/>
  <c r="Y304" i="6"/>
  <c r="S296" i="4"/>
  <c r="T303" i="6" s="1"/>
  <c r="R297" i="4"/>
  <c r="S303" i="6"/>
  <c r="X298" i="4"/>
  <c r="I308" i="16"/>
  <c r="C310" i="16"/>
  <c r="F309" i="16"/>
  <c r="D311" i="16"/>
  <c r="G310" i="16"/>
  <c r="E310" i="16"/>
  <c r="H309" i="16"/>
  <c r="I309" i="16" s="1"/>
  <c r="AK344" i="2"/>
  <c r="AL343" i="2"/>
  <c r="AW341" i="2"/>
  <c r="AX341" i="2" s="1"/>
  <c r="X344" i="2"/>
  <c r="Y344" i="2" s="1"/>
  <c r="K310" i="14" l="1"/>
  <c r="I311" i="14"/>
  <c r="J311" i="14"/>
  <c r="T299" i="4"/>
  <c r="U298" i="4"/>
  <c r="Y298" i="4"/>
  <c r="Z305" i="6" s="1"/>
  <c r="Y305" i="6"/>
  <c r="R298" i="4"/>
  <c r="S297" i="4"/>
  <c r="T304" i="6" s="1"/>
  <c r="S304" i="6"/>
  <c r="X299" i="4"/>
  <c r="E311" i="16"/>
  <c r="H310" i="16"/>
  <c r="D312" i="16"/>
  <c r="G311" i="16"/>
  <c r="C311" i="16"/>
  <c r="F310" i="16"/>
  <c r="AK345" i="2"/>
  <c r="AL344" i="2"/>
  <c r="AW342" i="2"/>
  <c r="AX342" i="2" s="1"/>
  <c r="X345" i="2"/>
  <c r="Y345" i="2" s="1"/>
  <c r="K311" i="14" l="1"/>
  <c r="I312" i="14"/>
  <c r="J312" i="14"/>
  <c r="T300" i="4"/>
  <c r="U299" i="4"/>
  <c r="Y299" i="4"/>
  <c r="Z306" i="6" s="1"/>
  <c r="Y306" i="6"/>
  <c r="R299" i="4"/>
  <c r="S298" i="4"/>
  <c r="T305" i="6" s="1"/>
  <c r="S305" i="6"/>
  <c r="X300" i="4"/>
  <c r="I310" i="16"/>
  <c r="C312" i="16"/>
  <c r="F311" i="16"/>
  <c r="D313" i="16"/>
  <c r="G312" i="16"/>
  <c r="E312" i="16"/>
  <c r="H311" i="16"/>
  <c r="I311" i="16" s="1"/>
  <c r="AK346" i="2"/>
  <c r="AL345" i="2"/>
  <c r="AW343" i="2"/>
  <c r="AX343" i="2" s="1"/>
  <c r="X346" i="2"/>
  <c r="Y346" i="2" s="1"/>
  <c r="K312" i="14" l="1"/>
  <c r="I313" i="14"/>
  <c r="J313" i="14"/>
  <c r="T301" i="4"/>
  <c r="U300" i="4"/>
  <c r="Y300" i="4"/>
  <c r="Z307" i="6" s="1"/>
  <c r="Y307" i="6"/>
  <c r="R300" i="4"/>
  <c r="S299" i="4"/>
  <c r="T306" i="6" s="1"/>
  <c r="S306" i="6"/>
  <c r="X301" i="4"/>
  <c r="E313" i="16"/>
  <c r="H312" i="16"/>
  <c r="D314" i="16"/>
  <c r="G313" i="16"/>
  <c r="C313" i="16"/>
  <c r="F312" i="16"/>
  <c r="AK347" i="2"/>
  <c r="AL346" i="2"/>
  <c r="AW344" i="2"/>
  <c r="AX344" i="2" s="1"/>
  <c r="X347" i="2"/>
  <c r="Y347" i="2" s="1"/>
  <c r="K313" i="14" l="1"/>
  <c r="I314" i="14"/>
  <c r="J314" i="14"/>
  <c r="T302" i="4"/>
  <c r="U301" i="4"/>
  <c r="Y301" i="4"/>
  <c r="Z308" i="6" s="1"/>
  <c r="Y308" i="6"/>
  <c r="R301" i="4"/>
  <c r="S300" i="4"/>
  <c r="T307" i="6" s="1"/>
  <c r="S307" i="6"/>
  <c r="X302" i="4"/>
  <c r="I312" i="16"/>
  <c r="C314" i="16"/>
  <c r="F313" i="16"/>
  <c r="D315" i="16"/>
  <c r="G314" i="16"/>
  <c r="E314" i="16"/>
  <c r="H313" i="16"/>
  <c r="I313" i="16" s="1"/>
  <c r="AK348" i="2"/>
  <c r="AL347" i="2"/>
  <c r="AW345" i="2"/>
  <c r="AX345" i="2" s="1"/>
  <c r="X348" i="2"/>
  <c r="Y348" i="2" s="1"/>
  <c r="K314" i="14" l="1"/>
  <c r="I315" i="14"/>
  <c r="J315" i="14"/>
  <c r="T303" i="4"/>
  <c r="U302" i="4"/>
  <c r="Y302" i="4"/>
  <c r="Z309" i="6" s="1"/>
  <c r="Y309" i="6"/>
  <c r="S301" i="4"/>
  <c r="T308" i="6" s="1"/>
  <c r="R302" i="4"/>
  <c r="S308" i="6"/>
  <c r="X303" i="4"/>
  <c r="E315" i="16"/>
  <c r="H314" i="16"/>
  <c r="D316" i="16"/>
  <c r="G315" i="16"/>
  <c r="C315" i="16"/>
  <c r="F314" i="16"/>
  <c r="AK349" i="2"/>
  <c r="AL348" i="2"/>
  <c r="AW346" i="2"/>
  <c r="AX346" i="2" s="1"/>
  <c r="X349" i="2"/>
  <c r="Y349" i="2" s="1"/>
  <c r="K315" i="14" l="1"/>
  <c r="I316" i="14"/>
  <c r="J316" i="14"/>
  <c r="T304" i="4"/>
  <c r="U303" i="4"/>
  <c r="Y303" i="4"/>
  <c r="Z310" i="6" s="1"/>
  <c r="Y310" i="6"/>
  <c r="R303" i="4"/>
  <c r="S302" i="4"/>
  <c r="T309" i="6" s="1"/>
  <c r="S309" i="6"/>
  <c r="X304" i="4"/>
  <c r="I314" i="16"/>
  <c r="C316" i="16"/>
  <c r="F315" i="16"/>
  <c r="D317" i="16"/>
  <c r="G316" i="16"/>
  <c r="E316" i="16"/>
  <c r="H315" i="16"/>
  <c r="I315" i="16" s="1"/>
  <c r="AK350" i="2"/>
  <c r="AL349" i="2"/>
  <c r="AW347" i="2"/>
  <c r="AX347" i="2" s="1"/>
  <c r="X350" i="2"/>
  <c r="Y350" i="2" s="1"/>
  <c r="K316" i="14" l="1"/>
  <c r="I317" i="14"/>
  <c r="J317" i="14"/>
  <c r="T305" i="4"/>
  <c r="U304" i="4"/>
  <c r="Y304" i="4"/>
  <c r="Z311" i="6" s="1"/>
  <c r="Y311" i="6"/>
  <c r="R304" i="4"/>
  <c r="S303" i="4"/>
  <c r="T310" i="6" s="1"/>
  <c r="S310" i="6"/>
  <c r="X305" i="4"/>
  <c r="E317" i="16"/>
  <c r="H316" i="16"/>
  <c r="D318" i="16"/>
  <c r="G317" i="16"/>
  <c r="C317" i="16"/>
  <c r="F316" i="16"/>
  <c r="AK351" i="2"/>
  <c r="AL350" i="2"/>
  <c r="AW348" i="2"/>
  <c r="AX348" i="2" s="1"/>
  <c r="X351" i="2"/>
  <c r="Y351" i="2" s="1"/>
  <c r="K317" i="14" l="1"/>
  <c r="I318" i="14"/>
  <c r="J318" i="14"/>
  <c r="T306" i="4"/>
  <c r="U305" i="4"/>
  <c r="Y305" i="4"/>
  <c r="Z312" i="6" s="1"/>
  <c r="Y312" i="6"/>
  <c r="R305" i="4"/>
  <c r="S304" i="4"/>
  <c r="T311" i="6" s="1"/>
  <c r="S311" i="6"/>
  <c r="X306" i="4"/>
  <c r="I316" i="16"/>
  <c r="C318" i="16"/>
  <c r="F317" i="16"/>
  <c r="D319" i="16"/>
  <c r="G318" i="16"/>
  <c r="E318" i="16"/>
  <c r="H317" i="16"/>
  <c r="I317" i="16" s="1"/>
  <c r="AK352" i="2"/>
  <c r="AL351" i="2"/>
  <c r="AW349" i="2"/>
  <c r="AX349" i="2" s="1"/>
  <c r="X352" i="2"/>
  <c r="Y352" i="2" s="1"/>
  <c r="K318" i="14" l="1"/>
  <c r="I319" i="14"/>
  <c r="J319" i="14"/>
  <c r="T307" i="4"/>
  <c r="U306" i="4"/>
  <c r="Y306" i="4"/>
  <c r="Z313" i="6" s="1"/>
  <c r="Y313" i="6"/>
  <c r="R306" i="4"/>
  <c r="S305" i="4"/>
  <c r="T312" i="6" s="1"/>
  <c r="S312" i="6"/>
  <c r="X307" i="4"/>
  <c r="E319" i="16"/>
  <c r="H318" i="16"/>
  <c r="D320" i="16"/>
  <c r="G319" i="16"/>
  <c r="C319" i="16"/>
  <c r="F318" i="16"/>
  <c r="AK353" i="2"/>
  <c r="AL352" i="2"/>
  <c r="AW350" i="2"/>
  <c r="AX350" i="2" s="1"/>
  <c r="X353" i="2"/>
  <c r="Y353" i="2" s="1"/>
  <c r="K319" i="14" l="1"/>
  <c r="I320" i="14"/>
  <c r="J320" i="14"/>
  <c r="T308" i="4"/>
  <c r="U307" i="4"/>
  <c r="Y307" i="4"/>
  <c r="Z314" i="6" s="1"/>
  <c r="Y314" i="6"/>
  <c r="R307" i="4"/>
  <c r="S306" i="4"/>
  <c r="T313" i="6" s="1"/>
  <c r="S313" i="6"/>
  <c r="X308" i="4"/>
  <c r="I318" i="16"/>
  <c r="C320" i="16"/>
  <c r="F319" i="16"/>
  <c r="D321" i="16"/>
  <c r="G320" i="16"/>
  <c r="E320" i="16"/>
  <c r="H319" i="16"/>
  <c r="I319" i="16" s="1"/>
  <c r="AK354" i="2"/>
  <c r="AL353" i="2"/>
  <c r="AW351" i="2"/>
  <c r="AX351" i="2" s="1"/>
  <c r="X354" i="2"/>
  <c r="Y354" i="2" s="1"/>
  <c r="K320" i="14" l="1"/>
  <c r="I321" i="14"/>
  <c r="J321" i="14"/>
  <c r="T309" i="4"/>
  <c r="U308" i="4"/>
  <c r="Y308" i="4"/>
  <c r="Z315" i="6" s="1"/>
  <c r="Y315" i="6"/>
  <c r="R308" i="4"/>
  <c r="S307" i="4"/>
  <c r="T314" i="6" s="1"/>
  <c r="S314" i="6"/>
  <c r="X309" i="4"/>
  <c r="E321" i="16"/>
  <c r="H320" i="16"/>
  <c r="D322" i="16"/>
  <c r="G321" i="16"/>
  <c r="C321" i="16"/>
  <c r="F320" i="16"/>
  <c r="AK355" i="2"/>
  <c r="AL354" i="2"/>
  <c r="AW352" i="2"/>
  <c r="AX352" i="2" s="1"/>
  <c r="X355" i="2"/>
  <c r="Y355" i="2" s="1"/>
  <c r="K321" i="14" l="1"/>
  <c r="I322" i="14"/>
  <c r="J322" i="14"/>
  <c r="T310" i="4"/>
  <c r="U309" i="4"/>
  <c r="Y309" i="4"/>
  <c r="Z316" i="6" s="1"/>
  <c r="Y316" i="6"/>
  <c r="R309" i="4"/>
  <c r="S308" i="4"/>
  <c r="T315" i="6" s="1"/>
  <c r="S315" i="6"/>
  <c r="X310" i="4"/>
  <c r="I320" i="16"/>
  <c r="C322" i="16"/>
  <c r="F321" i="16"/>
  <c r="D323" i="16"/>
  <c r="G322" i="16"/>
  <c r="E322" i="16"/>
  <c r="H321" i="16"/>
  <c r="I321" i="16" s="1"/>
  <c r="AK356" i="2"/>
  <c r="AL355" i="2"/>
  <c r="AW353" i="2"/>
  <c r="AX353" i="2" s="1"/>
  <c r="X356" i="2"/>
  <c r="Y356" i="2" s="1"/>
  <c r="K322" i="14" l="1"/>
  <c r="I323" i="14"/>
  <c r="J323" i="14"/>
  <c r="T311" i="4"/>
  <c r="U310" i="4"/>
  <c r="Y310" i="4"/>
  <c r="Z317" i="6" s="1"/>
  <c r="Y317" i="6"/>
  <c r="R310" i="4"/>
  <c r="S309" i="4"/>
  <c r="T316" i="6" s="1"/>
  <c r="S316" i="6"/>
  <c r="X311" i="4"/>
  <c r="E323" i="16"/>
  <c r="H322" i="16"/>
  <c r="D324" i="16"/>
  <c r="G323" i="16"/>
  <c r="C323" i="16"/>
  <c r="F322" i="16"/>
  <c r="AK357" i="2"/>
  <c r="AL356" i="2"/>
  <c r="AW354" i="2"/>
  <c r="AX354" i="2" s="1"/>
  <c r="X357" i="2"/>
  <c r="Y357" i="2" s="1"/>
  <c r="K323" i="14" l="1"/>
  <c r="I324" i="14"/>
  <c r="J324" i="14"/>
  <c r="T312" i="4"/>
  <c r="U311" i="4"/>
  <c r="Y311" i="4"/>
  <c r="Z318" i="6" s="1"/>
  <c r="Y318" i="6"/>
  <c r="R311" i="4"/>
  <c r="S310" i="4"/>
  <c r="T317" i="6" s="1"/>
  <c r="S317" i="6"/>
  <c r="X312" i="4"/>
  <c r="I322" i="16"/>
  <c r="C324" i="16"/>
  <c r="F323" i="16"/>
  <c r="D325" i="16"/>
  <c r="G324" i="16"/>
  <c r="E324" i="16"/>
  <c r="H323" i="16"/>
  <c r="I323" i="16" s="1"/>
  <c r="AK358" i="2"/>
  <c r="AL357" i="2"/>
  <c r="AW355" i="2"/>
  <c r="AX355" i="2" s="1"/>
  <c r="X358" i="2"/>
  <c r="Y358" i="2" s="1"/>
  <c r="K324" i="14" l="1"/>
  <c r="I325" i="14"/>
  <c r="J325" i="14"/>
  <c r="T313" i="4"/>
  <c r="U312" i="4"/>
  <c r="Y312" i="4"/>
  <c r="Z319" i="6" s="1"/>
  <c r="Y319" i="6"/>
  <c r="R312" i="4"/>
  <c r="S311" i="4"/>
  <c r="T318" i="6" s="1"/>
  <c r="S318" i="6"/>
  <c r="X313" i="4"/>
  <c r="E325" i="16"/>
  <c r="H324" i="16"/>
  <c r="D326" i="16"/>
  <c r="G325" i="16"/>
  <c r="C325" i="16"/>
  <c r="F324" i="16"/>
  <c r="AK359" i="2"/>
  <c r="AL358" i="2"/>
  <c r="AW356" i="2"/>
  <c r="AX356" i="2" s="1"/>
  <c r="X359" i="2"/>
  <c r="Y359" i="2" s="1"/>
  <c r="K325" i="14" l="1"/>
  <c r="I326" i="14"/>
  <c r="J326" i="14"/>
  <c r="T314" i="4"/>
  <c r="U313" i="4"/>
  <c r="Y313" i="4"/>
  <c r="Z320" i="6" s="1"/>
  <c r="Y320" i="6"/>
  <c r="R313" i="4"/>
  <c r="S312" i="4"/>
  <c r="T319" i="6" s="1"/>
  <c r="S319" i="6"/>
  <c r="X314" i="4"/>
  <c r="I324" i="16"/>
  <c r="C326" i="16"/>
  <c r="F325" i="16"/>
  <c r="D327" i="16"/>
  <c r="G326" i="16"/>
  <c r="E326" i="16"/>
  <c r="H325" i="16"/>
  <c r="I325" i="16" s="1"/>
  <c r="AK360" i="2"/>
  <c r="AL359" i="2"/>
  <c r="AW357" i="2"/>
  <c r="AX357" i="2" s="1"/>
  <c r="X360" i="2"/>
  <c r="Y360" i="2" s="1"/>
  <c r="K326" i="14" l="1"/>
  <c r="I327" i="14"/>
  <c r="J327" i="14"/>
  <c r="T315" i="4"/>
  <c r="U314" i="4"/>
  <c r="Y314" i="4"/>
  <c r="Z321" i="6" s="1"/>
  <c r="Y321" i="6"/>
  <c r="R314" i="4"/>
  <c r="S313" i="4"/>
  <c r="T320" i="6" s="1"/>
  <c r="S320" i="6"/>
  <c r="X315" i="4"/>
  <c r="E327" i="16"/>
  <c r="H326" i="16"/>
  <c r="D328" i="16"/>
  <c r="G327" i="16"/>
  <c r="C327" i="16"/>
  <c r="F326" i="16"/>
  <c r="AK361" i="2"/>
  <c r="AL360" i="2"/>
  <c r="AW358" i="2"/>
  <c r="AX358" i="2" s="1"/>
  <c r="X361" i="2"/>
  <c r="Y361" i="2" s="1"/>
  <c r="K327" i="14" l="1"/>
  <c r="I328" i="14"/>
  <c r="J328" i="14"/>
  <c r="T316" i="4"/>
  <c r="U315" i="4"/>
  <c r="Y315" i="4"/>
  <c r="Z322" i="6" s="1"/>
  <c r="Y322" i="6"/>
  <c r="R315" i="4"/>
  <c r="S314" i="4"/>
  <c r="T321" i="6" s="1"/>
  <c r="S321" i="6"/>
  <c r="X316" i="4"/>
  <c r="I326" i="16"/>
  <c r="C328" i="16"/>
  <c r="F327" i="16"/>
  <c r="D329" i="16"/>
  <c r="G328" i="16"/>
  <c r="E328" i="16"/>
  <c r="H327" i="16"/>
  <c r="I327" i="16" s="1"/>
  <c r="AK362" i="2"/>
  <c r="AL361" i="2"/>
  <c r="AW359" i="2"/>
  <c r="AX359" i="2" s="1"/>
  <c r="X362" i="2"/>
  <c r="Y362" i="2" s="1"/>
  <c r="K328" i="14" l="1"/>
  <c r="I329" i="14"/>
  <c r="J329" i="14"/>
  <c r="T317" i="4"/>
  <c r="U316" i="4"/>
  <c r="Y316" i="4"/>
  <c r="Z323" i="6" s="1"/>
  <c r="Y323" i="6"/>
  <c r="R316" i="4"/>
  <c r="S315" i="4"/>
  <c r="T322" i="6" s="1"/>
  <c r="S322" i="6"/>
  <c r="X317" i="4"/>
  <c r="E329" i="16"/>
  <c r="H328" i="16"/>
  <c r="D330" i="16"/>
  <c r="G329" i="16"/>
  <c r="C329" i="16"/>
  <c r="F328" i="16"/>
  <c r="AK363" i="2"/>
  <c r="AL362" i="2"/>
  <c r="AW360" i="2"/>
  <c r="AX360" i="2" s="1"/>
  <c r="X363" i="2"/>
  <c r="Y363" i="2" s="1"/>
  <c r="K329" i="14" l="1"/>
  <c r="I330" i="14"/>
  <c r="J330" i="14"/>
  <c r="T318" i="4"/>
  <c r="U317" i="4"/>
  <c r="Y317" i="4"/>
  <c r="Z324" i="6" s="1"/>
  <c r="Y324" i="6"/>
  <c r="R317" i="4"/>
  <c r="S316" i="4"/>
  <c r="T323" i="6" s="1"/>
  <c r="S323" i="6"/>
  <c r="X318" i="4"/>
  <c r="I328" i="16"/>
  <c r="C330" i="16"/>
  <c r="F329" i="16"/>
  <c r="D331" i="16"/>
  <c r="G330" i="16"/>
  <c r="E330" i="16"/>
  <c r="H329" i="16"/>
  <c r="I329" i="16" s="1"/>
  <c r="AK364" i="2"/>
  <c r="AL363" i="2"/>
  <c r="AW361" i="2"/>
  <c r="AX361" i="2" s="1"/>
  <c r="X364" i="2"/>
  <c r="Y364" i="2" s="1"/>
  <c r="K330" i="14" l="1"/>
  <c r="I331" i="14"/>
  <c r="J331" i="14"/>
  <c r="T319" i="4"/>
  <c r="U318" i="4"/>
  <c r="Y318" i="4"/>
  <c r="Z325" i="6" s="1"/>
  <c r="Y325" i="6"/>
  <c r="R318" i="4"/>
  <c r="S317" i="4"/>
  <c r="T324" i="6" s="1"/>
  <c r="S324" i="6"/>
  <c r="X319" i="4"/>
  <c r="E331" i="16"/>
  <c r="H330" i="16"/>
  <c r="D332" i="16"/>
  <c r="G331" i="16"/>
  <c r="C331" i="16"/>
  <c r="F330" i="16"/>
  <c r="AK365" i="2"/>
  <c r="AL364" i="2"/>
  <c r="AW362" i="2"/>
  <c r="AX362" i="2" s="1"/>
  <c r="X365" i="2"/>
  <c r="Y365" i="2" s="1"/>
  <c r="K331" i="14" l="1"/>
  <c r="I332" i="14"/>
  <c r="J332" i="14"/>
  <c r="T320" i="4"/>
  <c r="U319" i="4"/>
  <c r="Y319" i="4"/>
  <c r="Z326" i="6" s="1"/>
  <c r="Y326" i="6"/>
  <c r="R319" i="4"/>
  <c r="S318" i="4"/>
  <c r="T325" i="6" s="1"/>
  <c r="S325" i="6"/>
  <c r="X320" i="4"/>
  <c r="I330" i="16"/>
  <c r="C332" i="16"/>
  <c r="F331" i="16"/>
  <c r="D333" i="16"/>
  <c r="G332" i="16"/>
  <c r="E332" i="16"/>
  <c r="H331" i="16"/>
  <c r="AK366" i="2"/>
  <c r="AL365" i="2"/>
  <c r="AW363" i="2"/>
  <c r="AX363" i="2" s="1"/>
  <c r="X366" i="2"/>
  <c r="Y366" i="2" s="1"/>
  <c r="K332" i="14" l="1"/>
  <c r="I333" i="14"/>
  <c r="J333" i="14"/>
  <c r="I331" i="16"/>
  <c r="T321" i="4"/>
  <c r="U320" i="4"/>
  <c r="Y320" i="4"/>
  <c r="Z327" i="6" s="1"/>
  <c r="Y327" i="6"/>
  <c r="R320" i="4"/>
  <c r="S319" i="4"/>
  <c r="T326" i="6" s="1"/>
  <c r="S326" i="6"/>
  <c r="X321" i="4"/>
  <c r="E333" i="16"/>
  <c r="H332" i="16"/>
  <c r="D334" i="16"/>
  <c r="G333" i="16"/>
  <c r="C333" i="16"/>
  <c r="F332" i="16"/>
  <c r="AK367" i="2"/>
  <c r="AL366" i="2"/>
  <c r="AW364" i="2"/>
  <c r="AX364" i="2" s="1"/>
  <c r="X367" i="2"/>
  <c r="Y367" i="2" s="1"/>
  <c r="K333" i="14" l="1"/>
  <c r="I334" i="14"/>
  <c r="J334" i="14"/>
  <c r="T322" i="4"/>
  <c r="U321" i="4"/>
  <c r="Y321" i="4"/>
  <c r="Z328" i="6" s="1"/>
  <c r="Y328" i="6"/>
  <c r="S320" i="4"/>
  <c r="T327" i="6" s="1"/>
  <c r="R321" i="4"/>
  <c r="S327" i="6"/>
  <c r="X322" i="4"/>
  <c r="I332" i="16"/>
  <c r="C334" i="16"/>
  <c r="F333" i="16"/>
  <c r="D335" i="16"/>
  <c r="G334" i="16"/>
  <c r="E334" i="16"/>
  <c r="H333" i="16"/>
  <c r="I333" i="16" s="1"/>
  <c r="AK368" i="2"/>
  <c r="AL367" i="2"/>
  <c r="AW365" i="2"/>
  <c r="AX365" i="2" s="1"/>
  <c r="X368" i="2"/>
  <c r="Y368" i="2" s="1"/>
  <c r="K334" i="14" l="1"/>
  <c r="I335" i="14"/>
  <c r="J335" i="14"/>
  <c r="T323" i="4"/>
  <c r="U322" i="4"/>
  <c r="Y322" i="4"/>
  <c r="Z329" i="6" s="1"/>
  <c r="Y329" i="6"/>
  <c r="R322" i="4"/>
  <c r="S321" i="4"/>
  <c r="T328" i="6" s="1"/>
  <c r="S328" i="6"/>
  <c r="X323" i="4"/>
  <c r="E335" i="16"/>
  <c r="H334" i="16"/>
  <c r="D336" i="16"/>
  <c r="G335" i="16"/>
  <c r="C335" i="16"/>
  <c r="F334" i="16"/>
  <c r="AK369" i="2"/>
  <c r="AL368" i="2"/>
  <c r="AW366" i="2"/>
  <c r="AX366" i="2" s="1"/>
  <c r="X369" i="2"/>
  <c r="Y369" i="2" s="1"/>
  <c r="K335" i="14" l="1"/>
  <c r="I336" i="14"/>
  <c r="J336" i="14"/>
  <c r="T324" i="4"/>
  <c r="U323" i="4"/>
  <c r="Y323" i="4"/>
  <c r="Z330" i="6" s="1"/>
  <c r="Y330" i="6"/>
  <c r="R323" i="4"/>
  <c r="S322" i="4"/>
  <c r="T329" i="6" s="1"/>
  <c r="S329" i="6"/>
  <c r="X324" i="4"/>
  <c r="I334" i="16"/>
  <c r="C336" i="16"/>
  <c r="F335" i="16"/>
  <c r="D337" i="16"/>
  <c r="G336" i="16"/>
  <c r="E336" i="16"/>
  <c r="H335" i="16"/>
  <c r="I335" i="16" s="1"/>
  <c r="AK370" i="2"/>
  <c r="AL369" i="2"/>
  <c r="AW367" i="2"/>
  <c r="AX367" i="2" s="1"/>
  <c r="X370" i="2"/>
  <c r="Y370" i="2" s="1"/>
  <c r="K336" i="14" l="1"/>
  <c r="I337" i="14"/>
  <c r="J337" i="14"/>
  <c r="T325" i="4"/>
  <c r="U324" i="4"/>
  <c r="Y324" i="4"/>
  <c r="Z331" i="6" s="1"/>
  <c r="Y331" i="6"/>
  <c r="R324" i="4"/>
  <c r="S323" i="4"/>
  <c r="T330" i="6" s="1"/>
  <c r="S330" i="6"/>
  <c r="X325" i="4"/>
  <c r="E337" i="16"/>
  <c r="H336" i="16"/>
  <c r="D338" i="16"/>
  <c r="G337" i="16"/>
  <c r="C337" i="16"/>
  <c r="F336" i="16"/>
  <c r="AK371" i="2"/>
  <c r="AL370" i="2"/>
  <c r="AW368" i="2"/>
  <c r="AX368" i="2" s="1"/>
  <c r="X371" i="2"/>
  <c r="Y371" i="2" s="1"/>
  <c r="K337" i="14" l="1"/>
  <c r="I338" i="14"/>
  <c r="J338" i="14"/>
  <c r="T326" i="4"/>
  <c r="U325" i="4"/>
  <c r="Y325" i="4"/>
  <c r="Z332" i="6" s="1"/>
  <c r="Y332" i="6"/>
  <c r="R325" i="4"/>
  <c r="S324" i="4"/>
  <c r="T331" i="6" s="1"/>
  <c r="S331" i="6"/>
  <c r="X326" i="4"/>
  <c r="I336" i="16"/>
  <c r="C338" i="16"/>
  <c r="F337" i="16"/>
  <c r="D339" i="16"/>
  <c r="G338" i="16"/>
  <c r="E338" i="16"/>
  <c r="H337" i="16"/>
  <c r="I337" i="16" s="1"/>
  <c r="AK372" i="2"/>
  <c r="AL371" i="2"/>
  <c r="AW369" i="2"/>
  <c r="AX369" i="2" s="1"/>
  <c r="X372" i="2"/>
  <c r="Y372" i="2" s="1"/>
  <c r="K338" i="14" l="1"/>
  <c r="I339" i="14"/>
  <c r="J339" i="14"/>
  <c r="T327" i="4"/>
  <c r="U326" i="4"/>
  <c r="Y326" i="4"/>
  <c r="Z333" i="6" s="1"/>
  <c r="Y333" i="6"/>
  <c r="R326" i="4"/>
  <c r="S325" i="4"/>
  <c r="T332" i="6" s="1"/>
  <c r="S332" i="6"/>
  <c r="X327" i="4"/>
  <c r="E339" i="16"/>
  <c r="H338" i="16"/>
  <c r="D340" i="16"/>
  <c r="G339" i="16"/>
  <c r="C339" i="16"/>
  <c r="F338" i="16"/>
  <c r="AK373" i="2"/>
  <c r="AL372" i="2"/>
  <c r="AW370" i="2"/>
  <c r="AX370" i="2" s="1"/>
  <c r="X373" i="2"/>
  <c r="Y373" i="2" s="1"/>
  <c r="K339" i="14" l="1"/>
  <c r="I340" i="14"/>
  <c r="J340" i="14"/>
  <c r="T328" i="4"/>
  <c r="U327" i="4"/>
  <c r="Y327" i="4"/>
  <c r="Z334" i="6" s="1"/>
  <c r="Y334" i="6"/>
  <c r="R327" i="4"/>
  <c r="S326" i="4"/>
  <c r="T333" i="6" s="1"/>
  <c r="S333" i="6"/>
  <c r="X328" i="4"/>
  <c r="I338" i="16"/>
  <c r="C340" i="16"/>
  <c r="F339" i="16"/>
  <c r="D341" i="16"/>
  <c r="G340" i="16"/>
  <c r="E340" i="16"/>
  <c r="H339" i="16"/>
  <c r="AK374" i="2"/>
  <c r="AL373" i="2"/>
  <c r="AW371" i="2"/>
  <c r="AX371" i="2" s="1"/>
  <c r="X374" i="2"/>
  <c r="Y374" i="2" s="1"/>
  <c r="K340" i="14" l="1"/>
  <c r="I341" i="14"/>
  <c r="J341" i="14"/>
  <c r="T329" i="4"/>
  <c r="U328" i="4"/>
  <c r="I339" i="16"/>
  <c r="Y328" i="4"/>
  <c r="Z335" i="6" s="1"/>
  <c r="Y335" i="6"/>
  <c r="R328" i="4"/>
  <c r="S327" i="4"/>
  <c r="T334" i="6" s="1"/>
  <c r="S334" i="6"/>
  <c r="X329" i="4"/>
  <c r="E341" i="16"/>
  <c r="H340" i="16"/>
  <c r="D342" i="16"/>
  <c r="G341" i="16"/>
  <c r="C341" i="16"/>
  <c r="F340" i="16"/>
  <c r="AK375" i="2"/>
  <c r="AL374" i="2"/>
  <c r="AW372" i="2"/>
  <c r="AX372" i="2" s="1"/>
  <c r="X375" i="2"/>
  <c r="Y375" i="2" s="1"/>
  <c r="K341" i="14" l="1"/>
  <c r="I342" i="14"/>
  <c r="J342" i="14"/>
  <c r="T330" i="4"/>
  <c r="U329" i="4"/>
  <c r="Y329" i="4"/>
  <c r="Z336" i="6" s="1"/>
  <c r="Y336" i="6"/>
  <c r="R329" i="4"/>
  <c r="S328" i="4"/>
  <c r="T335" i="6" s="1"/>
  <c r="S335" i="6"/>
  <c r="X330" i="4"/>
  <c r="I340" i="16"/>
  <c r="C342" i="16"/>
  <c r="F341" i="16"/>
  <c r="D343" i="16"/>
  <c r="G342" i="16"/>
  <c r="E342" i="16"/>
  <c r="H341" i="16"/>
  <c r="AK376" i="2"/>
  <c r="AL375" i="2"/>
  <c r="AW373" i="2"/>
  <c r="AX373" i="2" s="1"/>
  <c r="X376" i="2"/>
  <c r="Y376" i="2" s="1"/>
  <c r="K342" i="14" l="1"/>
  <c r="I343" i="14"/>
  <c r="J343" i="14"/>
  <c r="I341" i="16"/>
  <c r="T331" i="4"/>
  <c r="U330" i="4"/>
  <c r="Y330" i="4"/>
  <c r="Z337" i="6" s="1"/>
  <c r="Y337" i="6"/>
  <c r="R330" i="4"/>
  <c r="S329" i="4"/>
  <c r="T336" i="6" s="1"/>
  <c r="S336" i="6"/>
  <c r="X331" i="4"/>
  <c r="E343" i="16"/>
  <c r="H342" i="16"/>
  <c r="D344" i="16"/>
  <c r="G343" i="16"/>
  <c r="C343" i="16"/>
  <c r="F342" i="16"/>
  <c r="AK377" i="2"/>
  <c r="AL376" i="2"/>
  <c r="AW374" i="2"/>
  <c r="AX374" i="2" s="1"/>
  <c r="X377" i="2"/>
  <c r="Y377" i="2" s="1"/>
  <c r="K343" i="14" l="1"/>
  <c r="I344" i="14"/>
  <c r="J344" i="14"/>
  <c r="T332" i="4"/>
  <c r="U331" i="4"/>
  <c r="Y331" i="4"/>
  <c r="Z338" i="6" s="1"/>
  <c r="Y338" i="6"/>
  <c r="R331" i="4"/>
  <c r="S330" i="4"/>
  <c r="T337" i="6" s="1"/>
  <c r="S337" i="6"/>
  <c r="X332" i="4"/>
  <c r="I342" i="16"/>
  <c r="C344" i="16"/>
  <c r="F343" i="16"/>
  <c r="D345" i="16"/>
  <c r="G344" i="16"/>
  <c r="E344" i="16"/>
  <c r="H343" i="16"/>
  <c r="AK378" i="2"/>
  <c r="AL377" i="2"/>
  <c r="AW375" i="2"/>
  <c r="AX375" i="2" s="1"/>
  <c r="X378" i="2"/>
  <c r="Y378" i="2" s="1"/>
  <c r="K344" i="14" l="1"/>
  <c r="I345" i="14"/>
  <c r="J345" i="14"/>
  <c r="I343" i="16"/>
  <c r="T333" i="4"/>
  <c r="U332" i="4"/>
  <c r="Y332" i="4"/>
  <c r="Z339" i="6" s="1"/>
  <c r="Y339" i="6"/>
  <c r="R332" i="4"/>
  <c r="S331" i="4"/>
  <c r="T338" i="6" s="1"/>
  <c r="S338" i="6"/>
  <c r="X333" i="4"/>
  <c r="E345" i="16"/>
  <c r="H344" i="16"/>
  <c r="D346" i="16"/>
  <c r="G345" i="16"/>
  <c r="C345" i="16"/>
  <c r="F344" i="16"/>
  <c r="AK379" i="2"/>
  <c r="AL378" i="2"/>
  <c r="AW376" i="2"/>
  <c r="AX376" i="2" s="1"/>
  <c r="X379" i="2"/>
  <c r="Y379" i="2" s="1"/>
  <c r="K345" i="14" l="1"/>
  <c r="I346" i="14"/>
  <c r="J346" i="14"/>
  <c r="T334" i="4"/>
  <c r="U333" i="4"/>
  <c r="Y333" i="4"/>
  <c r="Z340" i="6" s="1"/>
  <c r="Y340" i="6"/>
  <c r="R333" i="4"/>
  <c r="S332" i="4"/>
  <c r="T339" i="6" s="1"/>
  <c r="S339" i="6"/>
  <c r="X334" i="4"/>
  <c r="I344" i="16"/>
  <c r="C346" i="16"/>
  <c r="F345" i="16"/>
  <c r="D347" i="16"/>
  <c r="G346" i="16"/>
  <c r="E346" i="16"/>
  <c r="H345" i="16"/>
  <c r="I345" i="16" s="1"/>
  <c r="AK380" i="2"/>
  <c r="AL379" i="2"/>
  <c r="AW377" i="2"/>
  <c r="AX377" i="2" s="1"/>
  <c r="X380" i="2"/>
  <c r="Y380" i="2" s="1"/>
  <c r="K346" i="14" l="1"/>
  <c r="I347" i="14"/>
  <c r="J347" i="14"/>
  <c r="T335" i="4"/>
  <c r="U334" i="4"/>
  <c r="Y334" i="4"/>
  <c r="Z341" i="6" s="1"/>
  <c r="Y341" i="6"/>
  <c r="R334" i="4"/>
  <c r="S333" i="4"/>
  <c r="T340" i="6" s="1"/>
  <c r="S340" i="6"/>
  <c r="X335" i="4"/>
  <c r="E347" i="16"/>
  <c r="H346" i="16"/>
  <c r="D348" i="16"/>
  <c r="G347" i="16"/>
  <c r="C347" i="16"/>
  <c r="F346" i="16"/>
  <c r="AK381" i="2"/>
  <c r="AL380" i="2"/>
  <c r="AW378" i="2"/>
  <c r="AX378" i="2" s="1"/>
  <c r="X381" i="2"/>
  <c r="Y381" i="2" s="1"/>
  <c r="K347" i="14" l="1"/>
  <c r="I348" i="14"/>
  <c r="J348" i="14"/>
  <c r="T336" i="4"/>
  <c r="U335" i="4"/>
  <c r="Y335" i="4"/>
  <c r="Z342" i="6" s="1"/>
  <c r="Y342" i="6"/>
  <c r="R335" i="4"/>
  <c r="S334" i="4"/>
  <c r="T341" i="6" s="1"/>
  <c r="S341" i="6"/>
  <c r="X336" i="4"/>
  <c r="I346" i="16"/>
  <c r="C348" i="16"/>
  <c r="F347" i="16"/>
  <c r="D349" i="16"/>
  <c r="G348" i="16"/>
  <c r="E348" i="16"/>
  <c r="H347" i="16"/>
  <c r="I347" i="16" s="1"/>
  <c r="AK382" i="2"/>
  <c r="AL381" i="2"/>
  <c r="AW379" i="2"/>
  <c r="AX379" i="2" s="1"/>
  <c r="X382" i="2"/>
  <c r="Y382" i="2" s="1"/>
  <c r="K348" i="14" l="1"/>
  <c r="I349" i="14"/>
  <c r="J349" i="14"/>
  <c r="T337" i="4"/>
  <c r="U336" i="4"/>
  <c r="Y336" i="4"/>
  <c r="Z343" i="6" s="1"/>
  <c r="Y343" i="6"/>
  <c r="R336" i="4"/>
  <c r="S335" i="4"/>
  <c r="T342" i="6" s="1"/>
  <c r="S342" i="6"/>
  <c r="X337" i="4"/>
  <c r="E349" i="16"/>
  <c r="H348" i="16"/>
  <c r="D350" i="16"/>
  <c r="G349" i="16"/>
  <c r="C349" i="16"/>
  <c r="F348" i="16"/>
  <c r="AK383" i="2"/>
  <c r="AL382" i="2"/>
  <c r="AW380" i="2"/>
  <c r="AX380" i="2" s="1"/>
  <c r="X383" i="2"/>
  <c r="Y383" i="2" s="1"/>
  <c r="K349" i="14" l="1"/>
  <c r="I350" i="14"/>
  <c r="J350" i="14"/>
  <c r="T338" i="4"/>
  <c r="T339" i="4" s="1"/>
  <c r="U337" i="4"/>
  <c r="Y337" i="4"/>
  <c r="Z344" i="6" s="1"/>
  <c r="Y344" i="6"/>
  <c r="R337" i="4"/>
  <c r="S336" i="4"/>
  <c r="T343" i="6" s="1"/>
  <c r="S343" i="6"/>
  <c r="X338" i="4"/>
  <c r="I348" i="16"/>
  <c r="C350" i="16"/>
  <c r="F349" i="16"/>
  <c r="D351" i="16"/>
  <c r="G350" i="16"/>
  <c r="E350" i="16"/>
  <c r="H349" i="16"/>
  <c r="AK384" i="2"/>
  <c r="AL383" i="2"/>
  <c r="AW381" i="2"/>
  <c r="AX381" i="2" s="1"/>
  <c r="X384" i="2"/>
  <c r="Y384" i="2" s="1"/>
  <c r="K350" i="14" l="1"/>
  <c r="I351" i="14"/>
  <c r="J351" i="14"/>
  <c r="U338" i="4"/>
  <c r="Y338" i="4"/>
  <c r="Z345" i="6" s="1"/>
  <c r="Y345" i="6"/>
  <c r="I349" i="16"/>
  <c r="R338" i="4"/>
  <c r="S337" i="4"/>
  <c r="T344" i="6" s="1"/>
  <c r="S344" i="6"/>
  <c r="X339" i="4"/>
  <c r="E351" i="16"/>
  <c r="H350" i="16"/>
  <c r="D352" i="16"/>
  <c r="G351" i="16"/>
  <c r="C351" i="16"/>
  <c r="F350" i="16"/>
  <c r="AK385" i="2"/>
  <c r="AL384" i="2"/>
  <c r="AW382" i="2"/>
  <c r="AX382" i="2" s="1"/>
  <c r="X385" i="2"/>
  <c r="Y385" i="2" s="1"/>
  <c r="K351" i="14" l="1"/>
  <c r="I352" i="14"/>
  <c r="J352" i="14"/>
  <c r="T340" i="4"/>
  <c r="U339" i="4"/>
  <c r="Y339" i="4"/>
  <c r="Z346" i="6" s="1"/>
  <c r="Y346" i="6"/>
  <c r="S338" i="4"/>
  <c r="T345" i="6" s="1"/>
  <c r="R339" i="4"/>
  <c r="S345" i="6"/>
  <c r="X340" i="4"/>
  <c r="I350" i="16"/>
  <c r="C352" i="16"/>
  <c r="F351" i="16"/>
  <c r="D353" i="16"/>
  <c r="G352" i="16"/>
  <c r="E352" i="16"/>
  <c r="H351" i="16"/>
  <c r="I351" i="16" s="1"/>
  <c r="AK386" i="2"/>
  <c r="AL385" i="2"/>
  <c r="AW383" i="2"/>
  <c r="AX383" i="2" s="1"/>
  <c r="X386" i="2"/>
  <c r="Y386" i="2" s="1"/>
  <c r="K352" i="14" l="1"/>
  <c r="I353" i="14"/>
  <c r="J353" i="14"/>
  <c r="T341" i="4"/>
  <c r="U340" i="4"/>
  <c r="Y340" i="4"/>
  <c r="Z347" i="6" s="1"/>
  <c r="Y347" i="6"/>
  <c r="R340" i="4"/>
  <c r="S339" i="4"/>
  <c r="T346" i="6" s="1"/>
  <c r="S346" i="6"/>
  <c r="X341" i="4"/>
  <c r="E353" i="16"/>
  <c r="H352" i="16"/>
  <c r="D354" i="16"/>
  <c r="G353" i="16"/>
  <c r="C353" i="16"/>
  <c r="F352" i="16"/>
  <c r="AK387" i="2"/>
  <c r="AL387" i="2" s="1"/>
  <c r="AL386" i="2"/>
  <c r="AW384" i="2"/>
  <c r="AX384" i="2" s="1"/>
  <c r="X387" i="2"/>
  <c r="Y387" i="2" s="1"/>
  <c r="K353" i="14" l="1"/>
  <c r="I354" i="14"/>
  <c r="J354" i="14"/>
  <c r="T342" i="4"/>
  <c r="U341" i="4"/>
  <c r="Y341" i="4"/>
  <c r="Z348" i="6" s="1"/>
  <c r="Y348" i="6"/>
  <c r="R341" i="4"/>
  <c r="S340" i="4"/>
  <c r="T347" i="6" s="1"/>
  <c r="S347" i="6"/>
  <c r="X342" i="4"/>
  <c r="J12" i="2"/>
  <c r="I352" i="16"/>
  <c r="C354" i="16"/>
  <c r="F353" i="16"/>
  <c r="D355" i="16"/>
  <c r="G354" i="16"/>
  <c r="E354" i="16"/>
  <c r="H353" i="16"/>
  <c r="I353" i="16" s="1"/>
  <c r="AW385" i="2"/>
  <c r="AX385" i="2" s="1"/>
  <c r="K354" i="14" l="1"/>
  <c r="I355" i="14"/>
  <c r="J355" i="14"/>
  <c r="T343" i="4"/>
  <c r="U342" i="4"/>
  <c r="Y342" i="4"/>
  <c r="Z349" i="6" s="1"/>
  <c r="Y349" i="6"/>
  <c r="R342" i="4"/>
  <c r="S341" i="4"/>
  <c r="T348" i="6" s="1"/>
  <c r="S348" i="6"/>
  <c r="X343" i="4"/>
  <c r="E355" i="16"/>
  <c r="H354" i="16"/>
  <c r="D356" i="16"/>
  <c r="G355" i="16"/>
  <c r="C355" i="16"/>
  <c r="F354" i="16"/>
  <c r="AW386" i="2"/>
  <c r="AX386" i="2" s="1"/>
  <c r="K355" i="14" l="1"/>
  <c r="I356" i="14"/>
  <c r="J356" i="14"/>
  <c r="T344" i="4"/>
  <c r="U343" i="4"/>
  <c r="Y343" i="4"/>
  <c r="Z350" i="6" s="1"/>
  <c r="Y350" i="6"/>
  <c r="S342" i="4"/>
  <c r="T349" i="6" s="1"/>
  <c r="R343" i="4"/>
  <c r="S349" i="6"/>
  <c r="X344" i="4"/>
  <c r="I354" i="16"/>
  <c r="C356" i="16"/>
  <c r="F355" i="16"/>
  <c r="D357" i="16"/>
  <c r="G356" i="16"/>
  <c r="E356" i="16"/>
  <c r="H355" i="16"/>
  <c r="I355" i="16" s="1"/>
  <c r="AW387" i="2"/>
  <c r="AX387" i="2" s="1"/>
  <c r="B13" i="5"/>
  <c r="Z34" i="5" s="1"/>
  <c r="K356" i="14" l="1"/>
  <c r="I357" i="14"/>
  <c r="J357" i="14"/>
  <c r="G18" i="5"/>
  <c r="I18" i="5" s="1"/>
  <c r="G34" i="5"/>
  <c r="I34" i="5" s="1"/>
  <c r="Z18" i="5"/>
  <c r="Z19" i="5"/>
  <c r="Z20" i="5"/>
  <c r="Z21" i="5"/>
  <c r="Z22" i="5"/>
  <c r="Z23" i="5"/>
  <c r="Z24" i="5"/>
  <c r="Z25" i="5"/>
  <c r="Z26" i="5"/>
  <c r="Z28" i="5"/>
  <c r="Z29" i="5"/>
  <c r="Z30" i="5"/>
  <c r="Z31" i="5"/>
  <c r="Z32" i="5"/>
  <c r="Z33" i="5"/>
  <c r="T345" i="4"/>
  <c r="U344" i="4"/>
  <c r="Y344" i="4"/>
  <c r="Z351" i="6" s="1"/>
  <c r="Y351" i="6"/>
  <c r="R344" i="4"/>
  <c r="S343" i="4"/>
  <c r="T350" i="6" s="1"/>
  <c r="S350" i="6"/>
  <c r="G28" i="5"/>
  <c r="I28" i="5" s="1"/>
  <c r="G29" i="5"/>
  <c r="I29" i="5" s="1"/>
  <c r="G33" i="5"/>
  <c r="I33" i="5" s="1"/>
  <c r="G32" i="5"/>
  <c r="I32" i="5" s="1"/>
  <c r="G30" i="5"/>
  <c r="I30" i="5" s="1"/>
  <c r="G31" i="5"/>
  <c r="I31" i="5" s="1"/>
  <c r="G25" i="5"/>
  <c r="I25" i="5" s="1"/>
  <c r="G20" i="5"/>
  <c r="I20" i="5" s="1"/>
  <c r="G26" i="5"/>
  <c r="I26" i="5" s="1"/>
  <c r="G22" i="5"/>
  <c r="I22" i="5" s="1"/>
  <c r="G27" i="5"/>
  <c r="I27" i="5" s="1"/>
  <c r="I21" i="5"/>
  <c r="G23" i="5"/>
  <c r="I23" i="5" s="1"/>
  <c r="G24" i="5"/>
  <c r="I24" i="5" s="1"/>
  <c r="X345" i="4"/>
  <c r="E357" i="16"/>
  <c r="H356" i="16"/>
  <c r="D358" i="16"/>
  <c r="G357" i="16"/>
  <c r="C357" i="16"/>
  <c r="F356" i="16"/>
  <c r="K357" i="14" l="1"/>
  <c r="I358" i="14"/>
  <c r="J358" i="14"/>
  <c r="H77" i="6"/>
  <c r="H19" i="6"/>
  <c r="H20" i="6"/>
  <c r="H21" i="6"/>
  <c r="H22" i="6"/>
  <c r="H23"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H52" i="6"/>
  <c r="H53" i="6"/>
  <c r="H54" i="6"/>
  <c r="H55" i="6"/>
  <c r="H56" i="6"/>
  <c r="H57" i="6"/>
  <c r="H58" i="6"/>
  <c r="H59" i="6"/>
  <c r="H60" i="6"/>
  <c r="H61" i="6"/>
  <c r="H62" i="6"/>
  <c r="H63" i="6"/>
  <c r="H64" i="6"/>
  <c r="H65" i="6"/>
  <c r="H66" i="6"/>
  <c r="H67" i="6"/>
  <c r="H68" i="6"/>
  <c r="H69" i="6"/>
  <c r="H70" i="6"/>
  <c r="H71" i="6"/>
  <c r="H72" i="6"/>
  <c r="H73" i="6"/>
  <c r="H74" i="6"/>
  <c r="H75" i="6"/>
  <c r="H76" i="6"/>
  <c r="H78" i="6"/>
  <c r="H79" i="6"/>
  <c r="H80" i="6"/>
  <c r="H81" i="6"/>
  <c r="H82" i="6"/>
  <c r="H83" i="6"/>
  <c r="H84" i="6"/>
  <c r="H85" i="6"/>
  <c r="H86" i="6"/>
  <c r="H87" i="6"/>
  <c r="H88" i="6"/>
  <c r="H89" i="6"/>
  <c r="H90" i="6"/>
  <c r="H91" i="6"/>
  <c r="H92" i="6"/>
  <c r="H93" i="6"/>
  <c r="H94" i="6"/>
  <c r="H95" i="6"/>
  <c r="H96" i="6"/>
  <c r="H97" i="6"/>
  <c r="H98" i="6"/>
  <c r="H99" i="6"/>
  <c r="H100" i="6"/>
  <c r="H101" i="6"/>
  <c r="H102" i="6"/>
  <c r="H103" i="6"/>
  <c r="H104" i="6"/>
  <c r="H105" i="6"/>
  <c r="H106" i="6"/>
  <c r="H107" i="6"/>
  <c r="H108" i="6"/>
  <c r="H109" i="6"/>
  <c r="H110" i="6"/>
  <c r="H111" i="6"/>
  <c r="H112" i="6"/>
  <c r="H113" i="6"/>
  <c r="H114" i="6"/>
  <c r="H115" i="6"/>
  <c r="H116" i="6"/>
  <c r="H117" i="6"/>
  <c r="H118" i="6"/>
  <c r="H119" i="6"/>
  <c r="H120" i="6"/>
  <c r="H121" i="6"/>
  <c r="H122" i="6"/>
  <c r="H123" i="6"/>
  <c r="H124" i="6"/>
  <c r="H125" i="6"/>
  <c r="H126" i="6"/>
  <c r="H127" i="6"/>
  <c r="H128" i="6"/>
  <c r="H129" i="6"/>
  <c r="H130" i="6"/>
  <c r="H131" i="6"/>
  <c r="H132" i="6"/>
  <c r="H133" i="6"/>
  <c r="H134" i="6"/>
  <c r="H135" i="6"/>
  <c r="H136" i="6"/>
  <c r="H137" i="6"/>
  <c r="H138" i="6"/>
  <c r="H139" i="6"/>
  <c r="H140" i="6"/>
  <c r="H141" i="6"/>
  <c r="H142" i="6"/>
  <c r="H143" i="6"/>
  <c r="H144" i="6"/>
  <c r="H145" i="6"/>
  <c r="H146" i="6"/>
  <c r="H147" i="6"/>
  <c r="H148" i="6"/>
  <c r="H149" i="6"/>
  <c r="H150" i="6"/>
  <c r="H151" i="6"/>
  <c r="H152" i="6"/>
  <c r="H153" i="6"/>
  <c r="H154" i="6"/>
  <c r="H155" i="6"/>
  <c r="H156" i="6"/>
  <c r="H157" i="6"/>
  <c r="H158" i="6"/>
  <c r="H159" i="6"/>
  <c r="H160" i="6"/>
  <c r="H161" i="6"/>
  <c r="H162" i="6"/>
  <c r="H163" i="6"/>
  <c r="H164" i="6"/>
  <c r="H165" i="6"/>
  <c r="H166" i="6"/>
  <c r="H167" i="6"/>
  <c r="H168" i="6"/>
  <c r="H169" i="6"/>
  <c r="H170" i="6"/>
  <c r="H171" i="6"/>
  <c r="H172" i="6"/>
  <c r="H173" i="6"/>
  <c r="H174" i="6"/>
  <c r="H175" i="6"/>
  <c r="H176" i="6"/>
  <c r="H177" i="6"/>
  <c r="H178" i="6"/>
  <c r="H179" i="6"/>
  <c r="H180" i="6"/>
  <c r="H181" i="6"/>
  <c r="H182" i="6"/>
  <c r="H183" i="6"/>
  <c r="H184" i="6"/>
  <c r="H185" i="6"/>
  <c r="H186" i="6"/>
  <c r="H187" i="6"/>
  <c r="H188" i="6"/>
  <c r="H189" i="6"/>
  <c r="H190" i="6"/>
  <c r="H191" i="6"/>
  <c r="H192" i="6"/>
  <c r="H193" i="6"/>
  <c r="H194" i="6"/>
  <c r="H195" i="6"/>
  <c r="H196" i="6"/>
  <c r="H197" i="6"/>
  <c r="H198" i="6"/>
  <c r="H199" i="6"/>
  <c r="H200" i="6"/>
  <c r="H201" i="6"/>
  <c r="H202" i="6"/>
  <c r="H203" i="6"/>
  <c r="H204" i="6"/>
  <c r="H205" i="6"/>
  <c r="H206" i="6"/>
  <c r="H207" i="6"/>
  <c r="H208" i="6"/>
  <c r="H209" i="6"/>
  <c r="H210" i="6"/>
  <c r="H211" i="6"/>
  <c r="H212" i="6"/>
  <c r="H213" i="6"/>
  <c r="H214" i="6"/>
  <c r="H215" i="6"/>
  <c r="H216" i="6"/>
  <c r="H217" i="6"/>
  <c r="H218" i="6"/>
  <c r="H219" i="6"/>
  <c r="H220" i="6"/>
  <c r="H221" i="6"/>
  <c r="H222" i="6"/>
  <c r="H223" i="6"/>
  <c r="H224" i="6"/>
  <c r="H225" i="6"/>
  <c r="H226" i="6"/>
  <c r="H227" i="6"/>
  <c r="H228" i="6"/>
  <c r="H229" i="6"/>
  <c r="H230" i="6"/>
  <c r="H231" i="6"/>
  <c r="H232" i="6"/>
  <c r="H233" i="6"/>
  <c r="H234" i="6"/>
  <c r="H235" i="6"/>
  <c r="H236" i="6"/>
  <c r="H237" i="6"/>
  <c r="H238" i="6"/>
  <c r="H239" i="6"/>
  <c r="H240" i="6"/>
  <c r="H241" i="6"/>
  <c r="H242" i="6"/>
  <c r="H243" i="6"/>
  <c r="H244" i="6"/>
  <c r="H245" i="6"/>
  <c r="H246" i="6"/>
  <c r="H247" i="6"/>
  <c r="H248" i="6"/>
  <c r="H249" i="6"/>
  <c r="H250" i="6"/>
  <c r="H251" i="6"/>
  <c r="H252" i="6"/>
  <c r="H253" i="6"/>
  <c r="H254" i="6"/>
  <c r="H255" i="6"/>
  <c r="H256" i="6"/>
  <c r="H257" i="6"/>
  <c r="H258" i="6"/>
  <c r="H259" i="6"/>
  <c r="H260" i="6"/>
  <c r="H261" i="6"/>
  <c r="H262" i="6"/>
  <c r="H263" i="6"/>
  <c r="H264" i="6"/>
  <c r="H265" i="6"/>
  <c r="H266" i="6"/>
  <c r="H267" i="6"/>
  <c r="H268" i="6"/>
  <c r="H269" i="6"/>
  <c r="H270" i="6"/>
  <c r="H271" i="6"/>
  <c r="H272" i="6"/>
  <c r="H273" i="6"/>
  <c r="H274" i="6"/>
  <c r="H275" i="6"/>
  <c r="H276" i="6"/>
  <c r="H277" i="6"/>
  <c r="H278" i="6"/>
  <c r="H279" i="6"/>
  <c r="H280" i="6"/>
  <c r="H281" i="6"/>
  <c r="H282" i="6"/>
  <c r="H283" i="6"/>
  <c r="H284" i="6"/>
  <c r="H285" i="6"/>
  <c r="H286" i="6"/>
  <c r="H287" i="6"/>
  <c r="H288" i="6"/>
  <c r="H289" i="6"/>
  <c r="H290" i="6"/>
  <c r="H291" i="6"/>
  <c r="H292" i="6"/>
  <c r="H293" i="6"/>
  <c r="H294" i="6"/>
  <c r="H295" i="6"/>
  <c r="H296" i="6"/>
  <c r="H297" i="6"/>
  <c r="H298" i="6"/>
  <c r="H299" i="6"/>
  <c r="H300" i="6"/>
  <c r="H301" i="6"/>
  <c r="H302" i="6"/>
  <c r="H303" i="6"/>
  <c r="H304" i="6"/>
  <c r="H305" i="6"/>
  <c r="H306" i="6"/>
  <c r="H307" i="6"/>
  <c r="H308" i="6"/>
  <c r="H309" i="6"/>
  <c r="H310" i="6"/>
  <c r="H311" i="6"/>
  <c r="H312" i="6"/>
  <c r="H313" i="6"/>
  <c r="H314" i="6"/>
  <c r="H315" i="6"/>
  <c r="H316" i="6"/>
  <c r="H317" i="6"/>
  <c r="H318" i="6"/>
  <c r="H319" i="6"/>
  <c r="H320" i="6"/>
  <c r="H321" i="6"/>
  <c r="H322" i="6"/>
  <c r="H323" i="6"/>
  <c r="H324" i="6"/>
  <c r="H325" i="6"/>
  <c r="H326" i="6"/>
  <c r="H327" i="6"/>
  <c r="H328" i="6"/>
  <c r="H329" i="6"/>
  <c r="H330" i="6"/>
  <c r="H331" i="6"/>
  <c r="H332" i="6"/>
  <c r="H333" i="6"/>
  <c r="H334" i="6"/>
  <c r="H335" i="6"/>
  <c r="H336" i="6"/>
  <c r="H337" i="6"/>
  <c r="H338" i="6"/>
  <c r="H339" i="6"/>
  <c r="H340" i="6"/>
  <c r="H341" i="6"/>
  <c r="H342" i="6"/>
  <c r="H343" i="6"/>
  <c r="H344" i="6"/>
  <c r="H345" i="6"/>
  <c r="H346" i="6"/>
  <c r="H347" i="6"/>
  <c r="H348" i="6"/>
  <c r="H349" i="6"/>
  <c r="H350" i="6"/>
  <c r="H351" i="6"/>
  <c r="H352" i="6"/>
  <c r="H353" i="6"/>
  <c r="H354" i="6"/>
  <c r="H355" i="6"/>
  <c r="H356" i="6"/>
  <c r="H357" i="6"/>
  <c r="H358" i="6"/>
  <c r="H359" i="6"/>
  <c r="H360" i="6"/>
  <c r="H361" i="6"/>
  <c r="H362" i="6"/>
  <c r="H363" i="6"/>
  <c r="H364" i="6"/>
  <c r="H365" i="6"/>
  <c r="H366" i="6"/>
  <c r="H367" i="6"/>
  <c r="H368" i="6"/>
  <c r="H369" i="6"/>
  <c r="H370" i="6"/>
  <c r="H371" i="6"/>
  <c r="H372" i="6"/>
  <c r="H373" i="6"/>
  <c r="H374" i="6"/>
  <c r="H375" i="6"/>
  <c r="H376" i="6"/>
  <c r="H377" i="6"/>
  <c r="H378" i="6"/>
  <c r="H379" i="6"/>
  <c r="H380" i="6"/>
  <c r="H381" i="6"/>
  <c r="H382" i="6"/>
  <c r="Z27" i="5"/>
  <c r="AE29" i="5" s="1" a="1"/>
  <c r="AE29" i="5" s="1"/>
  <c r="AE31" i="5" s="1"/>
  <c r="Q1" i="6" s="1"/>
  <c r="AE30" i="5"/>
  <c r="AE28" i="5" a="1"/>
  <c r="AE28" i="5" s="1"/>
  <c r="L31" i="5" a="1"/>
  <c r="L31" i="5" s="1"/>
  <c r="L32" i="5" s="1"/>
  <c r="L30" i="5" a="1"/>
  <c r="L30" i="5" s="1"/>
  <c r="T346" i="4"/>
  <c r="U345" i="4"/>
  <c r="Y345" i="4"/>
  <c r="Z352" i="6" s="1"/>
  <c r="Y352" i="6"/>
  <c r="S344" i="4"/>
  <c r="T351" i="6" s="1"/>
  <c r="R345" i="4"/>
  <c r="S351" i="6"/>
  <c r="X346" i="4"/>
  <c r="I356" i="16"/>
  <c r="C358" i="16"/>
  <c r="F357" i="16"/>
  <c r="D359" i="16"/>
  <c r="G358" i="16"/>
  <c r="E358" i="16"/>
  <c r="H357" i="16"/>
  <c r="I357" i="16" s="1"/>
  <c r="K358" i="14" l="1"/>
  <c r="I359" i="14"/>
  <c r="J359" i="14"/>
  <c r="Q4" i="6"/>
  <c r="D13" i="7" s="1"/>
  <c r="I13" i="7" s="1"/>
  <c r="K13" i="7"/>
  <c r="T347" i="4"/>
  <c r="U346" i="4"/>
  <c r="Y346" i="4"/>
  <c r="Z353" i="6" s="1"/>
  <c r="Y353" i="6"/>
  <c r="S345" i="4"/>
  <c r="T352" i="6" s="1"/>
  <c r="R346" i="4"/>
  <c r="S352" i="6"/>
  <c r="X347" i="4"/>
  <c r="E359" i="16"/>
  <c r="H358" i="16"/>
  <c r="D360" i="16"/>
  <c r="G359" i="16"/>
  <c r="C359" i="16"/>
  <c r="F358" i="16"/>
  <c r="K359" i="14" l="1"/>
  <c r="I360" i="14"/>
  <c r="J360" i="14"/>
  <c r="T348" i="4"/>
  <c r="U347" i="4"/>
  <c r="Y347" i="4"/>
  <c r="Z354" i="6" s="1"/>
  <c r="Y354" i="6"/>
  <c r="S346" i="4"/>
  <c r="T353" i="6" s="1"/>
  <c r="R347" i="4"/>
  <c r="S353" i="6"/>
  <c r="X348" i="4"/>
  <c r="I358" i="16"/>
  <c r="C360" i="16"/>
  <c r="F359" i="16"/>
  <c r="D361" i="16"/>
  <c r="G360" i="16"/>
  <c r="E360" i="16"/>
  <c r="H359" i="16"/>
  <c r="I359" i="16" s="1"/>
  <c r="K360" i="14" l="1"/>
  <c r="I361" i="14"/>
  <c r="J361" i="14"/>
  <c r="T349" i="4"/>
  <c r="U348" i="4"/>
  <c r="Y348" i="4"/>
  <c r="Z355" i="6" s="1"/>
  <c r="Y355" i="6"/>
  <c r="R348" i="4"/>
  <c r="S347" i="4"/>
  <c r="T354" i="6" s="1"/>
  <c r="S354" i="6"/>
  <c r="X349" i="4"/>
  <c r="E361" i="16"/>
  <c r="H360" i="16"/>
  <c r="D362" i="16"/>
  <c r="G361" i="16"/>
  <c r="C361" i="16"/>
  <c r="F360" i="16"/>
  <c r="K361" i="14" l="1"/>
  <c r="I362" i="14"/>
  <c r="J362" i="14"/>
  <c r="T350" i="4"/>
  <c r="U349" i="4"/>
  <c r="Y349" i="4"/>
  <c r="Z356" i="6" s="1"/>
  <c r="Y356" i="6"/>
  <c r="R349" i="4"/>
  <c r="S348" i="4"/>
  <c r="T355" i="6" s="1"/>
  <c r="S355" i="6"/>
  <c r="X350" i="4"/>
  <c r="I360" i="16"/>
  <c r="C362" i="16"/>
  <c r="F361" i="16"/>
  <c r="D363" i="16"/>
  <c r="G362" i="16"/>
  <c r="E362" i="16"/>
  <c r="H361" i="16"/>
  <c r="I361" i="16" s="1"/>
  <c r="K362" i="14" l="1"/>
  <c r="I363" i="14"/>
  <c r="J363" i="14"/>
  <c r="T351" i="4"/>
  <c r="U350" i="4"/>
  <c r="Y350" i="4"/>
  <c r="Z357" i="6" s="1"/>
  <c r="Y357" i="6"/>
  <c r="S349" i="4"/>
  <c r="T356" i="6" s="1"/>
  <c r="R350" i="4"/>
  <c r="S356" i="6"/>
  <c r="X351" i="4"/>
  <c r="E363" i="16"/>
  <c r="H362" i="16"/>
  <c r="D364" i="16"/>
  <c r="G363" i="16"/>
  <c r="C363" i="16"/>
  <c r="F362" i="16"/>
  <c r="K363" i="14" l="1"/>
  <c r="I364" i="14"/>
  <c r="J364" i="14"/>
  <c r="T352" i="4"/>
  <c r="U351" i="4"/>
  <c r="Y351" i="4"/>
  <c r="Z358" i="6" s="1"/>
  <c r="Y358" i="6"/>
  <c r="R351" i="4"/>
  <c r="S350" i="4"/>
  <c r="T357" i="6" s="1"/>
  <c r="S357" i="6"/>
  <c r="X352" i="4"/>
  <c r="I362" i="16"/>
  <c r="C364" i="16"/>
  <c r="F363" i="16"/>
  <c r="D365" i="16"/>
  <c r="G364" i="16"/>
  <c r="E364" i="16"/>
  <c r="H363" i="16"/>
  <c r="I363" i="16" s="1"/>
  <c r="K364" i="14" l="1"/>
  <c r="I365" i="14"/>
  <c r="J365" i="14"/>
  <c r="T353" i="4"/>
  <c r="U352" i="4"/>
  <c r="Y352" i="4"/>
  <c r="Z359" i="6" s="1"/>
  <c r="Y359" i="6"/>
  <c r="R352" i="4"/>
  <c r="S351" i="4"/>
  <c r="T358" i="6" s="1"/>
  <c r="S358" i="6"/>
  <c r="X353" i="4"/>
  <c r="E365" i="16"/>
  <c r="H364" i="16"/>
  <c r="D366" i="16"/>
  <c r="G365" i="16"/>
  <c r="C365" i="16"/>
  <c r="F364" i="16"/>
  <c r="K365" i="14" l="1"/>
  <c r="I366" i="14"/>
  <c r="J366" i="14"/>
  <c r="T354" i="4"/>
  <c r="U353" i="4"/>
  <c r="Y353" i="4"/>
  <c r="Z360" i="6" s="1"/>
  <c r="Y360" i="6"/>
  <c r="R353" i="4"/>
  <c r="S352" i="4"/>
  <c r="T359" i="6" s="1"/>
  <c r="S359" i="6"/>
  <c r="X354" i="4"/>
  <c r="I364" i="16"/>
  <c r="C366" i="16"/>
  <c r="F365" i="16"/>
  <c r="D367" i="16"/>
  <c r="G366" i="16"/>
  <c r="E366" i="16"/>
  <c r="H365" i="16"/>
  <c r="I365" i="16" s="1"/>
  <c r="K366" i="14" l="1"/>
  <c r="I367" i="14"/>
  <c r="J367" i="14"/>
  <c r="T355" i="4"/>
  <c r="U354" i="4"/>
  <c r="Y354" i="4"/>
  <c r="Z361" i="6" s="1"/>
  <c r="Y361" i="6"/>
  <c r="S353" i="4"/>
  <c r="T360" i="6" s="1"/>
  <c r="R354" i="4"/>
  <c r="S360" i="6"/>
  <c r="X355" i="4"/>
  <c r="E367" i="16"/>
  <c r="H366" i="16"/>
  <c r="D368" i="16"/>
  <c r="G367" i="16"/>
  <c r="C367" i="16"/>
  <c r="F366" i="16"/>
  <c r="K367" i="14" l="1"/>
  <c r="I368" i="14"/>
  <c r="J368" i="14"/>
  <c r="T356" i="4"/>
  <c r="U355" i="4"/>
  <c r="Y355" i="4"/>
  <c r="Z362" i="6" s="1"/>
  <c r="Y362" i="6"/>
  <c r="R355" i="4"/>
  <c r="S354" i="4"/>
  <c r="T361" i="6" s="1"/>
  <c r="S361" i="6"/>
  <c r="X356" i="4"/>
  <c r="I366" i="16"/>
  <c r="C368" i="16"/>
  <c r="F367" i="16"/>
  <c r="D369" i="16"/>
  <c r="G368" i="16"/>
  <c r="E368" i="16"/>
  <c r="H367" i="16"/>
  <c r="I367" i="16" s="1"/>
  <c r="K368" i="14" l="1"/>
  <c r="I369" i="14"/>
  <c r="J369" i="14"/>
  <c r="T357" i="4"/>
  <c r="U356" i="4"/>
  <c r="Y356" i="4"/>
  <c r="Z363" i="6" s="1"/>
  <c r="Y363" i="6"/>
  <c r="R356" i="4"/>
  <c r="S355" i="4"/>
  <c r="T362" i="6" s="1"/>
  <c r="S362" i="6"/>
  <c r="X357" i="4"/>
  <c r="E369" i="16"/>
  <c r="H368" i="16"/>
  <c r="D370" i="16"/>
  <c r="G369" i="16"/>
  <c r="C369" i="16"/>
  <c r="F368" i="16"/>
  <c r="K369" i="14" l="1"/>
  <c r="I370" i="14"/>
  <c r="J370" i="14"/>
  <c r="T358" i="4"/>
  <c r="U357" i="4"/>
  <c r="Y357" i="4"/>
  <c r="Z364" i="6" s="1"/>
  <c r="Y364" i="6"/>
  <c r="R357" i="4"/>
  <c r="S356" i="4"/>
  <c r="T363" i="6" s="1"/>
  <c r="S363" i="6"/>
  <c r="X358" i="4"/>
  <c r="I368" i="16"/>
  <c r="C370" i="16"/>
  <c r="F369" i="16"/>
  <c r="D371" i="16"/>
  <c r="G370" i="16"/>
  <c r="E370" i="16"/>
  <c r="H369" i="16"/>
  <c r="I369" i="16" s="1"/>
  <c r="K370" i="14" l="1"/>
  <c r="I371" i="14"/>
  <c r="J371" i="14"/>
  <c r="T359" i="4"/>
  <c r="U358" i="4"/>
  <c r="Y358" i="4"/>
  <c r="Z365" i="6" s="1"/>
  <c r="Y365" i="6"/>
  <c r="S357" i="4"/>
  <c r="T364" i="6" s="1"/>
  <c r="R358" i="4"/>
  <c r="S364" i="6"/>
  <c r="X359" i="4"/>
  <c r="E371" i="16"/>
  <c r="H370" i="16"/>
  <c r="D372" i="16"/>
  <c r="G371" i="16"/>
  <c r="C371" i="16"/>
  <c r="F370" i="16"/>
  <c r="K371" i="14" l="1"/>
  <c r="I372" i="14"/>
  <c r="J372" i="14"/>
  <c r="T360" i="4"/>
  <c r="U359" i="4"/>
  <c r="Y359" i="4"/>
  <c r="Z366" i="6" s="1"/>
  <c r="Y366" i="6"/>
  <c r="R359" i="4"/>
  <c r="S358" i="4"/>
  <c r="T365" i="6" s="1"/>
  <c r="S365" i="6"/>
  <c r="X360" i="4"/>
  <c r="I370" i="16"/>
  <c r="C372" i="16"/>
  <c r="F371" i="16"/>
  <c r="G372" i="16"/>
  <c r="D373" i="16"/>
  <c r="E372" i="16"/>
  <c r="H371" i="16"/>
  <c r="I371" i="16" s="1"/>
  <c r="K372" i="14" l="1"/>
  <c r="I373" i="14"/>
  <c r="J373" i="14"/>
  <c r="T361" i="4"/>
  <c r="U360" i="4"/>
  <c r="Y360" i="4"/>
  <c r="Z367" i="6" s="1"/>
  <c r="Y367" i="6"/>
  <c r="R360" i="4"/>
  <c r="S359" i="4"/>
  <c r="T366" i="6" s="1"/>
  <c r="S366" i="6"/>
  <c r="X361" i="4"/>
  <c r="H372" i="16"/>
  <c r="E373" i="16"/>
  <c r="D374" i="16"/>
  <c r="G373" i="16"/>
  <c r="C373" i="16"/>
  <c r="F372" i="16"/>
  <c r="K373" i="14" l="1"/>
  <c r="I374" i="14"/>
  <c r="J374" i="14"/>
  <c r="T362" i="4"/>
  <c r="U361" i="4"/>
  <c r="Y361" i="4"/>
  <c r="Z368" i="6" s="1"/>
  <c r="Y368" i="6"/>
  <c r="R361" i="4"/>
  <c r="S360" i="4"/>
  <c r="T367" i="6" s="1"/>
  <c r="S367" i="6"/>
  <c r="X362" i="4"/>
  <c r="I372" i="16"/>
  <c r="C374" i="16"/>
  <c r="F373" i="16"/>
  <c r="G374" i="16"/>
  <c r="D375" i="16"/>
  <c r="H373" i="16"/>
  <c r="I373" i="16" s="1"/>
  <c r="E374" i="16"/>
  <c r="K374" i="14" l="1"/>
  <c r="I375" i="14"/>
  <c r="J375" i="14"/>
  <c r="T363" i="4"/>
  <c r="U362" i="4"/>
  <c r="Y362" i="4"/>
  <c r="Z369" i="6" s="1"/>
  <c r="Y369" i="6"/>
  <c r="R362" i="4"/>
  <c r="S361" i="4"/>
  <c r="T368" i="6" s="1"/>
  <c r="S368" i="6"/>
  <c r="X363" i="4"/>
  <c r="H374" i="16"/>
  <c r="E375" i="16"/>
  <c r="G375" i="16"/>
  <c r="D376" i="16"/>
  <c r="F374" i="16"/>
  <c r="C375" i="16"/>
  <c r="K375" i="14" l="1"/>
  <c r="I376" i="14"/>
  <c r="J376" i="14"/>
  <c r="T364" i="4"/>
  <c r="U363" i="4"/>
  <c r="Y363" i="4"/>
  <c r="Z370" i="6" s="1"/>
  <c r="Y370" i="6"/>
  <c r="R363" i="4"/>
  <c r="S362" i="4"/>
  <c r="T369" i="6" s="1"/>
  <c r="S369" i="6"/>
  <c r="X364" i="4"/>
  <c r="I374" i="16"/>
  <c r="F375" i="16"/>
  <c r="C376" i="16"/>
  <c r="G376" i="16"/>
  <c r="D377" i="16"/>
  <c r="H375" i="16"/>
  <c r="I375" i="16" s="1"/>
  <c r="E376" i="16"/>
  <c r="K376" i="14" l="1"/>
  <c r="I377" i="14"/>
  <c r="J377" i="14"/>
  <c r="T365" i="4"/>
  <c r="U364" i="4"/>
  <c r="Y364" i="4"/>
  <c r="Z371" i="6" s="1"/>
  <c r="Y371" i="6"/>
  <c r="S363" i="4"/>
  <c r="T370" i="6" s="1"/>
  <c r="R364" i="4"/>
  <c r="S370" i="6"/>
  <c r="X365" i="4"/>
  <c r="H376" i="16"/>
  <c r="E377" i="16"/>
  <c r="G377" i="16"/>
  <c r="D378" i="16"/>
  <c r="C377" i="16"/>
  <c r="F376" i="16"/>
  <c r="K377" i="14" l="1"/>
  <c r="I378" i="14"/>
  <c r="J378" i="14"/>
  <c r="T366" i="4"/>
  <c r="U365" i="4"/>
  <c r="Y365" i="4"/>
  <c r="Z372" i="6" s="1"/>
  <c r="Y372" i="6"/>
  <c r="S364" i="4"/>
  <c r="T371" i="6" s="1"/>
  <c r="R365" i="4"/>
  <c r="S371" i="6"/>
  <c r="X366" i="4"/>
  <c r="I376" i="16"/>
  <c r="F377" i="16"/>
  <c r="C378" i="16"/>
  <c r="D379" i="16"/>
  <c r="G378" i="16"/>
  <c r="H377" i="16"/>
  <c r="I377" i="16" s="1"/>
  <c r="E378" i="16"/>
  <c r="K378" i="14" l="1"/>
  <c r="I379" i="14"/>
  <c r="J379" i="14"/>
  <c r="T367" i="4"/>
  <c r="U366" i="4"/>
  <c r="Y366" i="4"/>
  <c r="Z373" i="6" s="1"/>
  <c r="Y373" i="6"/>
  <c r="R366" i="4"/>
  <c r="S365" i="4"/>
  <c r="T372" i="6" s="1"/>
  <c r="S372" i="6"/>
  <c r="X367" i="4"/>
  <c r="H378" i="16"/>
  <c r="E379" i="16"/>
  <c r="G379" i="16"/>
  <c r="D380" i="16"/>
  <c r="F378" i="16"/>
  <c r="C379" i="16"/>
  <c r="K379" i="14" l="1"/>
  <c r="I380" i="14"/>
  <c r="J380" i="14"/>
  <c r="T368" i="4"/>
  <c r="U367" i="4"/>
  <c r="Y367" i="4"/>
  <c r="Z374" i="6" s="1"/>
  <c r="Y374" i="6"/>
  <c r="S366" i="4"/>
  <c r="T373" i="6" s="1"/>
  <c r="R367" i="4"/>
  <c r="S373" i="6"/>
  <c r="X368" i="4"/>
  <c r="I378" i="16"/>
  <c r="F379" i="16"/>
  <c r="C380" i="16"/>
  <c r="G380" i="16"/>
  <c r="D381" i="16"/>
  <c r="G381" i="16" s="1"/>
  <c r="H379" i="16"/>
  <c r="I379" i="16" s="1"/>
  <c r="E380" i="16"/>
  <c r="K380" i="14" l="1"/>
  <c r="I381" i="14"/>
  <c r="J381" i="14"/>
  <c r="T369" i="4"/>
  <c r="U368" i="4"/>
  <c r="Y368" i="4"/>
  <c r="Z375" i="6" s="1"/>
  <c r="Y375" i="6"/>
  <c r="S367" i="4"/>
  <c r="T374" i="6" s="1"/>
  <c r="R368" i="4"/>
  <c r="S374" i="6"/>
  <c r="X369" i="4"/>
  <c r="H380" i="16"/>
  <c r="E381" i="16"/>
  <c r="H381" i="16" s="1"/>
  <c r="F380" i="16"/>
  <c r="C381" i="16"/>
  <c r="F381" i="16" s="1"/>
  <c r="K381" i="14" l="1"/>
  <c r="I382" i="14"/>
  <c r="J382" i="14"/>
  <c r="T370" i="4"/>
  <c r="U369" i="4"/>
  <c r="Y369" i="4"/>
  <c r="Z376" i="6" s="1"/>
  <c r="Y376" i="6"/>
  <c r="R369" i="4"/>
  <c r="S368" i="4"/>
  <c r="T375" i="6" s="1"/>
  <c r="S375" i="6"/>
  <c r="X370" i="4"/>
  <c r="I381" i="16"/>
  <c r="I380" i="16"/>
  <c r="M7" i="16" s="1"/>
  <c r="K382" i="14" l="1"/>
  <c r="I383" i="14"/>
  <c r="J383" i="14"/>
  <c r="T371" i="4"/>
  <c r="U370" i="4"/>
  <c r="Y370" i="4"/>
  <c r="Z377" i="6" s="1"/>
  <c r="Y377" i="6"/>
  <c r="R370" i="4"/>
  <c r="S369" i="4"/>
  <c r="T376" i="6" s="1"/>
  <c r="S376" i="6"/>
  <c r="X371" i="4"/>
  <c r="K383" i="14" l="1"/>
  <c r="I384" i="14"/>
  <c r="J384" i="14"/>
  <c r="T372" i="4"/>
  <c r="U371" i="4"/>
  <c r="Y371" i="4"/>
  <c r="Z378" i="6" s="1"/>
  <c r="Y378" i="6"/>
  <c r="S370" i="4"/>
  <c r="T377" i="6" s="1"/>
  <c r="R371" i="4"/>
  <c r="S377" i="6"/>
  <c r="X372" i="4"/>
  <c r="K384" i="14" l="1"/>
  <c r="I385" i="14"/>
  <c r="J385" i="14"/>
  <c r="T373" i="4"/>
  <c r="U372" i="4"/>
  <c r="Y372" i="4"/>
  <c r="Z379" i="6" s="1"/>
  <c r="Y379" i="6"/>
  <c r="R372" i="4"/>
  <c r="S371" i="4"/>
  <c r="T378" i="6" s="1"/>
  <c r="S378" i="6"/>
  <c r="X373" i="4"/>
  <c r="K385" i="14" l="1"/>
  <c r="I386" i="14"/>
  <c r="J386" i="14"/>
  <c r="K386" i="14" s="1"/>
  <c r="M20" i="14" s="1"/>
  <c r="G13" i="2" s="1"/>
  <c r="T374" i="4"/>
  <c r="U373" i="4"/>
  <c r="Y373" i="4"/>
  <c r="Z380" i="6" s="1"/>
  <c r="Y380" i="6"/>
  <c r="R373" i="4"/>
  <c r="S372" i="4"/>
  <c r="T379" i="6" s="1"/>
  <c r="S379" i="6"/>
  <c r="X374" i="4"/>
  <c r="B57" i="10" l="1"/>
  <c r="D57" i="10" s="1"/>
  <c r="B63" i="10" s="1"/>
  <c r="D14" i="7"/>
  <c r="I14" i="7" s="1"/>
  <c r="K14" i="7" s="1"/>
  <c r="T375" i="4"/>
  <c r="U375" i="4" s="1"/>
  <c r="U374" i="4"/>
  <c r="Y374" i="4"/>
  <c r="Z381" i="6" s="1"/>
  <c r="Y381" i="6"/>
  <c r="R374" i="4"/>
  <c r="S373" i="4"/>
  <c r="T380" i="6" s="1"/>
  <c r="S380" i="6"/>
  <c r="X375" i="4"/>
  <c r="U6" i="4" l="1"/>
  <c r="B61" i="10" s="1"/>
  <c r="D61" i="10" s="1"/>
  <c r="Y375" i="4"/>
  <c r="Z382" i="6" s="1"/>
  <c r="Y382" i="6"/>
  <c r="R375" i="4"/>
  <c r="S375" i="4" s="1"/>
  <c r="S374" i="4"/>
  <c r="S381" i="6"/>
  <c r="Z5" i="4" l="1"/>
  <c r="U4" i="4"/>
  <c r="S382" i="6"/>
  <c r="T381" i="6"/>
  <c r="T382" i="6"/>
  <c r="I4" i="6" l="1"/>
  <c r="D11" i="7" s="1"/>
  <c r="AG9" i="8"/>
  <c r="AI9" i="8" s="1"/>
  <c r="B60" i="10"/>
  <c r="D60" i="10" s="1"/>
  <c r="AG10" i="8"/>
  <c r="B59" i="10"/>
  <c r="D59" i="10" s="1"/>
  <c r="I11" i="7"/>
  <c r="K11" i="7" l="1"/>
  <c r="AG19" i="8"/>
  <c r="AI19" i="8" s="1"/>
  <c r="AI10" i="8"/>
  <c r="AG18" i="8"/>
  <c r="AI18" i="8" s="1"/>
  <c r="AK9" i="8"/>
  <c r="B64" i="10"/>
  <c r="D8" i="7" s="1"/>
  <c r="AK18" i="8" l="1"/>
  <c r="AM11" i="8" s="1"/>
  <c r="D9" i="7" s="1"/>
  <c r="I8" i="7"/>
  <c r="L4" i="6"/>
  <c r="I9" i="7" l="1"/>
  <c r="K9" i="7"/>
  <c r="I15" i="7"/>
  <c r="K8" i="7"/>
  <c r="K15" i="7" s="1"/>
  <c r="N4" i="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<sst xmlns="http://schemas.openxmlformats.org/spreadsheetml/2006/main" count="2489" uniqueCount="414">
  <si>
    <t>RWH Input-Output Data</t>
  </si>
  <si>
    <t>RED IS INPUT ONLY, TYPE NEW VALUES INTO RED</t>
  </si>
  <si>
    <t>Variable Efficiency</t>
  </si>
  <si>
    <t>Team J-9</t>
  </si>
  <si>
    <t>Dysinfection System Settings</t>
  </si>
  <si>
    <t>UV System</t>
  </si>
  <si>
    <t>Chemical System</t>
  </si>
  <si>
    <t>System</t>
  </si>
  <si>
    <t>Chlorine</t>
  </si>
  <si>
    <t>n</t>
  </si>
  <si>
    <t>Input Data</t>
  </si>
  <si>
    <t>Cf_exp</t>
  </si>
  <si>
    <t>total maintenance days</t>
  </si>
  <si>
    <t>Total Cost</t>
  </si>
  <si>
    <t>Overall Satifaction</t>
  </si>
  <si>
    <t>On-Demand Flow Rate</t>
  </si>
  <si>
    <t>36W</t>
  </si>
  <si>
    <t>Filter Settings</t>
  </si>
  <si>
    <t>Filter size</t>
  </si>
  <si>
    <t>Present?</t>
  </si>
  <si>
    <t>Cf Pa/(m/s)</t>
  </si>
  <si>
    <t>Actual filter life (L)</t>
  </si>
  <si>
    <t>Filter Life Data (L)</t>
  </si>
  <si>
    <t>Filter location (B or A)</t>
  </si>
  <si>
    <t>40W</t>
  </si>
  <si>
    <t>Ozone</t>
  </si>
  <si>
    <t>y</t>
  </si>
  <si>
    <t>Parameters</t>
  </si>
  <si>
    <t>Gravity acceleration</t>
  </si>
  <si>
    <t>g</t>
  </si>
  <si>
    <t>m/s^2</t>
  </si>
  <si>
    <t>Catchment Settings</t>
  </si>
  <si>
    <t>Roof catchment area (m^2) - (50, 100)</t>
  </si>
  <si>
    <t>additional catchment area (m^2)</t>
  </si>
  <si>
    <t>Total catchment area (m^2)</t>
  </si>
  <si>
    <t>Catchment tank (L) - (400 or 1,500 or 2500 or 5,000 or 10,000)</t>
  </si>
  <si>
    <t>Catchment Tank initial Volume (L)</t>
  </si>
  <si>
    <t>No pre filter</t>
  </si>
  <si>
    <t>5 um pre</t>
  </si>
  <si>
    <t>200 um pre</t>
  </si>
  <si>
    <t>50W</t>
  </si>
  <si>
    <t>Pipe diameter</t>
  </si>
  <si>
    <t>D</t>
  </si>
  <si>
    <t>m</t>
  </si>
  <si>
    <t>1 um filter</t>
  </si>
  <si>
    <t>Power System Settings</t>
  </si>
  <si>
    <t>Solar Energy</t>
  </si>
  <si>
    <t>Diesel</t>
  </si>
  <si>
    <t>Pipe area</t>
  </si>
  <si>
    <t>A</t>
  </si>
  <si>
    <t>m^2</t>
  </si>
  <si>
    <t>Storag Tank Settings</t>
  </si>
  <si>
    <t>Storage Tank Volume (m3)</t>
  </si>
  <si>
    <t>storage tank location x (m)</t>
  </si>
  <si>
    <t>storage tank location y (m)</t>
  </si>
  <si>
    <t>Distance to storage tank (m)</t>
  </si>
  <si>
    <t>Storage tank  height (m)</t>
  </si>
  <si>
    <t>Storage tank tower height (m)</t>
  </si>
  <si>
    <t>Storage tank total height (m)</t>
  </si>
  <si>
    <t>5 um filter</t>
  </si>
  <si>
    <t>Model (260, 80, 306)</t>
  </si>
  <si>
    <t>Efficency</t>
  </si>
  <si>
    <t>Quantities</t>
  </si>
  <si>
    <t>Total Area(m^2)</t>
  </si>
  <si>
    <t>Model</t>
  </si>
  <si>
    <t>Density of water</t>
  </si>
  <si>
    <t>ρ</t>
  </si>
  <si>
    <t>[kg/m3]</t>
  </si>
  <si>
    <t>200 um filter</t>
  </si>
  <si>
    <t>4000W 2 cyl.</t>
  </si>
  <si>
    <t>Pipe friction factor</t>
  </si>
  <si>
    <t>f</t>
  </si>
  <si>
    <t>Pump Settings</t>
  </si>
  <si>
    <t>Which pump? (A=1, B=2, C=3)</t>
  </si>
  <si>
    <t>a</t>
  </si>
  <si>
    <t>b</t>
  </si>
  <si>
    <t>c</t>
  </si>
  <si>
    <t>B</t>
  </si>
  <si>
    <t>Q_Max</t>
  </si>
  <si>
    <t>Total</t>
  </si>
  <si>
    <t>Inverter</t>
  </si>
  <si>
    <r>
      <t xml:space="preserve">Loss coefficient </t>
    </r>
    <r>
      <rPr>
        <b/>
        <sz val="11"/>
        <color theme="1"/>
        <rFont val="Aptos Narrow"/>
        <family val="2"/>
        <scheme val="minor"/>
      </rPr>
      <t>Catchment to Storage</t>
    </r>
  </si>
  <si>
    <t>K</t>
  </si>
  <si>
    <t>Batteries</t>
  </si>
  <si>
    <r>
      <t xml:space="preserve">Loss coefficient </t>
    </r>
    <r>
      <rPr>
        <b/>
        <sz val="11"/>
        <color theme="1"/>
        <rFont val="Aptos Narrow"/>
        <family val="2"/>
        <scheme val="minor"/>
      </rPr>
      <t>Storage to House</t>
    </r>
  </si>
  <si>
    <t>Pressure from storage</t>
  </si>
  <si>
    <t>rho g h</t>
  </si>
  <si>
    <t>Pa</t>
  </si>
  <si>
    <t>%0.0-0.3</t>
  </si>
  <si>
    <t>Amount of Non-Potable Water per Day (L)</t>
  </si>
  <si>
    <t>Amount of Non-Potable Water per Day (m^3)</t>
  </si>
  <si>
    <t>Days of Non-Potable Water</t>
  </si>
  <si>
    <t>Consumption</t>
  </si>
  <si>
    <t>C</t>
  </si>
  <si>
    <t>L/day</t>
  </si>
  <si>
    <t>Non-Potable Water</t>
  </si>
  <si>
    <t>Weather Data Testing</t>
  </si>
  <si>
    <t>Starting month #</t>
  </si>
  <si>
    <t>Day</t>
  </si>
  <si>
    <t>Daily rainfall (mm)</t>
  </si>
  <si>
    <t>Q_in [m^3/day]</t>
  </si>
  <si>
    <t>V_water [m^3]</t>
  </si>
  <si>
    <t>Q_out [m^3/day]</t>
  </si>
  <si>
    <t>Pump Pressure</t>
  </si>
  <si>
    <t>Pump Energy</t>
  </si>
  <si>
    <t>Mass O3</t>
  </si>
  <si>
    <t>Energy for O3</t>
  </si>
  <si>
    <t>Energy for UV</t>
  </si>
  <si>
    <t>Total Energy for Day</t>
  </si>
  <si>
    <t>Diesel Fuel</t>
  </si>
  <si>
    <t>Total Diesel Fuel</t>
  </si>
  <si>
    <t>Matience for Liters of Fuel Used</t>
  </si>
  <si>
    <t>Hours of Diesel running</t>
  </si>
  <si>
    <t>Mass Chlorine</t>
  </si>
  <si>
    <t xml:space="preserve"> Mass Chlorine</t>
  </si>
  <si>
    <t>Cholrine used</t>
  </si>
  <si>
    <t>Chlorine Maintinence</t>
  </si>
  <si>
    <t>[-]</t>
  </si>
  <si>
    <t>[Pa]</t>
  </si>
  <si>
    <t>[J]</t>
  </si>
  <si>
    <t>[MJ]</t>
  </si>
  <si>
    <t>[mg]</t>
  </si>
  <si>
    <t>[g]</t>
  </si>
  <si>
    <t>[Wh]</t>
  </si>
  <si>
    <t>[L]</t>
  </si>
  <si>
    <t>Every 100L</t>
  </si>
  <si>
    <t>[kg]</t>
  </si>
  <si>
    <t>RWH Satisfaction Values</t>
  </si>
  <si>
    <t>Satisfaction Curve Data from Compnent Selection Guide</t>
  </si>
  <si>
    <t xml:space="preserve">Attribute </t>
  </si>
  <si>
    <t>Parameter</t>
  </si>
  <si>
    <t>Equation</t>
  </si>
  <si>
    <t>Value</t>
  </si>
  <si>
    <t>Weight</t>
  </si>
  <si>
    <t>Min Value</t>
  </si>
  <si>
    <t>Max. Value</t>
  </si>
  <si>
    <t>Units</t>
  </si>
  <si>
    <t>Satisfaction</t>
  </si>
  <si>
    <t>Weighted percents</t>
  </si>
  <si>
    <t>Consumption, C</t>
  </si>
  <si>
    <t>H</t>
  </si>
  <si>
    <t>Relative cost, C_R</t>
  </si>
  <si>
    <t>C_R</t>
  </si>
  <si>
    <t>% relative to shipping water</t>
  </si>
  <si>
    <t>Health &amp; environmental risk exposure, E</t>
  </si>
  <si>
    <t>E</t>
  </si>
  <si>
    <t>M</t>
  </si>
  <si>
    <t>N/A</t>
  </si>
  <si>
    <t>Power System &amp; Greenhouse Gas, G</t>
  </si>
  <si>
    <t>G</t>
  </si>
  <si>
    <t>% relative to
shipping water</t>
  </si>
  <si>
    <t>Maintenance Occurence, MP</t>
  </si>
  <si>
    <t>#/year</t>
  </si>
  <si>
    <t>Non-potable water supply, NP</t>
  </si>
  <si>
    <t>NP</t>
  </si>
  <si>
    <t>L</t>
  </si>
  <si>
    <t>Average L/day
(as fraction of
consumption, C)</t>
  </si>
  <si>
    <t>On-demand flow rate, Qin</t>
  </si>
  <si>
    <t>Qin</t>
  </si>
  <si>
    <t>L/min</t>
  </si>
  <si>
    <t>Reliability (days
consumption
met), R</t>
  </si>
  <si>
    <t>R</t>
  </si>
  <si>
    <t>days/year</t>
  </si>
  <si>
    <t>Overall Satisfaction</t>
  </si>
  <si>
    <t>Costs</t>
  </si>
  <si>
    <t>Description</t>
  </si>
  <si>
    <t>Input</t>
  </si>
  <si>
    <t>Item Cost</t>
  </si>
  <si>
    <t>Cost</t>
  </si>
  <si>
    <t>Catchment Area</t>
  </si>
  <si>
    <t>half roof catchment</t>
  </si>
  <si>
    <t>full roof catchment</t>
  </si>
  <si>
    <t>additional catchment</t>
  </si>
  <si>
    <t>500+10/m3</t>
  </si>
  <si>
    <t>Catchment tank</t>
  </si>
  <si>
    <t>400L</t>
  </si>
  <si>
    <t>1500L</t>
  </si>
  <si>
    <t>2500L</t>
  </si>
  <si>
    <t>5000L</t>
  </si>
  <si>
    <t>10000L</t>
  </si>
  <si>
    <t>Storage Tank</t>
  </si>
  <si>
    <t>Volume</t>
  </si>
  <si>
    <t>300/m3</t>
  </si>
  <si>
    <t>Water level Sensor</t>
  </si>
  <si>
    <t>Storage Tank Tower</t>
  </si>
  <si>
    <t>25(V_tank)^(1.6)+150(H_tower)^(1.8)</t>
  </si>
  <si>
    <t>Piping</t>
  </si>
  <si>
    <t>40/m3</t>
  </si>
  <si>
    <t>Water Treatment</t>
  </si>
  <si>
    <t>Bag Filter</t>
  </si>
  <si>
    <t xml:space="preserve">1um Cartridge </t>
  </si>
  <si>
    <t>5um Cartridge</t>
  </si>
  <si>
    <t>Chemical Disinfection</t>
  </si>
  <si>
    <t>Chlorine Initial</t>
  </si>
  <si>
    <t>Ozone initial</t>
  </si>
  <si>
    <t>Pump Specs</t>
  </si>
  <si>
    <t>Pump A</t>
  </si>
  <si>
    <t>Pump B</t>
  </si>
  <si>
    <t>Pump C</t>
  </si>
  <si>
    <t>Power System</t>
  </si>
  <si>
    <t>Solar Panels</t>
  </si>
  <si>
    <t>HES-260</t>
  </si>
  <si>
    <t>SW-80</t>
  </si>
  <si>
    <t>HES-306P</t>
  </si>
  <si>
    <t>Diesel Generator</t>
  </si>
  <si>
    <t>Misc.</t>
  </si>
  <si>
    <t>12V Deep Cycle</t>
  </si>
  <si>
    <t>DC-AC Converter</t>
  </si>
  <si>
    <t>Yearly Costs</t>
  </si>
  <si>
    <t>Shipped Water</t>
  </si>
  <si>
    <t>100/day</t>
  </si>
  <si>
    <t>Diesel Cost per shipment</t>
  </si>
  <si>
    <t>Maintince Filters</t>
  </si>
  <si>
    <t>various costs</t>
  </si>
  <si>
    <t>Chlorine Shipped</t>
  </si>
  <si>
    <t>Diesel Maintenance</t>
  </si>
  <si>
    <t>Total Cost Initial</t>
  </si>
  <si>
    <t>Total Cost for 5 years</t>
  </si>
  <si>
    <t>Reference Cost for 5 years</t>
  </si>
  <si>
    <t>Distance to storage tank, L</t>
  </si>
  <si>
    <t>[m]</t>
  </si>
  <si>
    <t>Height of storage tank</t>
  </si>
  <si>
    <t xml:space="preserve"> Density of water, ρ</t>
  </si>
  <si>
    <t>Gravity constant, g</t>
  </si>
  <si>
    <t>[m/s2]</t>
  </si>
  <si>
    <t>Pump coefficients a</t>
  </si>
  <si>
    <t>Pump coefficients b</t>
  </si>
  <si>
    <t>Pump coefficients c</t>
  </si>
  <si>
    <t>Diameter of pipe D</t>
  </si>
  <si>
    <t>Area of the pipe</t>
  </si>
  <si>
    <t>[m^2]</t>
  </si>
  <si>
    <t>Friction factor for pipe, f</t>
  </si>
  <si>
    <t>Loss coefficient due to fittings and valves on the pipe, K</t>
  </si>
  <si>
    <t>[K]</t>
  </si>
  <si>
    <t>Storage to House</t>
  </si>
  <si>
    <t>House to Storage</t>
  </si>
  <si>
    <t>Filter coefficient, Cf</t>
  </si>
  <si>
    <t xml:space="preserve">Flow Velocity, V </t>
  </si>
  <si>
    <t>Flow Rate, Q</t>
  </si>
  <si>
    <t>Pump Pressure, Pa</t>
  </si>
  <si>
    <t>System Curve Pressure, Pa</t>
  </si>
  <si>
    <t>[m/s]</t>
  </si>
  <si>
    <t>[L/min]</t>
  </si>
  <si>
    <t>Q (m³/s)</t>
  </si>
  <si>
    <t>Difference from pump to system</t>
  </si>
  <si>
    <t>Flow Rate</t>
  </si>
  <si>
    <t>Q [LPM]</t>
  </si>
  <si>
    <t>Q [m^3/day]</t>
  </si>
  <si>
    <t>Efficiency</t>
  </si>
  <si>
    <t>goal seek</t>
  </si>
  <si>
    <t>on demand flow rate</t>
  </si>
  <si>
    <t>Solar Energy Model</t>
  </si>
  <si>
    <t>Sunshine Data</t>
  </si>
  <si>
    <t>HES-260(Solar)</t>
  </si>
  <si>
    <t>Month</t>
  </si>
  <si>
    <t>Sunshine/day</t>
  </si>
  <si>
    <t>Solar Intensity</t>
  </si>
  <si>
    <t>W/m^2</t>
  </si>
  <si>
    <t>[hr]</t>
  </si>
  <si>
    <t>Panel area</t>
  </si>
  <si>
    <t>Jan</t>
  </si>
  <si>
    <t># of panels</t>
  </si>
  <si>
    <t>Feb</t>
  </si>
  <si>
    <t>Mar</t>
  </si>
  <si>
    <t>Apr</t>
  </si>
  <si>
    <t>Capacity</t>
  </si>
  <si>
    <t>Wh</t>
  </si>
  <si>
    <t>May</t>
  </si>
  <si>
    <t># of batteries</t>
  </si>
  <si>
    <t>Jun</t>
  </si>
  <si>
    <t>Jul</t>
  </si>
  <si>
    <t>Electrical Power Demand</t>
  </si>
  <si>
    <t>Aug</t>
  </si>
  <si>
    <t>Use per day</t>
  </si>
  <si>
    <t>hours</t>
  </si>
  <si>
    <t>Sep</t>
  </si>
  <si>
    <t>Oct</t>
  </si>
  <si>
    <t>Nov</t>
  </si>
  <si>
    <t>Dec</t>
  </si>
  <si>
    <t>Date</t>
  </si>
  <si>
    <t>Hours of Sunshine</t>
  </si>
  <si>
    <t>Incident Solar Energy</t>
  </si>
  <si>
    <t>Energy Generated</t>
  </si>
  <si>
    <t>Energy In</t>
  </si>
  <si>
    <t>Energy Needed</t>
  </si>
  <si>
    <t>Energy Out</t>
  </si>
  <si>
    <t>Energy Stored</t>
  </si>
  <si>
    <t>Meets requirement?</t>
  </si>
  <si>
    <t>Days Power Requirement not met</t>
  </si>
  <si>
    <t>[Whr]</t>
  </si>
  <si>
    <t>Loss coefficient</t>
  </si>
  <si>
    <t>k</t>
  </si>
  <si>
    <t>Total Filter Mantinence Days</t>
  </si>
  <si>
    <t>Maintainance</t>
  </si>
  <si>
    <t>Maintenance required for 4000 Watt Diesel Generator</t>
  </si>
  <si>
    <t>day</t>
  </si>
  <si>
    <t>1um filter</t>
  </si>
  <si>
    <t>5um filter</t>
  </si>
  <si>
    <t>200um filter</t>
  </si>
  <si>
    <t>1um</t>
  </si>
  <si>
    <t>days of operation</t>
  </si>
  <si>
    <t xml:space="preserve">Oil change and maintenance operation required every 250 hours </t>
  </si>
  <si>
    <t>Refuelling (maintenance operation) every 100 L of diesel consumed</t>
  </si>
  <si>
    <t>Greenhouse Gases Emission</t>
  </si>
  <si>
    <t>Daily Water Usage</t>
  </si>
  <si>
    <t xml:space="preserve"> Constants</t>
  </si>
  <si>
    <t>Treatment for Water</t>
  </si>
  <si>
    <t>kgCO2e/1000L</t>
  </si>
  <si>
    <t>Years</t>
  </si>
  <si>
    <t>years</t>
  </si>
  <si>
    <t>Diesel emission</t>
  </si>
  <si>
    <t>kgCO2e / L diesel</t>
  </si>
  <si>
    <t>Diesel Used</t>
  </si>
  <si>
    <t>Transport</t>
  </si>
  <si>
    <t>Generator Manufacturing</t>
  </si>
  <si>
    <t>kgCO2e</t>
  </si>
  <si>
    <t>Storage &amp; Distribution</t>
  </si>
  <si>
    <t>Battery Manufacturing</t>
  </si>
  <si>
    <t>Total Water</t>
  </si>
  <si>
    <t>Existing GHG</t>
  </si>
  <si>
    <t>Diesel GHG</t>
  </si>
  <si>
    <t>Proposed GHG</t>
  </si>
  <si>
    <t>Relative (in %)</t>
  </si>
  <si>
    <t>Station 3 - 2013</t>
  </si>
  <si>
    <t>Station 2 - 2015</t>
  </si>
  <si>
    <t>Station 1 - 2015</t>
  </si>
  <si>
    <t>Station 1 - 2014</t>
  </si>
  <si>
    <t>Date days starting on Jan 1 2013</t>
  </si>
  <si>
    <t>Daily Rainfall (mm)</t>
  </si>
  <si>
    <t>Date days starting on Jan 1 2015</t>
  </si>
  <si>
    <t>Date days starting on Jan 1 2014</t>
  </si>
  <si>
    <t>Tank Parameters</t>
  </si>
  <si>
    <t>V_tank</t>
  </si>
  <si>
    <t>m^3</t>
  </si>
  <si>
    <t>V_initial</t>
  </si>
  <si>
    <t>Consumption Parameters</t>
  </si>
  <si>
    <t>Number of Days</t>
  </si>
  <si>
    <t>m^3/day</t>
  </si>
  <si>
    <t>Max volume collected in one day</t>
  </si>
  <si>
    <t>C_min</t>
  </si>
  <si>
    <t xml:space="preserve">Number of Shipped Water Days </t>
  </si>
  <si>
    <t>C_max</t>
  </si>
  <si>
    <t>Weather Data</t>
  </si>
  <si>
    <t>Rainfall [mm]</t>
  </si>
  <si>
    <t>Energy Calculations for a system using Ozone Disinfection</t>
  </si>
  <si>
    <t>Pump Efficiency</t>
  </si>
  <si>
    <t>[ % ]</t>
  </si>
  <si>
    <t>Contact Time</t>
  </si>
  <si>
    <t>[min]</t>
  </si>
  <si>
    <t>UV Lamp Size</t>
  </si>
  <si>
    <t>[W]</t>
  </si>
  <si>
    <t>Heating Value Diesel</t>
  </si>
  <si>
    <t>[MJ/L]</t>
  </si>
  <si>
    <t>Matience for Diesel</t>
  </si>
  <si>
    <t>Catch. Area</t>
  </si>
  <si>
    <r>
      <t>[m</t>
    </r>
    <r>
      <rPr>
        <b/>
        <vertAlign val="superscript"/>
        <sz val="11"/>
        <color theme="1"/>
        <rFont val="Aptos Narrow"/>
        <family val="2"/>
        <scheme val="minor"/>
      </rPr>
      <t>2</t>
    </r>
    <r>
      <rPr>
        <b/>
        <sz val="11"/>
        <color theme="1"/>
        <rFont val="Aptos Narrow"/>
        <family val="2"/>
        <scheme val="minor"/>
      </rPr>
      <t>]</t>
    </r>
  </si>
  <si>
    <t>CT_Ozone</t>
  </si>
  <si>
    <t>[mg min/L]</t>
  </si>
  <si>
    <t>Efficiency of Generator</t>
  </si>
  <si>
    <t>[  ]</t>
  </si>
  <si>
    <t>CT_Chlorine</t>
  </si>
  <si>
    <t>Total Maintinece for Chlorine</t>
  </si>
  <si>
    <t>Catch. Tank V</t>
  </si>
  <si>
    <r>
      <t>[m</t>
    </r>
    <r>
      <rPr>
        <b/>
        <vertAlign val="superscript"/>
        <sz val="11"/>
        <color theme="1"/>
        <rFont val="Aptos Narrow"/>
        <family val="2"/>
        <scheme val="minor"/>
      </rPr>
      <t>3</t>
    </r>
    <r>
      <rPr>
        <b/>
        <sz val="11"/>
        <color theme="1"/>
        <rFont val="Aptos Narrow"/>
        <family val="2"/>
        <scheme val="minor"/>
      </rPr>
      <t>]</t>
    </r>
  </si>
  <si>
    <t>[MJ / g]</t>
  </si>
  <si>
    <t>Total Diesel Fuel in a year</t>
  </si>
  <si>
    <t>Oil Change Maitinence for Diesel</t>
  </si>
  <si>
    <t>Refill requirement</t>
  </si>
  <si>
    <t>kg</t>
  </si>
  <si>
    <t>[L/day]</t>
  </si>
  <si>
    <t>Initial Volume</t>
  </si>
  <si>
    <t>Determine by volume in the catchment tank each day, multiply by the flow rate, times 1000 unit conversion, gives us the minutes, we need to convert that into hours as well. when it reaches 250 hour we reset.</t>
  </si>
  <si>
    <t>Refueling Diesel Maintence</t>
  </si>
  <si>
    <t>Matience for Diesel Oil Change</t>
  </si>
  <si>
    <t>Maintinence</t>
  </si>
  <si>
    <t>Every 250L</t>
  </si>
  <si>
    <t>E_min</t>
  </si>
  <si>
    <t>E_max</t>
  </si>
  <si>
    <t xml:space="preserve">Health Risk Exposure </t>
  </si>
  <si>
    <t>Severity</t>
  </si>
  <si>
    <t xml:space="preserve">Environmental Risk Exposure </t>
  </si>
  <si>
    <t>Irritation or Inconvenience (1)</t>
  </si>
  <si>
    <t>Minor Injury - No medical attention (2)</t>
  </si>
  <si>
    <t>Serious Injury - Medical Attention (3)</t>
  </si>
  <si>
    <t>Permanent Injury or Death (4)</t>
  </si>
  <si>
    <t>Begin Contamination (1)</t>
  </si>
  <si>
    <t>Trace Contamination (2)</t>
  </si>
  <si>
    <t>Long-term Environmental Damage (3)</t>
  </si>
  <si>
    <t>Widespread Irreversible Damage (4)</t>
  </si>
  <si>
    <t>Likelihood</t>
  </si>
  <si>
    <t>Daily Risk Exposure               (4)</t>
  </si>
  <si>
    <t>days exposed</t>
  </si>
  <si>
    <t>Health Risk Exposure</t>
  </si>
  <si>
    <t>Weekly Risk Exposure            (3)</t>
  </si>
  <si>
    <t xml:space="preserve">Monthly Risk Exposure           (2) </t>
  </si>
  <si>
    <t>Total Risk Exposure</t>
  </si>
  <si>
    <t>Annual Risk Exposure             (1)</t>
  </si>
  <si>
    <t>Environmental Risk Exposure</t>
  </si>
  <si>
    <t>Days</t>
  </si>
  <si>
    <t>Risk Exposure</t>
  </si>
  <si>
    <t>Enviromental Risk Exposure</t>
  </si>
  <si>
    <t>#</t>
  </si>
  <si>
    <r>
      <t xml:space="preserve">Initial Water Level  [m] </t>
    </r>
    <r>
      <rPr>
        <b/>
        <sz val="11"/>
        <color rgb="FFC00000"/>
        <rFont val="Calibri"/>
        <family val="2"/>
      </rPr>
      <t>*</t>
    </r>
  </si>
  <si>
    <r>
      <t>Height exit nozzle [m]</t>
    </r>
    <r>
      <rPr>
        <b/>
        <sz val="11"/>
        <color rgb="FFC00000"/>
        <rFont val="Calibri"/>
        <family val="2"/>
      </rPr>
      <t xml:space="preserve"> *</t>
    </r>
  </si>
  <si>
    <r>
      <t>Height difference (</t>
    </r>
    <r>
      <rPr>
        <b/>
        <i/>
        <sz val="11"/>
        <color rgb="FF000000"/>
        <rFont val="Calibri"/>
        <family val="2"/>
      </rPr>
      <t>h</t>
    </r>
    <r>
      <rPr>
        <b/>
        <sz val="11"/>
        <color rgb="FF000000"/>
        <rFont val="Calibri"/>
        <family val="2"/>
      </rPr>
      <t>) [m]</t>
    </r>
  </si>
  <si>
    <r>
      <t>Pressure (</t>
    </r>
    <r>
      <rPr>
        <sz val="11"/>
        <color rgb="FF000000"/>
        <rFont val="Cambria Math"/>
        <family val="1"/>
      </rPr>
      <t>ρgh</t>
    </r>
    <r>
      <rPr>
        <b/>
        <sz val="11"/>
        <color rgb="FF000000"/>
        <rFont val="Calibri"/>
        <family val="2"/>
      </rPr>
      <t>)</t>
    </r>
  </si>
  <si>
    <r>
      <t>Collected Volume [mL]</t>
    </r>
    <r>
      <rPr>
        <b/>
        <sz val="11"/>
        <color rgb="FFC00000"/>
        <rFont val="Calibri"/>
        <family val="2"/>
      </rPr>
      <t xml:space="preserve"> *</t>
    </r>
  </si>
  <si>
    <t>Time</t>
  </si>
  <si>
    <t>Velocity</t>
  </si>
  <si>
    <r>
      <t>[s]</t>
    </r>
    <r>
      <rPr>
        <b/>
        <sz val="11"/>
        <color rgb="FFC00000"/>
        <rFont val="Calibri"/>
        <family val="2"/>
      </rPr>
      <t xml:space="preserve"> *</t>
    </r>
  </si>
  <si>
    <t>[LPM]</t>
  </si>
  <si>
    <t>Code Blocks</t>
  </si>
  <si>
    <t>DO NOT DELETE</t>
  </si>
  <si>
    <t>Stakeholder Satisfaction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</si>
</sst>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409]d\-mmm\-yyyy;@"/>
    <numFmt numFmtId="165" formatCode="0.0"/>
    <numFmt numFmtId="166" formatCode="0.0000000"/>
    <numFmt numFmtId="167" formatCode="0.00_);[Red]\(0.00\)"/>
    <numFmt numFmtId="168" formatCode="0.000000"/>
    <numFmt numFmtId="169" formatCode="0.000"/>
    <numFmt numFmtId="170" formatCode="_([$$-409]* #,##0.00_);_([$$-409]* \(#,##0.00\);_([$$-409]* &quot;-&quot;??_);_(@_)"/>
  </numFmts>
  <fonts count="52">
    <font>
      <sz val="11"/>
      <color theme="1"/>
      <name val="Aptos Narrow"/>
      <family val="2"/>
      <scheme val="minor"/>
    </font>
    <font>
      <sz val="11"/>
      <color theme="1"/>
      <name val="Aptos Narrow"/>
      <scheme val="minor"/>
    </font>
    <font>
      <b/>
      <sz val="11"/>
      <color theme="1"/>
      <name val="Aptos Narrow"/>
      <family val="2"/>
      <scheme val="minor"/>
    </font>
    <font>
      <b/>
      <u/>
      <sz val="11"/>
      <color theme="1"/>
      <name val="Calibri"/>
      <family val="2"/>
    </font>
    <font>
      <sz val="11"/>
      <color theme="1"/>
      <name val="Calibri"/>
      <family val="2"/>
    </font>
    <font>
      <b/>
      <sz val="7"/>
      <color rgb="FF222222"/>
      <name val="Arial"/>
      <family val="2"/>
    </font>
    <font>
      <i/>
      <sz val="11"/>
      <color theme="1"/>
      <name val="Aptos Narrow"/>
      <family val="2"/>
      <scheme val="minor"/>
    </font>
    <font>
      <b/>
      <i/>
      <sz val="11"/>
      <color theme="1"/>
      <name val="Aptos Narrow"/>
      <family val="2"/>
      <scheme val="minor"/>
    </font>
    <font>
      <b/>
      <sz val="14"/>
      <color theme="1"/>
      <name val="Aptos Narrow"/>
      <family val="2"/>
      <scheme val="minor"/>
    </font>
    <font>
      <b/>
      <sz val="11"/>
      <color rgb="FF000000"/>
      <name val="Aptos Narrow"/>
      <family val="2"/>
      <scheme val="minor"/>
    </font>
    <font>
      <sz val="11"/>
      <color rgb="FFC00000"/>
      <name val="Aptos Narrow"/>
      <family val="2"/>
      <scheme val="minor"/>
    </font>
    <font>
      <b/>
      <sz val="22"/>
      <color theme="1"/>
      <name val="Aptos Narrow"/>
      <family val="2"/>
      <scheme val="minor"/>
    </font>
    <font>
      <b/>
      <sz val="26"/>
      <color theme="1"/>
      <name val="Aptos Narrow"/>
      <family val="2"/>
      <scheme val="minor"/>
    </font>
    <font>
      <b/>
      <i/>
      <strike/>
      <sz val="11"/>
      <color rgb="FF00796B"/>
      <name val="Calibri"/>
    </font>
    <font>
      <sz val="18"/>
      <color theme="1"/>
      <name val="Aptos Narrow"/>
      <family val="2"/>
      <scheme val="minor"/>
    </font>
    <font>
      <sz val="11"/>
      <color theme="1"/>
      <name val="Aptos Narrow"/>
      <family val="2"/>
      <scheme val="minor"/>
    </font>
    <font>
      <sz val="11"/>
      <color theme="1"/>
      <name val="Calibri"/>
    </font>
    <font>
      <b/>
      <sz val="11"/>
      <color rgb="FF0070C0"/>
      <name val="Aptos Narrow"/>
      <family val="2"/>
      <scheme val="minor"/>
    </font>
    <font>
      <b/>
      <vertAlign val="superscript"/>
      <sz val="11"/>
      <color theme="1"/>
      <name val="Aptos Narrow"/>
      <family val="2"/>
      <scheme val="minor"/>
    </font>
    <font>
      <b/>
      <sz val="11"/>
      <color rgb="FFFF0000"/>
      <name val="Aptos Narrow"/>
      <family val="2"/>
      <scheme val="minor"/>
    </font>
    <font>
      <b/>
      <sz val="11"/>
      <color theme="1"/>
      <name val="Aptos Narrow"/>
      <scheme val="minor"/>
    </font>
    <font>
      <b/>
      <i/>
      <u/>
      <sz val="11"/>
      <color theme="1"/>
      <name val="Aptos Narrow"/>
      <family val="2"/>
      <scheme val="minor"/>
    </font>
    <font>
      <b/>
      <sz val="11"/>
      <color theme="3" tint="0.499984740745262"/>
      <name val="Aptos Narrow"/>
      <scheme val="minor"/>
    </font>
    <font>
      <sz val="11"/>
      <color rgb="FFFF0000"/>
      <name val="Aptos Narrow"/>
      <family val="2"/>
      <scheme val="minor"/>
    </font>
    <font>
      <i/>
      <sz val="11"/>
      <color theme="7"/>
      <name val="Aptos Narrow"/>
      <family val="2"/>
      <scheme val="minor"/>
    </font>
    <font>
      <sz val="14"/>
      <color theme="1"/>
      <name val="Aptos Narrow"/>
      <family val="2"/>
      <scheme val="minor"/>
    </font>
    <font>
      <i/>
      <sz val="14"/>
      <color theme="7"/>
      <name val="Aptos Narrow"/>
      <family val="2"/>
      <scheme val="minor"/>
    </font>
    <font>
      <i/>
      <sz val="14"/>
      <color theme="4" tint="0.39997558519241921"/>
      <name val="Aptos Narrow"/>
      <family val="2"/>
      <scheme val="minor"/>
    </font>
    <font>
      <b/>
      <sz val="20"/>
      <color theme="1"/>
      <name val="Aptos Narrow"/>
      <family val="2"/>
      <scheme val="minor"/>
    </font>
    <font>
      <b/>
      <sz val="11"/>
      <color rgb="FF000000"/>
      <name val="Calibri"/>
      <family val="2"/>
    </font>
    <font>
      <b/>
      <sz val="11"/>
      <color rgb="FFC00000"/>
      <name val="Calibri"/>
      <family val="2"/>
    </font>
    <font>
      <b/>
      <i/>
      <sz val="11"/>
      <color rgb="FF000000"/>
      <name val="Calibri"/>
      <family val="2"/>
    </font>
    <font>
      <sz val="11"/>
      <color rgb="FF000000"/>
      <name val="Cambria Math"/>
      <family val="1"/>
    </font>
    <font>
      <sz val="11"/>
      <color rgb="FF000000"/>
      <name val="Calibri"/>
      <family val="2"/>
    </font>
    <font>
      <i/>
      <sz val="11"/>
      <color rgb="FFFF0000"/>
      <name val="Aptos Narrow"/>
      <family val="2"/>
      <scheme val="minor"/>
    </font>
    <font>
      <b/>
      <sz val="16"/>
      <color rgb="FFC00000"/>
      <name val="Calibri"/>
      <family val="2"/>
    </font>
    <font>
      <b/>
      <sz val="14"/>
      <color rgb="FF000000"/>
      <name val="Calibri"/>
      <family val="2"/>
    </font>
    <font>
      <b/>
      <sz val="12"/>
      <color rgb="FF000000"/>
      <name val="Calibri"/>
      <family val="2"/>
    </font>
    <font>
      <b/>
      <sz val="11"/>
      <color rgb="FF000000"/>
      <name val="Aptos Narrow"/>
      <scheme val="minor"/>
    </font>
    <font>
      <i/>
      <sz val="11"/>
      <color theme="7"/>
      <name val="Calibri"/>
      <family val="2"/>
    </font>
    <font>
      <i/>
      <sz val="11"/>
      <color theme="7"/>
      <name val="Calibri"/>
    </font>
    <font>
      <b/>
      <sz val="14"/>
      <color rgb="FF000000"/>
      <name val="Calibri"/>
    </font>
    <font>
      <sz val="10"/>
      <color theme="1"/>
      <name val="Arial Unicode MS"/>
    </font>
    <font>
      <sz val="11"/>
      <color theme="7"/>
      <name val="Aptos Narrow"/>
      <family val="2"/>
      <scheme val="minor"/>
    </font>
    <font>
      <b/>
      <sz val="16"/>
      <color rgb="FFC00000"/>
      <name val="Calibri"/>
    </font>
    <font>
      <b/>
      <i/>
      <sz val="11"/>
      <color theme="3" tint="0.499984740745262"/>
      <name val="Aptos Narrow"/>
      <family val="2"/>
      <scheme val="minor"/>
    </font>
    <font>
      <sz val="11"/>
      <color theme="3" tint="0.499984740745262"/>
      <name val="Aptos Narrow"/>
      <family val="2"/>
      <scheme val="minor"/>
    </font>
    <font>
      <b/>
      <sz val="16"/>
      <color theme="1"/>
      <name val="Aptos Narrow"/>
      <family val="2"/>
      <scheme val="minor"/>
    </font>
    <font>
      <sz val="20"/>
      <color theme="1"/>
      <name val="Aptos Narrow"/>
      <family val="2"/>
      <scheme val="minor"/>
    </font>
    <font>
      <b/>
      <sz val="20"/>
      <color rgb="FF000000"/>
      <name val="Aptos Narrow"/>
      <family val="2"/>
      <scheme val="minor"/>
    </font>
    <font>
      <b/>
      <sz val="20"/>
      <color rgb="FF000000"/>
      <name val="Aptos Narrow"/>
      <scheme val="minor"/>
    </font>
    <font>
      <sz val="24"/>
      <color theme="1"/>
      <name val="Aptos Narrow"/>
      <family val="2"/>
      <scheme val="minor"/>
    </font>
  </fonts>
  <fills count="36">
    <fill>
      <patternFill patternType="none"/>
    </fill>
    <fill>
      <patternFill patternType="gray125"/>
    </fill>
    <fill>
      <patternFill patternType="solid">
        <fgColor theme="0" tint="-0.249977111117893"/>
        <bgColor indexed="64"/>
      </patternFill>
    </fill>
    <fill>
      <patternFill patternType="solid">
        <fgColor theme="5" tint="0.39997558519241921"/>
        <bgColor indexed="64"/>
      </patternFill>
    </fill>
    <fill>
      <patternFill patternType="solid">
        <fgColor rgb="FFC00000"/>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3" tint="0.499984740745262"/>
        <bgColor indexed="64"/>
      </patternFill>
    </fill>
    <fill>
      <patternFill patternType="solid">
        <fgColor theme="0"/>
        <bgColor indexed="64"/>
      </patternFill>
    </fill>
    <fill>
      <patternFill patternType="solid">
        <fgColor rgb="FFFBD1D1"/>
        <bgColor indexed="64"/>
      </patternFill>
    </fill>
    <fill>
      <patternFill patternType="solid">
        <fgColor rgb="FFAB81FF"/>
        <bgColor indexed="64"/>
      </patternFill>
    </fill>
    <fill>
      <patternFill patternType="solid">
        <fgColor theme="7" tint="0.39997558519241921"/>
        <bgColor indexed="64"/>
      </patternFill>
    </fill>
    <fill>
      <patternFill patternType="solid">
        <fgColor theme="9" tint="0.59999389629810485"/>
        <bgColor indexed="64"/>
      </patternFill>
    </fill>
    <fill>
      <patternFill patternType="solid">
        <fgColor theme="7" tint="0.79998168889431442"/>
        <bgColor indexed="65"/>
      </patternFill>
    </fill>
    <fill>
      <patternFill patternType="solid">
        <fgColor rgb="FFFFC000"/>
        <bgColor indexed="64"/>
      </patternFill>
    </fill>
    <fill>
      <patternFill patternType="solid">
        <fgColor theme="7" tint="0.79998168889431442"/>
        <bgColor indexed="64"/>
      </patternFill>
    </fill>
    <fill>
      <patternFill patternType="solid">
        <fgColor theme="3" tint="0.89999084444715716"/>
        <bgColor indexed="64"/>
      </patternFill>
    </fill>
    <fill>
      <patternFill patternType="solid">
        <fgColor rgb="FFFCFDD5"/>
        <bgColor indexed="64"/>
      </patternFill>
    </fill>
    <fill>
      <patternFill patternType="solid">
        <fgColor theme="3" tint="0.749992370372631"/>
        <bgColor indexed="64"/>
      </patternFill>
    </fill>
    <fill>
      <patternFill patternType="solid">
        <fgColor theme="6" tint="0.79998168889431442"/>
        <bgColor indexed="64"/>
      </patternFill>
    </fill>
    <fill>
      <patternFill patternType="solid">
        <fgColor rgb="FFD9E1F2"/>
        <bgColor rgb="FF000000"/>
      </patternFill>
    </fill>
    <fill>
      <patternFill patternType="solid">
        <fgColor rgb="FFFFF2CC"/>
        <bgColor rgb="FF000000"/>
      </patternFill>
    </fill>
    <fill>
      <patternFill patternType="solid">
        <fgColor rgb="FFC6E0B4"/>
        <bgColor rgb="FF000000"/>
      </patternFill>
    </fill>
    <fill>
      <patternFill patternType="solid">
        <fgColor theme="2" tint="-0.249977111117893"/>
        <bgColor indexed="64"/>
      </patternFill>
    </fill>
    <fill>
      <patternFill patternType="solid">
        <fgColor theme="1"/>
        <bgColor indexed="64"/>
      </patternFill>
    </fill>
    <fill>
      <patternFill patternType="solid">
        <fgColor theme="2"/>
        <bgColor indexed="64"/>
      </patternFill>
    </fill>
    <fill>
      <patternFill patternType="solid">
        <fgColor theme="5"/>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rgb="FFFFFF99"/>
        <bgColor indexed="64"/>
      </patternFill>
    </fill>
    <fill>
      <patternFill patternType="solid">
        <fgColor theme="8" tint="0.79998168889431442"/>
        <bgColor indexed="64"/>
      </patternFill>
    </fill>
    <fill>
      <patternFill patternType="solid">
        <fgColor rgb="FFFF0000"/>
        <bgColor indexed="64"/>
      </patternFill>
    </fill>
    <fill>
      <patternFill patternType="solid">
        <fgColor rgb="FFFFFF00"/>
        <bgColor indexed="64"/>
      </patternFill>
    </fill>
    <fill>
      <patternFill patternType="solid">
        <fgColor rgb="FFFF7171"/>
        <bgColor indexed="64"/>
      </patternFill>
    </fill>
    <fill>
      <patternFill patternType="solid">
        <fgColor rgb="FFFFE699"/>
        <bgColor rgb="FF000000"/>
      </patternFill>
    </fill>
  </fills>
  <borders count="47">
    <border>
      <left/>
      <right/>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CCCCCC"/>
      </left>
      <right style="medium">
        <color rgb="FFCCCCCC"/>
      </right>
      <top/>
      <bottom style="medium">
        <color rgb="FFCCCCCC"/>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right style="thin">
        <color rgb="FF000000"/>
      </right>
      <top/>
      <bottom/>
      <diagonal/>
    </border>
    <border>
      <left style="thin">
        <color indexed="64"/>
      </left>
      <right style="thin">
        <color indexed="64"/>
      </right>
      <top style="thin">
        <color indexed="64"/>
      </top>
      <bottom/>
      <diagonal/>
    </border>
    <border>
      <left style="thin">
        <color indexed="64"/>
      </left>
      <right style="thin">
        <color indexed="64"/>
      </right>
      <top/>
      <bottom style="medium">
        <color rgb="FFCCCCCC"/>
      </bottom>
      <diagonal/>
    </border>
    <border>
      <left style="thin">
        <color indexed="64"/>
      </left>
      <right style="thin">
        <color rgb="FF000000"/>
      </right>
      <top style="thin">
        <color indexed="64"/>
      </top>
      <bottom/>
      <diagonal/>
    </border>
    <border>
      <left style="thin">
        <color indexed="64"/>
      </left>
      <right style="thin">
        <color rgb="FF000000"/>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bottom style="thick">
        <color theme="3"/>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indexed="64"/>
      </left>
      <right style="thin">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top style="thin">
        <color indexed="64"/>
      </top>
      <bottom style="medium">
        <color indexed="64"/>
      </bottom>
      <diagonal/>
    </border>
    <border>
      <left style="thin">
        <color rgb="FF000000"/>
      </left>
      <right/>
      <top/>
      <bottom/>
      <diagonal/>
    </border>
    <border>
      <left style="dashed">
        <color rgb="FF000000"/>
      </left>
      <right style="dashed">
        <color rgb="FF000000"/>
      </right>
      <top/>
      <bottom style="dashed">
        <color rgb="FF000000"/>
      </bottom>
      <diagonal/>
    </border>
    <border>
      <left style="thin">
        <color rgb="FF000000"/>
      </left>
      <right style="thin">
        <color rgb="FF000000"/>
      </right>
      <top/>
      <bottom/>
      <diagonal/>
    </border>
    <border>
      <left style="thin">
        <color indexed="64"/>
      </left>
      <right style="thin">
        <color indexed="64"/>
      </right>
      <top style="medium">
        <color indexed="64"/>
      </top>
      <bottom style="medium">
        <color indexed="64"/>
      </bottom>
      <diagonal/>
    </border>
    <border>
      <left/>
      <right style="thin">
        <color rgb="FF000000"/>
      </right>
      <top style="thin">
        <color rgb="FF000000"/>
      </top>
      <bottom style="thin">
        <color rgb="FF000000"/>
      </bottom>
      <diagonal/>
    </border>
  </borders>
  <cellStyleXfs count="4">
    <xf numFmtId="0" fontId="0" fillId="0" borderId="0"/>
    <xf numFmtId="9" fontId="15" fillId="0" borderId="0" applyFont="0" applyFill="0" applyBorder="0" applyAlignment="0" applyProtection="0"/>
    <xf numFmtId="43" fontId="15" fillId="0" borderId="0" applyFont="0" applyFill="0" applyBorder="0" applyAlignment="0" applyProtection="0"/>
    <xf numFmtId="0" fontId="1" fillId="13" borderId="0" applyNumberFormat="0" applyBorder="0" applyAlignment="0" applyProtection="0">
      <alignment vertical="center"/>
    </xf>
  </cellStyleXfs>
  <cellXfs count="360">
    <xf numFmtId="0" fontId="0" fillId="0" borderId="0" xfId="0"/>
    <xf numFmtId="0" fontId="0" fillId="0" borderId="0" xfId="0" applyAlignment="1">
      <alignment horizontal="center" vertical="center" wrapText="1"/>
    </xf>
    <xf numFmtId="0" fontId="6" fillId="2" borderId="2" xfId="0" applyFont="1" applyFill="1" applyBorder="1" applyAlignment="1">
      <alignment horizontal="center" vertical="center" wrapText="1"/>
    </xf>
    <xf numFmtId="0" fontId="0" fillId="2" borderId="2" xfId="0" applyFill="1" applyBorder="1" applyAlignment="1">
      <alignment horizontal="center" vertical="center" wrapText="1"/>
    </xf>
    <xf numFmtId="2" fontId="0" fillId="0" borderId="0" xfId="0" applyNumberFormat="1" applyAlignment="1">
      <alignment horizontal="center" vertical="center" wrapText="1"/>
    </xf>
    <xf numFmtId="0" fontId="10" fillId="2" borderId="2" xfId="0" applyFont="1" applyFill="1" applyBorder="1" applyAlignment="1">
      <alignment horizontal="center" vertical="center" wrapText="1"/>
    </xf>
    <xf numFmtId="14" fontId="0" fillId="0" borderId="0" xfId="0" applyNumberFormat="1" applyAlignment="1">
      <alignment horizontal="center" vertical="center" wrapText="1"/>
    </xf>
    <xf numFmtId="0" fontId="4" fillId="0" borderId="6" xfId="0" applyFont="1" applyBorder="1" applyAlignment="1">
      <alignment horizontal="center" vertical="center" wrapText="1"/>
    </xf>
    <xf numFmtId="0" fontId="4" fillId="0" borderId="1" xfId="0" applyFont="1" applyBorder="1" applyAlignment="1">
      <alignment horizontal="center" vertical="center" wrapText="1"/>
    </xf>
    <xf numFmtId="0" fontId="2" fillId="5" borderId="2" xfId="0" applyFont="1" applyFill="1" applyBorder="1" applyAlignment="1">
      <alignment horizontal="center" vertical="center"/>
    </xf>
    <xf numFmtId="0" fontId="0" fillId="5" borderId="2" xfId="0" applyFill="1" applyBorder="1" applyAlignment="1">
      <alignment horizontal="center" vertical="center"/>
    </xf>
    <xf numFmtId="0" fontId="10" fillId="2" borderId="0" xfId="0" applyFont="1" applyFill="1" applyAlignment="1">
      <alignment horizontal="center" vertical="center" wrapText="1"/>
    </xf>
    <xf numFmtId="0" fontId="0" fillId="2" borderId="0" xfId="0" applyFill="1" applyAlignment="1">
      <alignment horizontal="center" vertical="center" wrapText="1"/>
    </xf>
    <xf numFmtId="0" fontId="7" fillId="0" borderId="0" xfId="0" applyFont="1" applyAlignment="1">
      <alignment horizontal="center" vertical="center" wrapText="1"/>
    </xf>
    <xf numFmtId="164" fontId="0" fillId="0" borderId="0" xfId="0" applyNumberFormat="1" applyAlignment="1">
      <alignment horizontal="center" vertical="center"/>
    </xf>
    <xf numFmtId="0" fontId="0" fillId="6" borderId="0" xfId="0" applyFill="1" applyAlignment="1">
      <alignment horizontal="center" vertical="center" wrapText="1"/>
    </xf>
    <xf numFmtId="0" fontId="0" fillId="6" borderId="9" xfId="0" applyFill="1" applyBorder="1" applyAlignment="1">
      <alignment horizontal="center" vertical="center" wrapText="1"/>
    </xf>
    <xf numFmtId="0" fontId="2" fillId="6" borderId="2" xfId="0" applyFont="1" applyFill="1" applyBorder="1" applyAlignment="1">
      <alignment horizontal="center" vertical="center" wrapText="1"/>
    </xf>
    <xf numFmtId="0" fontId="2" fillId="6" borderId="3" xfId="0" applyFont="1" applyFill="1" applyBorder="1" applyAlignment="1">
      <alignment horizontal="center" vertical="center" wrapText="1"/>
    </xf>
    <xf numFmtId="0" fontId="13" fillId="0" borderId="0" xfId="0" applyFont="1" applyAlignment="1">
      <alignment wrapText="1"/>
    </xf>
    <xf numFmtId="0" fontId="0" fillId="8" borderId="0" xfId="0" applyFill="1" applyAlignment="1">
      <alignment horizontal="center" vertical="center" wrapText="1"/>
    </xf>
    <xf numFmtId="164" fontId="0" fillId="8" borderId="0" xfId="0" applyNumberFormat="1" applyFill="1" applyAlignment="1">
      <alignment horizontal="center" vertical="center"/>
    </xf>
    <xf numFmtId="0" fontId="4" fillId="8" borderId="1" xfId="0" applyFont="1" applyFill="1" applyBorder="1" applyAlignment="1">
      <alignment horizontal="center" vertical="center" wrapText="1"/>
    </xf>
    <xf numFmtId="0" fontId="16" fillId="8" borderId="1" xfId="0" applyFont="1" applyFill="1" applyBorder="1" applyAlignment="1">
      <alignment horizontal="center" vertical="center" wrapText="1"/>
    </xf>
    <xf numFmtId="0" fontId="0" fillId="0" borderId="0" xfId="0" applyAlignment="1">
      <alignment wrapText="1"/>
    </xf>
    <xf numFmtId="0" fontId="1" fillId="13" borderId="8" xfId="3" applyBorder="1" applyAlignment="1">
      <alignment wrapText="1"/>
    </xf>
    <xf numFmtId="0" fontId="2" fillId="0" borderId="0" xfId="0" applyFont="1" applyAlignment="1">
      <alignment wrapText="1"/>
    </xf>
    <xf numFmtId="0" fontId="2" fillId="0" borderId="19" xfId="0" applyFont="1" applyBorder="1" applyAlignment="1">
      <alignment horizontal="center" wrapText="1"/>
    </xf>
    <xf numFmtId="0" fontId="20" fillId="13" borderId="8" xfId="3" applyFont="1" applyBorder="1" applyAlignment="1">
      <alignment horizontal="center" wrapText="1"/>
    </xf>
    <xf numFmtId="0" fontId="1" fillId="13" borderId="0" xfId="3" applyBorder="1" applyAlignment="1">
      <alignment wrapText="1"/>
    </xf>
    <xf numFmtId="0" fontId="22" fillId="13" borderId="0" xfId="3" applyFont="1" applyBorder="1" applyAlignment="1">
      <alignment wrapText="1"/>
    </xf>
    <xf numFmtId="0" fontId="20" fillId="13" borderId="0" xfId="3" applyFont="1" applyBorder="1" applyAlignment="1">
      <alignment horizontal="center" wrapText="1"/>
    </xf>
    <xf numFmtId="0" fontId="8" fillId="0" borderId="0" xfId="0" applyFont="1" applyAlignment="1">
      <alignment horizontal="center" vertical="center"/>
    </xf>
    <xf numFmtId="0" fontId="25" fillId="0" borderId="0" xfId="0" applyFont="1" applyAlignment="1">
      <alignment horizontal="center" vertical="center"/>
    </xf>
    <xf numFmtId="0" fontId="25" fillId="0" borderId="2" xfId="0" applyFont="1" applyBorder="1" applyAlignment="1">
      <alignment horizontal="center" vertical="center"/>
    </xf>
    <xf numFmtId="0" fontId="26" fillId="0" borderId="2" xfId="0" applyFont="1" applyBorder="1" applyAlignment="1">
      <alignment horizontal="center" vertical="center"/>
    </xf>
    <xf numFmtId="9" fontId="26" fillId="0" borderId="2" xfId="0" applyNumberFormat="1" applyFont="1" applyBorder="1" applyAlignment="1">
      <alignment horizontal="center" vertical="center"/>
    </xf>
    <xf numFmtId="0" fontId="25" fillId="0" borderId="2" xfId="0" applyFont="1" applyBorder="1" applyAlignment="1">
      <alignment horizontal="center" vertical="center" wrapText="1"/>
    </xf>
    <xf numFmtId="0" fontId="27" fillId="0" borderId="2" xfId="0" applyFont="1" applyBorder="1" applyAlignment="1">
      <alignment horizontal="center" vertical="center"/>
    </xf>
    <xf numFmtId="0" fontId="0" fillId="0" borderId="8" xfId="0" applyBorder="1" applyAlignment="1">
      <alignment horizontal="center" vertical="center" wrapText="1"/>
    </xf>
    <xf numFmtId="0" fontId="0" fillId="12" borderId="8" xfId="0" applyFill="1" applyBorder="1" applyAlignment="1">
      <alignment horizontal="center" vertical="center" wrapText="1"/>
    </xf>
    <xf numFmtId="0" fontId="0" fillId="14" borderId="8" xfId="0" applyFill="1" applyBorder="1" applyAlignment="1">
      <alignment horizontal="center" vertical="center" wrapText="1"/>
    </xf>
    <xf numFmtId="0" fontId="0" fillId="3" borderId="8" xfId="0" applyFill="1" applyBorder="1" applyAlignment="1">
      <alignment horizontal="center" vertical="center" wrapText="1"/>
    </xf>
    <xf numFmtId="0" fontId="0" fillId="0" borderId="0" xfId="0" applyAlignment="1">
      <alignment horizontal="center" vertical="center"/>
    </xf>
    <xf numFmtId="0" fontId="2" fillId="0" borderId="2" xfId="0" applyFont="1" applyBorder="1" applyAlignment="1">
      <alignment horizontal="center" vertical="center"/>
    </xf>
    <xf numFmtId="0" fontId="0" fillId="0" borderId="2" xfId="0" applyBorder="1" applyAlignment="1">
      <alignment horizontal="center" vertical="center"/>
    </xf>
    <xf numFmtId="0" fontId="0" fillId="0" borderId="20" xfId="0" applyBorder="1" applyAlignment="1">
      <alignment horizontal="center" vertical="center"/>
    </xf>
    <xf numFmtId="0" fontId="2" fillId="0" borderId="0" xfId="0" applyFont="1" applyAlignment="1">
      <alignment horizontal="left"/>
    </xf>
    <xf numFmtId="0" fontId="0" fillId="5" borderId="2" xfId="0" applyFill="1" applyBorder="1" applyAlignment="1">
      <alignment horizontal="center" vertical="center" wrapText="1"/>
    </xf>
    <xf numFmtId="0" fontId="0" fillId="16" borderId="21" xfId="0" applyFill="1" applyBorder="1" applyAlignment="1">
      <alignment horizontal="center" vertical="center" wrapText="1"/>
    </xf>
    <xf numFmtId="0" fontId="24" fillId="16" borderId="20" xfId="0" applyFont="1" applyFill="1" applyBorder="1" applyAlignment="1">
      <alignment horizontal="center" vertical="center" wrapText="1"/>
    </xf>
    <xf numFmtId="0" fontId="0" fillId="17" borderId="20" xfId="0" applyFill="1" applyBorder="1" applyAlignment="1">
      <alignment horizontal="center" vertical="center" wrapText="1"/>
    </xf>
    <xf numFmtId="0" fontId="24" fillId="16" borderId="2" xfId="0" applyFont="1" applyFill="1" applyBorder="1" applyAlignment="1">
      <alignment horizontal="center" vertical="center" wrapText="1"/>
    </xf>
    <xf numFmtId="0" fontId="0" fillId="17" borderId="2" xfId="0" applyFill="1" applyBorder="1" applyAlignment="1">
      <alignment horizontal="center" vertical="center" wrapText="1"/>
    </xf>
    <xf numFmtId="0" fontId="23" fillId="16" borderId="2" xfId="0" applyFont="1" applyFill="1" applyBorder="1" applyAlignment="1">
      <alignment horizontal="center" vertical="center" wrapText="1"/>
    </xf>
    <xf numFmtId="0" fontId="23" fillId="5" borderId="2" xfId="0" applyFont="1" applyFill="1" applyBorder="1" applyAlignment="1">
      <alignment horizontal="center" vertical="center" wrapText="1"/>
    </xf>
    <xf numFmtId="0" fontId="24" fillId="5" borderId="2" xfId="0" applyFont="1" applyFill="1" applyBorder="1" applyAlignment="1">
      <alignment horizontal="center" vertical="center" wrapText="1"/>
    </xf>
    <xf numFmtId="0" fontId="0" fillId="15" borderId="2" xfId="0" applyFill="1" applyBorder="1" applyAlignment="1">
      <alignment horizontal="center" vertical="center" wrapText="1"/>
    </xf>
    <xf numFmtId="0" fontId="24" fillId="15" borderId="2" xfId="0" applyFont="1" applyFill="1" applyBorder="1" applyAlignment="1">
      <alignment horizontal="center" vertical="center" wrapText="1"/>
    </xf>
    <xf numFmtId="0" fontId="23" fillId="0" borderId="0" xfId="0" applyFont="1" applyAlignment="1">
      <alignment horizontal="center" vertical="center" wrapText="1"/>
    </xf>
    <xf numFmtId="0" fontId="24" fillId="0" borderId="0" xfId="0" applyFont="1" applyAlignment="1">
      <alignment horizontal="center" vertical="center"/>
    </xf>
    <xf numFmtId="0" fontId="5" fillId="0" borderId="0" xfId="0" applyFont="1"/>
    <xf numFmtId="0" fontId="3" fillId="0" borderId="0" xfId="0" applyFont="1" applyAlignment="1">
      <alignment horizontal="center" wrapText="1"/>
    </xf>
    <xf numFmtId="0" fontId="4" fillId="0" borderId="0" xfId="0" applyFont="1" applyAlignment="1">
      <alignment horizontal="right" wrapText="1"/>
    </xf>
    <xf numFmtId="0" fontId="4" fillId="0" borderId="0" xfId="0" applyFont="1" applyAlignment="1">
      <alignment wrapText="1"/>
    </xf>
    <xf numFmtId="0" fontId="11" fillId="0" borderId="0" xfId="0" applyFont="1" applyAlignment="1">
      <alignment horizontal="center" vertical="center" wrapText="1"/>
    </xf>
    <xf numFmtId="0" fontId="0" fillId="0" borderId="28" xfId="0" applyBorder="1"/>
    <xf numFmtId="0" fontId="29" fillId="0" borderId="0" xfId="0" applyFont="1"/>
    <xf numFmtId="0" fontId="33" fillId="0" borderId="8" xfId="0" applyFont="1" applyBorder="1" applyAlignment="1">
      <alignment horizontal="justify" vertical="center" wrapText="1"/>
    </xf>
    <xf numFmtId="0" fontId="33" fillId="0" borderId="8" xfId="0" applyFont="1" applyBorder="1" applyAlignment="1">
      <alignment horizontal="center" vertical="center" wrapText="1"/>
    </xf>
    <xf numFmtId="0" fontId="24" fillId="0" borderId="8" xfId="0" applyFont="1" applyBorder="1" applyAlignment="1">
      <alignment vertical="center" wrapText="1"/>
    </xf>
    <xf numFmtId="0" fontId="23" fillId="0" borderId="8" xfId="0" applyFont="1" applyBorder="1" applyAlignment="1">
      <alignment vertical="center" wrapText="1"/>
    </xf>
    <xf numFmtId="0" fontId="24" fillId="8" borderId="8" xfId="0" applyFont="1" applyFill="1" applyBorder="1" applyAlignment="1">
      <alignment vertical="center" wrapText="1"/>
    </xf>
    <xf numFmtId="0" fontId="34" fillId="16" borderId="20" xfId="0" applyFont="1" applyFill="1" applyBorder="1" applyAlignment="1">
      <alignment horizontal="center" vertical="center" wrapText="1"/>
    </xf>
    <xf numFmtId="0" fontId="29" fillId="0" borderId="30" xfId="0" applyFont="1" applyBorder="1" applyAlignment="1">
      <alignment horizontal="center" vertical="center" wrapText="1"/>
    </xf>
    <xf numFmtId="0" fontId="29" fillId="0" borderId="31" xfId="0" applyFont="1" applyBorder="1" applyAlignment="1">
      <alignment horizontal="center" vertical="center" wrapText="1"/>
    </xf>
    <xf numFmtId="0" fontId="33" fillId="0" borderId="29" xfId="0" applyFont="1" applyBorder="1" applyAlignment="1">
      <alignment horizontal="center" vertical="center" wrapText="1"/>
    </xf>
    <xf numFmtId="0" fontId="24" fillId="8" borderId="29" xfId="0" applyFont="1" applyFill="1" applyBorder="1" applyAlignment="1">
      <alignment vertical="center" wrapText="1"/>
    </xf>
    <xf numFmtId="0" fontId="0" fillId="0" borderId="8" xfId="0" applyBorder="1"/>
    <xf numFmtId="0" fontId="0" fillId="19" borderId="2" xfId="0" applyFill="1" applyBorder="1" applyAlignment="1">
      <alignment horizontal="center" vertical="center" wrapText="1"/>
    </xf>
    <xf numFmtId="0" fontId="9" fillId="0" borderId="28" xfId="0" applyFont="1" applyBorder="1"/>
    <xf numFmtId="0" fontId="9" fillId="0" borderId="27" xfId="0" applyFont="1" applyBorder="1" applyAlignment="1">
      <alignment horizontal="center"/>
    </xf>
    <xf numFmtId="0" fontId="25" fillId="0" borderId="27" xfId="0" applyFont="1" applyBorder="1" applyAlignment="1">
      <alignment horizontal="center" vertical="center" wrapText="1"/>
    </xf>
    <xf numFmtId="0" fontId="25" fillId="0" borderId="27" xfId="0" applyFont="1" applyBorder="1" applyAlignment="1">
      <alignment horizontal="center" vertical="center"/>
    </xf>
    <xf numFmtId="0" fontId="27" fillId="0" borderId="27" xfId="0" applyFont="1" applyBorder="1" applyAlignment="1">
      <alignment horizontal="center" vertical="center"/>
    </xf>
    <xf numFmtId="0" fontId="26" fillId="0" borderId="27" xfId="0" applyFont="1" applyBorder="1" applyAlignment="1">
      <alignment horizontal="center" vertical="center"/>
    </xf>
    <xf numFmtId="0" fontId="35" fillId="0" borderId="0" xfId="0" applyFont="1"/>
    <xf numFmtId="0" fontId="33" fillId="0" borderId="0" xfId="0" applyFont="1"/>
    <xf numFmtId="0" fontId="29" fillId="20" borderId="35" xfId="0" applyFont="1" applyFill="1" applyBorder="1"/>
    <xf numFmtId="0" fontId="29" fillId="20" borderId="36" xfId="0" applyFont="1" applyFill="1" applyBorder="1"/>
    <xf numFmtId="0" fontId="33" fillId="21" borderId="36" xfId="0" applyFont="1" applyFill="1" applyBorder="1"/>
    <xf numFmtId="0" fontId="29" fillId="20" borderId="37" xfId="0" applyFont="1" applyFill="1" applyBorder="1"/>
    <xf numFmtId="0" fontId="29" fillId="20" borderId="38" xfId="0" applyFont="1" applyFill="1" applyBorder="1"/>
    <xf numFmtId="0" fontId="33" fillId="20" borderId="35" xfId="0" applyFont="1" applyFill="1" applyBorder="1"/>
    <xf numFmtId="0" fontId="33" fillId="22" borderId="36" xfId="0" applyFont="1" applyFill="1" applyBorder="1"/>
    <xf numFmtId="0" fontId="33" fillId="22" borderId="38" xfId="0" applyFont="1" applyFill="1" applyBorder="1"/>
    <xf numFmtId="0" fontId="33" fillId="20" borderId="37" xfId="0" applyFont="1" applyFill="1" applyBorder="1"/>
    <xf numFmtId="0" fontId="37" fillId="0" borderId="0" xfId="0" applyFont="1" applyAlignment="1">
      <alignment wrapText="1"/>
    </xf>
    <xf numFmtId="0" fontId="29" fillId="0" borderId="0" xfId="0" applyFont="1" applyAlignment="1">
      <alignment wrapText="1"/>
    </xf>
    <xf numFmtId="0" fontId="33" fillId="0" borderId="0" xfId="0" applyFont="1" applyAlignment="1">
      <alignment wrapText="1"/>
    </xf>
    <xf numFmtId="0" fontId="33" fillId="21" borderId="35" xfId="0" applyFont="1" applyFill="1" applyBorder="1" applyAlignment="1">
      <alignment wrapText="1"/>
    </xf>
    <xf numFmtId="0" fontId="33" fillId="22" borderId="35" xfId="0" applyFont="1" applyFill="1" applyBorder="1" applyAlignment="1">
      <alignment wrapText="1"/>
    </xf>
    <xf numFmtId="0" fontId="33" fillId="22" borderId="37" xfId="0" applyFont="1" applyFill="1" applyBorder="1" applyAlignment="1">
      <alignment wrapText="1"/>
    </xf>
    <xf numFmtId="0" fontId="0" fillId="16" borderId="17" xfId="0" applyFill="1" applyBorder="1" applyAlignment="1">
      <alignment horizontal="center" vertical="center" wrapText="1"/>
    </xf>
    <xf numFmtId="0" fontId="24" fillId="0" borderId="0" xfId="0" applyFont="1" applyAlignment="1">
      <alignment horizontal="center" vertical="center" wrapText="1"/>
    </xf>
    <xf numFmtId="0" fontId="19" fillId="0" borderId="0" xfId="0" applyFont="1" applyAlignment="1">
      <alignment wrapText="1"/>
    </xf>
    <xf numFmtId="0" fontId="24" fillId="0" borderId="2" xfId="0" applyFont="1" applyBorder="1" applyAlignment="1">
      <alignment horizontal="center" vertical="center"/>
    </xf>
    <xf numFmtId="0" fontId="24" fillId="0" borderId="20" xfId="0" applyFont="1" applyBorder="1" applyAlignment="1">
      <alignment horizontal="center" vertical="center"/>
    </xf>
    <xf numFmtId="3" fontId="24" fillId="0" borderId="2" xfId="0" applyNumberFormat="1" applyFont="1" applyBorder="1" applyAlignment="1">
      <alignment horizontal="center" vertical="center"/>
    </xf>
    <xf numFmtId="0" fontId="24" fillId="23" borderId="8" xfId="0" applyFont="1" applyFill="1" applyBorder="1" applyAlignment="1">
      <alignment vertical="center" wrapText="1"/>
    </xf>
    <xf numFmtId="0" fontId="23" fillId="23" borderId="8" xfId="0" applyFont="1" applyFill="1" applyBorder="1" applyAlignment="1">
      <alignment vertical="center" wrapText="1"/>
    </xf>
    <xf numFmtId="0" fontId="24" fillId="23" borderId="29" xfId="0" applyFont="1" applyFill="1" applyBorder="1" applyAlignment="1">
      <alignment vertical="center" wrapText="1"/>
    </xf>
    <xf numFmtId="0" fontId="0" fillId="23" borderId="8" xfId="0" applyFill="1" applyBorder="1"/>
    <xf numFmtId="0" fontId="0" fillId="23" borderId="0" xfId="0" applyFill="1"/>
    <xf numFmtId="0" fontId="2" fillId="23" borderId="8" xfId="0" applyFont="1" applyFill="1" applyBorder="1"/>
    <xf numFmtId="0" fontId="0" fillId="0" borderId="2" xfId="0" applyBorder="1" applyAlignment="1">
      <alignment horizontal="center" vertical="center" wrapText="1"/>
    </xf>
    <xf numFmtId="0" fontId="0" fillId="16" borderId="41" xfId="0" applyFill="1" applyBorder="1" applyAlignment="1">
      <alignment horizontal="center" vertical="center" wrapText="1"/>
    </xf>
    <xf numFmtId="0" fontId="23" fillId="16" borderId="15" xfId="0" applyFont="1" applyFill="1" applyBorder="1" applyAlignment="1">
      <alignment horizontal="center" vertical="center" wrapText="1"/>
    </xf>
    <xf numFmtId="0" fontId="24" fillId="2" borderId="2" xfId="0" applyFont="1" applyFill="1" applyBorder="1" applyAlignment="1">
      <alignment horizontal="center" vertical="center" wrapText="1"/>
    </xf>
    <xf numFmtId="0" fontId="23" fillId="24" borderId="0" xfId="0" applyFont="1" applyFill="1" applyAlignment="1">
      <alignment horizontal="center" vertical="center" wrapText="1"/>
    </xf>
    <xf numFmtId="0" fontId="19" fillId="24" borderId="0" xfId="0" applyFont="1" applyFill="1" applyAlignment="1">
      <alignment horizontal="center" vertical="center" wrapText="1"/>
    </xf>
    <xf numFmtId="2" fontId="23" fillId="24" borderId="0" xfId="0" applyNumberFormat="1" applyFont="1" applyFill="1" applyAlignment="1">
      <alignment horizontal="center" vertical="center" wrapText="1"/>
    </xf>
    <xf numFmtId="0" fontId="0" fillId="24" borderId="0" xfId="0" applyFill="1" applyAlignment="1">
      <alignment horizontal="center" vertical="center" wrapText="1"/>
    </xf>
    <xf numFmtId="0" fontId="2" fillId="24" borderId="0" xfId="0" applyFont="1" applyFill="1" applyAlignment="1">
      <alignment horizontal="center" vertical="center" wrapText="1"/>
    </xf>
    <xf numFmtId="2" fontId="0" fillId="24" borderId="0" xfId="0" applyNumberFormat="1" applyFill="1" applyAlignment="1">
      <alignment horizontal="center" vertical="center" wrapText="1"/>
    </xf>
    <xf numFmtId="0" fontId="0" fillId="24" borderId="0" xfId="0" applyFill="1"/>
    <xf numFmtId="0" fontId="39" fillId="0" borderId="6" xfId="0" applyFont="1" applyBorder="1" applyAlignment="1">
      <alignment horizontal="center" vertical="center" wrapText="1"/>
    </xf>
    <xf numFmtId="0" fontId="40" fillId="0" borderId="6" xfId="0" applyFont="1" applyBorder="1" applyAlignment="1">
      <alignment horizontal="center" vertical="center" wrapText="1"/>
    </xf>
    <xf numFmtId="2" fontId="0" fillId="0" borderId="0" xfId="0" applyNumberFormat="1" applyAlignment="1">
      <alignment horizontal="center" vertical="center"/>
    </xf>
    <xf numFmtId="2" fontId="42" fillId="0" borderId="0" xfId="0" applyNumberFormat="1" applyFont="1"/>
    <xf numFmtId="0" fontId="39" fillId="21" borderId="0" xfId="0" applyFont="1" applyFill="1"/>
    <xf numFmtId="0" fontId="39" fillId="22" borderId="0" xfId="0" applyFont="1" applyFill="1"/>
    <xf numFmtId="0" fontId="39" fillId="22" borderId="18" xfId="0" applyFont="1" applyFill="1" applyBorder="1"/>
    <xf numFmtId="0" fontId="39" fillId="20" borderId="36" xfId="0" applyFont="1" applyFill="1" applyBorder="1"/>
    <xf numFmtId="0" fontId="39" fillId="20" borderId="38" xfId="0" applyFont="1" applyFill="1" applyBorder="1"/>
    <xf numFmtId="0" fontId="24" fillId="16" borderId="8" xfId="0" applyFont="1" applyFill="1" applyBorder="1" applyAlignment="1">
      <alignment horizontal="center" vertical="center" wrapText="1"/>
    </xf>
    <xf numFmtId="0" fontId="23" fillId="16" borderId="8" xfId="0" applyFont="1" applyFill="1" applyBorder="1" applyAlignment="1">
      <alignment horizontal="center" vertical="center" wrapText="1"/>
    </xf>
    <xf numFmtId="0" fontId="34" fillId="0" borderId="2" xfId="0" applyFont="1" applyBorder="1" applyAlignment="1">
      <alignment horizontal="center" vertical="center"/>
    </xf>
    <xf numFmtId="0" fontId="24" fillId="0" borderId="2" xfId="0" applyFont="1" applyBorder="1" applyAlignment="1">
      <alignment horizontal="center" vertical="center" wrapText="1"/>
    </xf>
    <xf numFmtId="0" fontId="43" fillId="25" borderId="0" xfId="0" applyFont="1" applyFill="1" applyAlignment="1">
      <alignment wrapText="1"/>
    </xf>
    <xf numFmtId="0" fontId="2" fillId="26" borderId="2" xfId="0" applyFont="1" applyFill="1" applyBorder="1" applyAlignment="1">
      <alignment horizontal="center" vertical="center" wrapText="1"/>
    </xf>
    <xf numFmtId="0" fontId="0" fillId="17" borderId="8" xfId="0" applyFill="1" applyBorder="1" applyAlignment="1">
      <alignment horizontal="center" vertical="center" wrapText="1"/>
    </xf>
    <xf numFmtId="0" fontId="24" fillId="17" borderId="8" xfId="0" applyFont="1" applyFill="1" applyBorder="1" applyAlignment="1">
      <alignment horizontal="center" vertical="center" wrapText="1"/>
    </xf>
    <xf numFmtId="0" fontId="0" fillId="17" borderId="8" xfId="0" applyFill="1" applyBorder="1" applyAlignment="1">
      <alignment horizontal="center" vertical="center"/>
    </xf>
    <xf numFmtId="0" fontId="0" fillId="15" borderId="8" xfId="0" applyFill="1" applyBorder="1" applyAlignment="1">
      <alignment horizontal="center" vertical="center"/>
    </xf>
    <xf numFmtId="0" fontId="0" fillId="17" borderId="29" xfId="0" applyFill="1" applyBorder="1" applyAlignment="1">
      <alignment horizontal="center" vertical="center" wrapText="1"/>
    </xf>
    <xf numFmtId="0" fontId="0" fillId="17" borderId="29" xfId="0" applyFill="1" applyBorder="1" applyAlignment="1">
      <alignment horizontal="center" vertical="center"/>
    </xf>
    <xf numFmtId="0" fontId="2" fillId="0" borderId="2" xfId="0" applyFont="1" applyBorder="1" applyAlignment="1">
      <alignment horizontal="center" vertical="center" wrapText="1"/>
    </xf>
    <xf numFmtId="0" fontId="43" fillId="17" borderId="8" xfId="0" applyFont="1" applyFill="1" applyBorder="1" applyAlignment="1">
      <alignment horizontal="center" vertical="center"/>
    </xf>
    <xf numFmtId="0" fontId="0" fillId="27" borderId="2" xfId="0" applyFill="1" applyBorder="1" applyAlignment="1">
      <alignment horizontal="center" vertical="center" wrapText="1"/>
    </xf>
    <xf numFmtId="0" fontId="0" fillId="26" borderId="20" xfId="0" applyFill="1" applyBorder="1" applyAlignment="1">
      <alignment horizontal="center" vertical="center" wrapText="1"/>
    </xf>
    <xf numFmtId="0" fontId="0" fillId="0" borderId="8" xfId="0" applyBorder="1" applyAlignment="1">
      <alignment horizontal="center" vertical="center"/>
    </xf>
    <xf numFmtId="0" fontId="45" fillId="13" borderId="8" xfId="3" applyFont="1" applyBorder="1" applyAlignment="1">
      <alignment wrapText="1"/>
    </xf>
    <xf numFmtId="9" fontId="2" fillId="5" borderId="2" xfId="1" applyFont="1" applyFill="1" applyBorder="1" applyAlignment="1">
      <alignment horizontal="center" vertical="center"/>
    </xf>
    <xf numFmtId="0" fontId="2" fillId="5" borderId="3" xfId="0" applyFont="1" applyFill="1" applyBorder="1" applyAlignment="1">
      <alignment horizontal="center" vertical="center"/>
    </xf>
    <xf numFmtId="0" fontId="0" fillId="9" borderId="2" xfId="0" applyFill="1" applyBorder="1" applyAlignment="1">
      <alignment horizontal="center" vertical="center"/>
    </xf>
    <xf numFmtId="0" fontId="17" fillId="9" borderId="2" xfId="0" applyFont="1" applyFill="1" applyBorder="1" applyAlignment="1">
      <alignment horizontal="center" vertical="center"/>
    </xf>
    <xf numFmtId="0" fontId="2" fillId="9" borderId="2" xfId="0" applyFont="1" applyFill="1" applyBorder="1" applyAlignment="1">
      <alignment horizontal="center" vertical="center"/>
    </xf>
    <xf numFmtId="0" fontId="0" fillId="10" borderId="5" xfId="0" applyFill="1" applyBorder="1" applyAlignment="1">
      <alignment horizontal="center" vertical="center"/>
    </xf>
    <xf numFmtId="0" fontId="17" fillId="10" borderId="2" xfId="0" applyFont="1" applyFill="1" applyBorder="1" applyAlignment="1">
      <alignment horizontal="center" vertical="center" wrapText="1"/>
    </xf>
    <xf numFmtId="0" fontId="2" fillId="10" borderId="3" xfId="0" applyFont="1" applyFill="1" applyBorder="1" applyAlignment="1">
      <alignment horizontal="center" vertical="center"/>
    </xf>
    <xf numFmtId="0" fontId="0" fillId="11" borderId="2" xfId="0" applyFill="1" applyBorder="1" applyAlignment="1">
      <alignment horizontal="center" vertical="center"/>
    </xf>
    <xf numFmtId="0" fontId="17" fillId="11" borderId="2" xfId="0" applyFont="1" applyFill="1" applyBorder="1" applyAlignment="1">
      <alignment horizontal="center" vertical="center"/>
    </xf>
    <xf numFmtId="1" fontId="2" fillId="11" borderId="2" xfId="0" applyNumberFormat="1" applyFont="1" applyFill="1" applyBorder="1" applyAlignment="1">
      <alignment horizontal="center" vertical="center"/>
    </xf>
    <xf numFmtId="0" fontId="0" fillId="0" borderId="3" xfId="0" applyBorder="1" applyAlignment="1">
      <alignment horizontal="center" vertical="center"/>
    </xf>
    <xf numFmtId="0" fontId="17" fillId="0" borderId="4" xfId="0" applyFont="1" applyBorder="1" applyAlignment="1">
      <alignment horizontal="center" vertical="center"/>
    </xf>
    <xf numFmtId="9" fontId="17" fillId="11" borderId="2" xfId="1" applyFont="1" applyFill="1" applyBorder="1" applyAlignment="1">
      <alignment horizontal="center" vertical="center"/>
    </xf>
    <xf numFmtId="0" fontId="7" fillId="0" borderId="0" xfId="0" applyFont="1" applyAlignment="1">
      <alignment horizontal="center" vertical="center"/>
    </xf>
    <xf numFmtId="1" fontId="7" fillId="0" borderId="0" xfId="0" applyNumberFormat="1" applyFont="1" applyAlignment="1">
      <alignment horizontal="center" vertical="center"/>
    </xf>
    <xf numFmtId="0" fontId="0" fillId="9" borderId="2" xfId="0" applyFill="1" applyBorder="1" applyAlignment="1">
      <alignment horizontal="center" vertical="center" wrapText="1"/>
    </xf>
    <xf numFmtId="0" fontId="0" fillId="0" borderId="15" xfId="0" applyBorder="1" applyAlignment="1">
      <alignment horizontal="center" vertical="center"/>
    </xf>
    <xf numFmtId="0" fontId="17" fillId="0" borderId="16" xfId="0" applyFont="1" applyBorder="1" applyAlignment="1">
      <alignment horizontal="center" vertical="center"/>
    </xf>
    <xf numFmtId="0" fontId="2" fillId="0" borderId="17" xfId="0" applyFont="1" applyBorder="1" applyAlignment="1">
      <alignment horizontal="center" vertical="center"/>
    </xf>
    <xf numFmtId="0" fontId="21" fillId="0" borderId="0" xfId="0" applyFont="1" applyAlignment="1">
      <alignment horizontal="center" vertical="center"/>
    </xf>
    <xf numFmtId="0" fontId="17" fillId="0" borderId="0" xfId="0" applyFont="1" applyAlignment="1">
      <alignment horizontal="center" vertical="center"/>
    </xf>
    <xf numFmtId="0" fontId="19" fillId="0" borderId="0" xfId="0" applyFont="1" applyAlignment="1">
      <alignment horizontal="center" vertical="center"/>
    </xf>
    <xf numFmtId="0" fontId="4" fillId="0" borderId="0" xfId="0" applyFont="1" applyAlignment="1">
      <alignment horizontal="center" vertical="center" wrapText="1"/>
    </xf>
    <xf numFmtId="11" fontId="0" fillId="0" borderId="0" xfId="2" applyNumberFormat="1" applyFont="1" applyFill="1" applyAlignment="1">
      <alignment horizontal="center" vertical="center"/>
    </xf>
    <xf numFmtId="11" fontId="0" fillId="0" borderId="0" xfId="0" applyNumberFormat="1" applyAlignment="1">
      <alignment horizontal="center" vertical="center"/>
    </xf>
    <xf numFmtId="166" fontId="0" fillId="0" borderId="0" xfId="0" applyNumberFormat="1" applyAlignment="1">
      <alignment horizontal="center" vertical="center"/>
    </xf>
    <xf numFmtId="165" fontId="0" fillId="0" borderId="0" xfId="0" applyNumberFormat="1" applyAlignment="1">
      <alignment horizontal="center" vertical="center"/>
    </xf>
    <xf numFmtId="167" fontId="0" fillId="0" borderId="0" xfId="0" applyNumberFormat="1" applyAlignment="1">
      <alignment horizontal="center" vertical="center"/>
    </xf>
    <xf numFmtId="0" fontId="0" fillId="27" borderId="0" xfId="0" applyFill="1" applyAlignment="1">
      <alignment horizontal="center" vertical="center"/>
    </xf>
    <xf numFmtId="2" fontId="0" fillId="27" borderId="0" xfId="0" applyNumberFormat="1" applyFill="1" applyAlignment="1">
      <alignment horizontal="center" vertical="center"/>
    </xf>
    <xf numFmtId="166" fontId="0" fillId="27" borderId="0" xfId="0" applyNumberFormat="1" applyFill="1" applyAlignment="1">
      <alignment horizontal="center" vertical="center"/>
    </xf>
    <xf numFmtId="165" fontId="0" fillId="27" borderId="0" xfId="0" applyNumberFormat="1" applyFill="1" applyAlignment="1">
      <alignment horizontal="center" vertical="center"/>
    </xf>
    <xf numFmtId="167" fontId="0" fillId="27" borderId="0" xfId="0" applyNumberFormat="1" applyFill="1" applyAlignment="1">
      <alignment horizontal="center" vertical="center"/>
    </xf>
    <xf numFmtId="0" fontId="0" fillId="27" borderId="0" xfId="0" applyFill="1" applyAlignment="1">
      <alignment wrapText="1"/>
    </xf>
    <xf numFmtId="0" fontId="0" fillId="0" borderId="2" xfId="0" applyBorder="1"/>
    <xf numFmtId="0" fontId="25" fillId="0" borderId="3" xfId="0" applyFont="1" applyBorder="1" applyAlignment="1">
      <alignment horizontal="center" vertical="center"/>
    </xf>
    <xf numFmtId="0" fontId="25" fillId="0" borderId="11" xfId="0" applyFont="1" applyBorder="1" applyAlignment="1">
      <alignment horizontal="center" vertical="center"/>
    </xf>
    <xf numFmtId="0" fontId="0" fillId="28" borderId="2" xfId="0" applyFill="1" applyBorder="1" applyAlignment="1">
      <alignment horizontal="center" vertical="center" wrapText="1"/>
    </xf>
    <xf numFmtId="0" fontId="24" fillId="28" borderId="2" xfId="0" applyFont="1" applyFill="1" applyBorder="1" applyAlignment="1">
      <alignment horizontal="center" vertical="center"/>
    </xf>
    <xf numFmtId="0" fontId="0" fillId="8" borderId="43" xfId="0" applyFill="1" applyBorder="1" applyAlignment="1">
      <alignment horizontal="center" vertical="center"/>
    </xf>
    <xf numFmtId="0" fontId="2" fillId="10" borderId="2" xfId="0" applyFont="1" applyFill="1" applyBorder="1" applyAlignment="1">
      <alignment horizontal="center" vertical="center"/>
    </xf>
    <xf numFmtId="0" fontId="2" fillId="12" borderId="2" xfId="0" applyFont="1" applyFill="1" applyBorder="1" applyAlignment="1">
      <alignment horizontal="center" vertical="center"/>
    </xf>
    <xf numFmtId="0" fontId="2" fillId="11" borderId="2" xfId="0" applyFont="1" applyFill="1" applyBorder="1" applyAlignment="1">
      <alignment horizontal="center" vertical="center"/>
    </xf>
    <xf numFmtId="0" fontId="2" fillId="11" borderId="2" xfId="0" applyFont="1" applyFill="1" applyBorder="1" applyAlignment="1">
      <alignment horizontal="center" vertical="center" wrapText="1"/>
    </xf>
    <xf numFmtId="0" fontId="2" fillId="30" borderId="2" xfId="0" applyFont="1" applyFill="1" applyBorder="1" applyAlignment="1">
      <alignment horizontal="center" vertical="center" wrapText="1"/>
    </xf>
    <xf numFmtId="0" fontId="2" fillId="30" borderId="2" xfId="0" applyFont="1" applyFill="1" applyBorder="1" applyAlignment="1">
      <alignment horizontal="center" vertical="center"/>
    </xf>
    <xf numFmtId="0" fontId="0" fillId="30" borderId="2" xfId="0" applyFill="1" applyBorder="1" applyAlignment="1">
      <alignment horizontal="center" vertical="center"/>
    </xf>
    <xf numFmtId="0" fontId="0" fillId="29" borderId="2" xfId="0" applyFill="1" applyBorder="1" applyAlignment="1">
      <alignment horizontal="center" vertical="center"/>
    </xf>
    <xf numFmtId="0" fontId="0" fillId="19" borderId="5" xfId="0" applyFill="1" applyBorder="1" applyAlignment="1">
      <alignment horizontal="center" vertical="center" wrapText="1"/>
    </xf>
    <xf numFmtId="0" fontId="38" fillId="16" borderId="2" xfId="0" applyFont="1" applyFill="1" applyBorder="1" applyAlignment="1">
      <alignment horizontal="center" vertical="center" wrapText="1"/>
    </xf>
    <xf numFmtId="0" fontId="23" fillId="16" borderId="45" xfId="0" applyFont="1" applyFill="1" applyBorder="1" applyAlignment="1">
      <alignment horizontal="center" vertical="center" wrapText="1"/>
    </xf>
    <xf numFmtId="0" fontId="24" fillId="16" borderId="45" xfId="0" applyFont="1" applyFill="1" applyBorder="1" applyAlignment="1">
      <alignment horizontal="center" vertical="center" wrapText="1"/>
    </xf>
    <xf numFmtId="11" fontId="0" fillId="0" borderId="0" xfId="2" applyNumberFormat="1" applyFont="1" applyAlignment="1">
      <alignment horizontal="center" vertical="center"/>
    </xf>
    <xf numFmtId="0" fontId="0" fillId="27" borderId="43" xfId="0" applyFill="1" applyBorder="1" applyAlignment="1">
      <alignment horizontal="center" vertical="center"/>
    </xf>
    <xf numFmtId="0" fontId="0" fillId="27" borderId="0" xfId="0" applyFill="1" applyAlignment="1">
      <alignment horizontal="center" vertical="center" wrapText="1"/>
    </xf>
    <xf numFmtId="169" fontId="0" fillId="0" borderId="0" xfId="0" applyNumberFormat="1" applyAlignment="1">
      <alignment horizontal="center" vertical="center"/>
    </xf>
    <xf numFmtId="0" fontId="2" fillId="12" borderId="2" xfId="0" applyFont="1" applyFill="1" applyBorder="1" applyAlignment="1">
      <alignment horizontal="center" vertical="center" wrapText="1"/>
    </xf>
    <xf numFmtId="0" fontId="6" fillId="0" borderId="0" xfId="0" applyFont="1" applyAlignment="1">
      <alignment horizontal="center" vertical="center" wrapText="1"/>
    </xf>
    <xf numFmtId="0" fontId="6" fillId="27" borderId="0" xfId="0" applyFont="1" applyFill="1" applyAlignment="1">
      <alignment horizontal="center" vertical="center" wrapText="1"/>
    </xf>
    <xf numFmtId="0" fontId="46" fillId="0" borderId="0" xfId="0" applyFont="1" applyAlignment="1">
      <alignment horizontal="center" vertical="center"/>
    </xf>
    <xf numFmtId="0" fontId="46" fillId="0" borderId="0" xfId="0" applyFont="1" applyAlignment="1">
      <alignment horizontal="center" vertical="center" wrapText="1"/>
    </xf>
    <xf numFmtId="168" fontId="45" fillId="13" borderId="8" xfId="3" applyNumberFormat="1" applyFont="1" applyBorder="1" applyAlignment="1">
      <alignment wrapText="1"/>
    </xf>
    <xf numFmtId="0" fontId="0" fillId="31" borderId="0" xfId="0" applyFill="1" applyAlignment="1">
      <alignment horizontal="center" vertical="center"/>
    </xf>
    <xf numFmtId="0" fontId="16" fillId="31" borderId="0" xfId="0" applyFont="1" applyFill="1" applyAlignment="1">
      <alignment horizontal="center" vertical="center" wrapText="1"/>
    </xf>
    <xf numFmtId="0" fontId="39" fillId="31" borderId="6" xfId="0" applyFont="1" applyFill="1" applyBorder="1" applyAlignment="1">
      <alignment horizontal="center" vertical="center" wrapText="1"/>
    </xf>
    <xf numFmtId="0" fontId="24" fillId="31" borderId="0" xfId="0" applyFont="1" applyFill="1" applyAlignment="1">
      <alignment horizontal="center" vertical="center" wrapText="1"/>
    </xf>
    <xf numFmtId="11" fontId="0" fillId="31" borderId="0" xfId="2" applyNumberFormat="1" applyFont="1" applyFill="1" applyAlignment="1">
      <alignment horizontal="center" vertical="center"/>
    </xf>
    <xf numFmtId="2" fontId="0" fillId="31" borderId="0" xfId="0" applyNumberFormat="1" applyFill="1" applyAlignment="1">
      <alignment horizontal="center" vertical="center"/>
    </xf>
    <xf numFmtId="0" fontId="0" fillId="28" borderId="0" xfId="0" applyFill="1" applyAlignment="1">
      <alignment wrapText="1"/>
    </xf>
    <xf numFmtId="0" fontId="2" fillId="28" borderId="0" xfId="0" applyFont="1" applyFill="1" applyAlignment="1">
      <alignment wrapText="1"/>
    </xf>
    <xf numFmtId="169" fontId="0" fillId="32" borderId="0" xfId="0" applyNumberFormat="1" applyFill="1" applyAlignment="1">
      <alignment horizontal="center" vertical="center"/>
    </xf>
    <xf numFmtId="0" fontId="7" fillId="16" borderId="2" xfId="0" applyFont="1" applyFill="1" applyBorder="1" applyAlignment="1">
      <alignment horizontal="center" vertical="center" wrapText="1"/>
    </xf>
    <xf numFmtId="0" fontId="0" fillId="16" borderId="2" xfId="0" applyFill="1" applyBorder="1" applyAlignment="1">
      <alignment horizontal="center" vertical="center"/>
    </xf>
    <xf numFmtId="11" fontId="0" fillId="31" borderId="0" xfId="0" applyNumberFormat="1" applyFill="1" applyAlignment="1">
      <alignment horizontal="center" vertical="center"/>
    </xf>
    <xf numFmtId="169" fontId="24" fillId="32" borderId="2" xfId="0" applyNumberFormat="1" applyFont="1" applyFill="1" applyBorder="1" applyAlignment="1">
      <alignment horizontal="center" vertical="center"/>
    </xf>
    <xf numFmtId="0" fontId="47" fillId="28" borderId="2" xfId="0" applyFont="1" applyFill="1" applyBorder="1" applyAlignment="1">
      <alignment horizontal="center" vertical="center" wrapText="1"/>
    </xf>
    <xf numFmtId="170" fontId="47" fillId="28" borderId="2" xfId="0" applyNumberFormat="1" applyFont="1" applyFill="1" applyBorder="1" applyAlignment="1">
      <alignment horizontal="center" vertical="center"/>
    </xf>
    <xf numFmtId="0" fontId="8" fillId="28" borderId="2" xfId="0" applyFont="1" applyFill="1" applyBorder="1" applyAlignment="1">
      <alignment horizontal="center" vertical="center" wrapText="1"/>
    </xf>
    <xf numFmtId="9" fontId="47" fillId="28" borderId="2" xfId="0" applyNumberFormat="1" applyFont="1" applyFill="1" applyBorder="1" applyAlignment="1">
      <alignment horizontal="center" vertical="center"/>
    </xf>
    <xf numFmtId="0" fontId="49" fillId="28" borderId="0" xfId="0" applyFont="1" applyFill="1" applyAlignment="1">
      <alignment wrapText="1"/>
    </xf>
    <xf numFmtId="9" fontId="25" fillId="0" borderId="0" xfId="1" applyFont="1" applyAlignment="1">
      <alignment horizontal="center" vertical="center"/>
    </xf>
    <xf numFmtId="0" fontId="0" fillId="33" borderId="0" xfId="0" applyFill="1" applyAlignment="1">
      <alignment wrapText="1"/>
    </xf>
    <xf numFmtId="9" fontId="0" fillId="28" borderId="0" xfId="0" applyNumberFormat="1" applyFill="1" applyAlignment="1">
      <alignment wrapText="1"/>
    </xf>
    <xf numFmtId="0" fontId="0" fillId="8" borderId="8" xfId="0" applyFill="1" applyBorder="1" applyAlignment="1">
      <alignment horizontal="center" vertical="center"/>
    </xf>
    <xf numFmtId="0" fontId="43" fillId="8" borderId="8" xfId="0" applyFont="1" applyFill="1" applyBorder="1" applyAlignment="1">
      <alignment horizontal="center" vertical="center"/>
    </xf>
    <xf numFmtId="0" fontId="0" fillId="8" borderId="8" xfId="0" applyFill="1" applyBorder="1"/>
    <xf numFmtId="0" fontId="0" fillId="16" borderId="2" xfId="0" applyFill="1" applyBorder="1" applyAlignment="1">
      <alignment horizontal="center" vertical="center" wrapText="1"/>
    </xf>
    <xf numFmtId="0" fontId="0" fillId="16" borderId="11" xfId="0" applyFill="1" applyBorder="1" applyAlignment="1">
      <alignment horizontal="center" vertical="center" wrapText="1"/>
    </xf>
    <xf numFmtId="0" fontId="0" fillId="16" borderId="22" xfId="0" applyFill="1" applyBorder="1" applyAlignment="1">
      <alignment horizontal="center" vertical="center" wrapText="1"/>
    </xf>
    <xf numFmtId="0" fontId="0" fillId="16" borderId="11" xfId="0" applyFill="1" applyBorder="1" applyAlignment="1">
      <alignment horizontal="center" vertical="center" textRotation="90" wrapText="1"/>
    </xf>
    <xf numFmtId="0" fontId="0" fillId="16" borderId="20" xfId="0" applyFill="1" applyBorder="1" applyAlignment="1">
      <alignment horizontal="center" vertical="center" textRotation="90" wrapText="1"/>
    </xf>
    <xf numFmtId="0" fontId="23" fillId="16" borderId="20" xfId="0" applyFont="1" applyFill="1" applyBorder="1" applyAlignment="1">
      <alignment horizontal="center" vertical="center" wrapText="1"/>
    </xf>
    <xf numFmtId="0" fontId="0" fillId="16" borderId="5" xfId="0" applyFill="1" applyBorder="1" applyAlignment="1">
      <alignment horizontal="center" vertical="center" wrapText="1"/>
    </xf>
    <xf numFmtId="0" fontId="0" fillId="16" borderId="8" xfId="0" applyFill="1" applyBorder="1" applyAlignment="1">
      <alignment horizontal="center" vertical="center" wrapText="1"/>
    </xf>
    <xf numFmtId="0" fontId="0" fillId="16" borderId="20" xfId="0" applyFill="1" applyBorder="1" applyAlignment="1">
      <alignment horizontal="center" vertical="center" wrapText="1"/>
    </xf>
    <xf numFmtId="0" fontId="48" fillId="28" borderId="0" xfId="0" applyFont="1" applyFill="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0" borderId="5" xfId="0" applyFont="1" applyBorder="1" applyAlignment="1">
      <alignment horizontal="center" vertical="center"/>
    </xf>
    <xf numFmtId="0" fontId="2" fillId="0" borderId="0" xfId="0" applyFont="1" applyAlignment="1">
      <alignment horizontal="center" vertical="center" wrapText="1"/>
    </xf>
    <xf numFmtId="0" fontId="2" fillId="0" borderId="0" xfId="0" applyFont="1" applyAlignment="1">
      <alignment horizontal="center" vertical="center"/>
    </xf>
    <xf numFmtId="0" fontId="2" fillId="0" borderId="8" xfId="0" applyFont="1" applyBorder="1" applyAlignment="1">
      <alignment horizontal="center" vertical="center"/>
    </xf>
    <xf numFmtId="0" fontId="29" fillId="0" borderId="27" xfId="0" applyFont="1" applyBorder="1" applyAlignment="1">
      <alignment horizontal="center" vertical="center" wrapText="1"/>
    </xf>
    <xf numFmtId="0" fontId="29" fillId="0" borderId="28" xfId="0" applyFont="1" applyBorder="1" applyAlignment="1">
      <alignment horizontal="center" vertical="center" wrapText="1"/>
    </xf>
    <xf numFmtId="0" fontId="26" fillId="0" borderId="2" xfId="0" applyFont="1" applyBorder="1" applyAlignment="1">
      <alignment horizontal="center" vertical="center" wrapText="1"/>
    </xf>
    <xf numFmtId="0" fontId="27" fillId="34" borderId="2" xfId="0" applyFont="1" applyFill="1" applyBorder="1" applyAlignment="1">
      <alignment horizontal="center" vertical="center"/>
    </xf>
    <xf numFmtId="0" fontId="27" fillId="34" borderId="27" xfId="0" applyFont="1" applyFill="1" applyBorder="1" applyAlignment="1">
      <alignment horizontal="center" vertical="center"/>
    </xf>
    <xf numFmtId="0" fontId="26" fillId="34" borderId="2" xfId="0" applyFont="1" applyFill="1" applyBorder="1" applyAlignment="1">
      <alignment horizontal="center" vertical="center"/>
    </xf>
    <xf numFmtId="0" fontId="29" fillId="0" borderId="0" xfId="0" applyFont="1" applyAlignment="1">
      <alignment horizontal="center" vertical="center" wrapText="1"/>
    </xf>
    <xf numFmtId="0" fontId="29" fillId="0" borderId="0" xfId="0" applyFont="1" applyAlignment="1">
      <alignment horizontal="center" vertical="center"/>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51" fillId="16" borderId="11" xfId="0" applyFont="1" applyFill="1" applyBorder="1" applyAlignment="1">
      <alignment horizontal="center" vertical="center" textRotation="90" wrapText="1"/>
    </xf>
    <xf numFmtId="0" fontId="51" fillId="16" borderId="23" xfId="0" applyFont="1" applyFill="1" applyBorder="1" applyAlignment="1">
      <alignment horizontal="center" vertical="center" textRotation="90" wrapText="1"/>
    </xf>
    <xf numFmtId="0" fontId="51" fillId="16" borderId="20" xfId="0" applyFont="1" applyFill="1" applyBorder="1" applyAlignment="1">
      <alignment horizontal="center" vertical="center" textRotation="90" wrapText="1"/>
    </xf>
    <xf numFmtId="0" fontId="0" fillId="16" borderId="29" xfId="0" applyFill="1" applyBorder="1" applyAlignment="1">
      <alignment horizontal="center" vertical="center" wrapText="1"/>
    </xf>
    <xf numFmtId="0" fontId="0" fillId="16" borderId="46" xfId="0" applyFill="1" applyBorder="1" applyAlignment="1">
      <alignment horizontal="center" vertical="center" wrapText="1"/>
    </xf>
    <xf numFmtId="0" fontId="0" fillId="16" borderId="2" xfId="0" applyFill="1" applyBorder="1" applyAlignment="1">
      <alignment horizontal="center" vertical="center" textRotation="90" wrapText="1"/>
    </xf>
    <xf numFmtId="0" fontId="11" fillId="4" borderId="0" xfId="0" applyFont="1" applyFill="1" applyAlignment="1">
      <alignment horizontal="center" vertical="center" wrapText="1"/>
    </xf>
    <xf numFmtId="0" fontId="0" fillId="16" borderId="11" xfId="0" applyFill="1" applyBorder="1" applyAlignment="1">
      <alignment horizontal="center" vertical="center" wrapText="1"/>
    </xf>
    <xf numFmtId="0" fontId="0" fillId="16" borderId="22" xfId="0" applyFill="1" applyBorder="1" applyAlignment="1">
      <alignment horizontal="center" vertical="center" wrapText="1"/>
    </xf>
    <xf numFmtId="0" fontId="23" fillId="16" borderId="24" xfId="0" applyFont="1" applyFill="1" applyBorder="1" applyAlignment="1">
      <alignment horizontal="center" vertical="center" wrapText="1"/>
    </xf>
    <xf numFmtId="0" fontId="23" fillId="16" borderId="23" xfId="0" applyFont="1" applyFill="1" applyBorder="1" applyAlignment="1">
      <alignment horizontal="center" vertical="center" wrapText="1"/>
    </xf>
    <xf numFmtId="0" fontId="23" fillId="16" borderId="20" xfId="0" applyFont="1" applyFill="1" applyBorder="1" applyAlignment="1">
      <alignment horizontal="center" vertical="center" wrapText="1"/>
    </xf>
    <xf numFmtId="0" fontId="0" fillId="16" borderId="3" xfId="0" applyFill="1" applyBorder="1" applyAlignment="1">
      <alignment horizontal="center" vertical="center" wrapText="1"/>
    </xf>
    <xf numFmtId="0" fontId="0" fillId="16" borderId="5" xfId="0" applyFill="1" applyBorder="1" applyAlignment="1">
      <alignment horizontal="center" vertical="center" wrapText="1"/>
    </xf>
    <xf numFmtId="0" fontId="0" fillId="16" borderId="8" xfId="0" applyFill="1" applyBorder="1" applyAlignment="1">
      <alignment horizontal="center" vertical="center" wrapText="1"/>
    </xf>
    <xf numFmtId="0" fontId="0" fillId="16" borderId="27" xfId="0" applyFill="1" applyBorder="1" applyAlignment="1">
      <alignment horizontal="center" vertical="center" textRotation="90" wrapText="1"/>
    </xf>
    <xf numFmtId="0" fontId="0" fillId="16" borderId="44" xfId="0" applyFill="1" applyBorder="1" applyAlignment="1">
      <alignment horizontal="center" vertical="center" textRotation="90" wrapText="1"/>
    </xf>
    <xf numFmtId="0" fontId="0" fillId="16" borderId="28" xfId="0" applyFill="1" applyBorder="1" applyAlignment="1">
      <alignment horizontal="center" vertical="center" textRotation="90" wrapText="1"/>
    </xf>
    <xf numFmtId="0" fontId="0" fillId="16" borderId="2" xfId="0" applyFill="1" applyBorder="1" applyAlignment="1">
      <alignment horizontal="center" vertical="center" wrapText="1"/>
    </xf>
    <xf numFmtId="0" fontId="0" fillId="16" borderId="20" xfId="0" applyFill="1" applyBorder="1" applyAlignment="1">
      <alignment horizontal="center" vertical="center" wrapText="1"/>
    </xf>
    <xf numFmtId="0" fontId="23" fillId="16" borderId="11" xfId="0" applyFont="1" applyFill="1" applyBorder="1" applyAlignment="1">
      <alignment horizontal="center" vertical="center" wrapText="1"/>
    </xf>
    <xf numFmtId="0" fontId="50" fillId="28" borderId="0" xfId="0" applyFont="1" applyFill="1" applyAlignment="1">
      <alignment horizontal="center" vertical="center" wrapText="1"/>
    </xf>
    <xf numFmtId="0" fontId="0" fillId="28" borderId="0" xfId="0" applyFill="1" applyAlignment="1">
      <alignment horizontal="center" vertical="center" wrapText="1"/>
    </xf>
    <xf numFmtId="9" fontId="48" fillId="28" borderId="0" xfId="0" applyNumberFormat="1" applyFont="1" applyFill="1" applyAlignment="1">
      <alignment horizontal="center" vertical="center" wrapText="1"/>
    </xf>
    <xf numFmtId="0" fontId="48" fillId="28" borderId="0" xfId="0" applyFont="1" applyFill="1" applyAlignment="1">
      <alignment horizontal="center" vertical="center" wrapText="1"/>
    </xf>
    <xf numFmtId="0" fontId="0" fillId="5" borderId="2" xfId="0" applyFill="1" applyBorder="1" applyAlignment="1">
      <alignment horizontal="center" vertical="center" textRotation="90" wrapText="1"/>
    </xf>
    <xf numFmtId="0" fontId="28" fillId="18" borderId="25" xfId="0" applyFont="1" applyFill="1" applyBorder="1" applyAlignment="1">
      <alignment horizontal="center" vertical="center" wrapText="1"/>
    </xf>
    <xf numFmtId="0" fontId="28" fillId="18" borderId="26" xfId="0" applyFont="1" applyFill="1" applyBorder="1" applyAlignment="1">
      <alignment horizontal="center" vertical="center" wrapText="1"/>
    </xf>
    <xf numFmtId="0" fontId="0" fillId="16" borderId="39" xfId="0" applyFill="1" applyBorder="1" applyAlignment="1">
      <alignment horizontal="center" vertical="center" wrapText="1"/>
    </xf>
    <xf numFmtId="0" fontId="0" fillId="16" borderId="40" xfId="0" applyFill="1" applyBorder="1" applyAlignment="1">
      <alignment horizontal="center" vertical="center" wrapText="1"/>
    </xf>
    <xf numFmtId="0" fontId="0" fillId="16" borderId="11" xfId="0" applyFill="1" applyBorder="1" applyAlignment="1">
      <alignment horizontal="center" vertical="center" textRotation="90" wrapText="1"/>
    </xf>
    <xf numFmtId="0" fontId="0" fillId="16" borderId="20" xfId="0" applyFill="1" applyBorder="1" applyAlignment="1">
      <alignment horizontal="center" vertical="center" textRotation="90" wrapText="1"/>
    </xf>
    <xf numFmtId="0" fontId="0" fillId="16" borderId="15" xfId="0" applyFill="1" applyBorder="1" applyAlignment="1">
      <alignment horizontal="center" vertical="center" textRotation="90" wrapText="1"/>
    </xf>
    <xf numFmtId="0" fontId="47" fillId="0" borderId="3" xfId="0" applyFont="1" applyBorder="1" applyAlignment="1">
      <alignment horizontal="center" vertical="center"/>
    </xf>
    <xf numFmtId="0" fontId="47" fillId="0" borderId="4" xfId="0" applyFont="1" applyBorder="1" applyAlignment="1">
      <alignment horizontal="center" vertical="center"/>
    </xf>
    <xf numFmtId="0" fontId="47" fillId="0" borderId="5"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16" borderId="42" xfId="0" applyFont="1" applyFill="1" applyBorder="1" applyAlignment="1">
      <alignment horizontal="center" vertical="center" wrapText="1"/>
    </xf>
    <xf numFmtId="0" fontId="2" fillId="16" borderId="0" xfId="0" applyFont="1" applyFill="1" applyAlignment="1">
      <alignment horizontal="center" vertical="center" wrapText="1"/>
    </xf>
    <xf numFmtId="0" fontId="36" fillId="20" borderId="2" xfId="0" applyFont="1" applyFill="1" applyBorder="1" applyAlignment="1"/>
    <xf numFmtId="0" fontId="41" fillId="21" borderId="33" xfId="0" applyFont="1" applyFill="1" applyBorder="1" applyAlignment="1">
      <alignment horizontal="center" wrapText="1"/>
    </xf>
    <xf numFmtId="0" fontId="41" fillId="21" borderId="34" xfId="0" applyFont="1" applyFill="1" applyBorder="1" applyAlignment="1">
      <alignment horizontal="center" wrapText="1"/>
    </xf>
    <xf numFmtId="0" fontId="41" fillId="21" borderId="32" xfId="0" applyFont="1" applyFill="1" applyBorder="1" applyAlignment="1">
      <alignment horizontal="center" wrapText="1"/>
    </xf>
    <xf numFmtId="0" fontId="41" fillId="22" borderId="33" xfId="0" applyFont="1" applyFill="1" applyBorder="1" applyAlignment="1">
      <alignment horizontal="center" wrapText="1"/>
    </xf>
    <xf numFmtId="0" fontId="41" fillId="22" borderId="34" xfId="0" applyFont="1" applyFill="1" applyBorder="1" applyAlignment="1">
      <alignment horizontal="center" wrapText="1"/>
    </xf>
    <xf numFmtId="0" fontId="41" fillId="22" borderId="32" xfId="0" applyFont="1" applyFill="1" applyBorder="1" applyAlignment="1">
      <alignment horizontal="center" wrapText="1"/>
    </xf>
    <xf numFmtId="0" fontId="0" fillId="26" borderId="2" xfId="0" applyFill="1" applyBorder="1" applyAlignment="1">
      <alignment horizontal="center"/>
    </xf>
    <xf numFmtId="0" fontId="0" fillId="16" borderId="23" xfId="0" applyFill="1" applyBorder="1" applyAlignment="1">
      <alignment horizontal="center" vertical="center" textRotation="90" wrapText="1"/>
    </xf>
    <xf numFmtId="0" fontId="2" fillId="5" borderId="2" xfId="0" applyFont="1" applyFill="1" applyBorder="1" applyAlignment="1">
      <alignment horizontal="center" vertical="center" textRotation="90" wrapText="1"/>
    </xf>
    <xf numFmtId="0" fontId="44" fillId="0" borderId="0" xfId="0" applyFont="1" applyAlignment="1">
      <alignment horizontal="center" vertical="center"/>
    </xf>
    <xf numFmtId="0" fontId="2" fillId="0" borderId="0" xfId="0" applyFont="1" applyAlignment="1">
      <alignment horizontal="center" vertical="center"/>
    </xf>
    <xf numFmtId="0" fontId="2" fillId="17" borderId="8" xfId="0" applyFont="1" applyFill="1" applyBorder="1" applyAlignment="1">
      <alignment horizontal="center" vertical="center" textRotation="90" wrapText="1"/>
    </xf>
    <xf numFmtId="0" fontId="2" fillId="2" borderId="11"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9" fillId="6" borderId="3" xfId="0" applyFont="1" applyFill="1" applyBorder="1" applyAlignment="1">
      <alignment horizontal="center" vertical="center" wrapText="1"/>
    </xf>
    <xf numFmtId="0" fontId="9" fillId="6" borderId="4" xfId="0" applyFont="1" applyFill="1" applyBorder="1" applyAlignment="1">
      <alignment horizontal="center" vertical="center" wrapText="1"/>
    </xf>
    <xf numFmtId="0" fontId="9" fillId="6" borderId="5"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9" fillId="2" borderId="10"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9" fillId="0" borderId="8" xfId="0" applyFont="1" applyBorder="1" applyAlignment="1">
      <alignment horizontal="center" vertical="center" wrapText="1"/>
    </xf>
    <xf numFmtId="0" fontId="2" fillId="0" borderId="8" xfId="0" applyFont="1" applyBorder="1" applyAlignment="1">
      <alignment horizontal="center" vertical="center" wrapText="1"/>
    </xf>
    <xf numFmtId="0" fontId="2" fillId="0" borderId="8" xfId="0" applyFont="1" applyBorder="1" applyAlignment="1">
      <alignment horizontal="center" vertical="center"/>
    </xf>
    <xf numFmtId="0" fontId="29" fillId="0" borderId="27" xfId="0" applyFont="1" applyBorder="1" applyAlignment="1">
      <alignment horizontal="center" vertical="center" wrapText="1"/>
    </xf>
    <xf numFmtId="0" fontId="29" fillId="0" borderId="28" xfId="0" applyFont="1" applyBorder="1" applyAlignment="1">
      <alignment horizontal="center" vertical="center" wrapText="1"/>
    </xf>
    <xf numFmtId="0" fontId="0" fillId="0" borderId="0" xfId="0" applyAlignment="1">
      <alignment horizontal="center"/>
    </xf>
    <xf numFmtId="0" fontId="12" fillId="4" borderId="0" xfId="0" applyFont="1" applyFill="1" applyAlignment="1">
      <alignment horizontal="center"/>
    </xf>
    <xf numFmtId="0" fontId="14" fillId="7" borderId="0" xfId="0" applyFont="1" applyFill="1" applyAlignment="1">
      <alignment horizontal="center"/>
    </xf>
    <xf numFmtId="0" fontId="2" fillId="2" borderId="7" xfId="0" applyFont="1" applyFill="1" applyBorder="1" applyAlignment="1">
      <alignment horizontal="center" vertical="center" wrapText="1"/>
    </xf>
    <xf numFmtId="0" fontId="2" fillId="2" borderId="0" xfId="0" applyFont="1" applyFill="1" applyAlignment="1">
      <alignment horizontal="center" vertical="center" wrapText="1"/>
    </xf>
    <xf numFmtId="0" fontId="2" fillId="0" borderId="0" xfId="0" applyFont="1" applyAlignment="1">
      <alignment vertical="center" wrapText="1"/>
    </xf>
    <xf numFmtId="0" fontId="36" fillId="35" borderId="0" xfId="0" applyFont="1" applyFill="1" applyBorder="1" applyAlignment="1"/>
    <xf numFmtId="0" fontId="36" fillId="35" borderId="36" xfId="0" applyFont="1" applyFill="1" applyBorder="1" applyAlignment="1"/>
    <xf numFmtId="0" fontId="33" fillId="35" borderId="0" xfId="0" applyFont="1" applyFill="1" applyBorder="1" applyAlignment="1"/>
    <xf numFmtId="0" fontId="33" fillId="35" borderId="36" xfId="0" applyFont="1" applyFill="1" applyBorder="1" applyAlignment="1"/>
    <xf numFmtId="0" fontId="33" fillId="35" borderId="18" xfId="0" applyFont="1" applyFill="1" applyBorder="1" applyAlignment="1"/>
    <xf numFmtId="0" fontId="33" fillId="35" borderId="38" xfId="0" applyFont="1" applyFill="1" applyBorder="1" applyAlignment="1"/>
    <xf numFmtId="0" fontId="36" fillId="35" borderId="35" xfId="0" applyFont="1" applyFill="1" applyBorder="1" applyAlignment="1">
      <alignment wrapText="1"/>
    </xf>
    <xf numFmtId="0" fontId="33" fillId="35" borderId="35" xfId="0" applyFont="1" applyFill="1" applyBorder="1" applyAlignment="1">
      <alignment wrapText="1"/>
    </xf>
    <xf numFmtId="0" fontId="33" fillId="35" borderId="37" xfId="0" applyFont="1" applyFill="1" applyBorder="1" applyAlignment="1">
      <alignment wrapText="1"/>
    </xf>
    <xf numFmtId="0" fontId="0" fillId="5" borderId="3" xfId="0" applyFill="1" applyBorder="1" applyAlignment="1">
      <alignment horizontal="center" vertical="center" wrapText="1"/>
    </xf>
    <xf numFmtId="0" fontId="16" fillId="0" borderId="0" xfId="0" applyFont="1" applyAlignment="1">
      <alignment horizontal="right" wrapText="1"/>
    </xf>
  </cellXfs>
  <cellStyles count="4">
    <cellStyle name="20% - Accent4" xfId="3" builtinId="42"/>
    <cellStyle name="Comma" xfId="2" builtinId="3"/>
    <cellStyle name="Normal" xfId="0" builtinId="0"/>
    <cellStyle name="Percent" xfId="1" builtinId="5"/>
  </cellStyles>
  <dxfs count="0"/>
  <tableStyles count="0" defaultTableStyle="TableStyleMedium2" defaultPivotStyle="PivotStyleLight16"/>
  <colors>
    <mruColors>
      <color rgb="FFFCFD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ja-JP"/>
              <a:t>Pressure vs Flow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'Flow Rate'!$F$17</c:f>
              <c:strCache>
                <c:ptCount val="1"/>
                <c:pt idx="0">
                  <c:v>[Pa]</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0"/>
            <c:dispEq val="0"/>
          </c:trendline>
          <c:trendline>
            <c:spPr>
              <a:ln w="19050" cap="rnd">
                <a:solidFill>
                  <a:schemeClr val="accent1"/>
                </a:solidFill>
                <a:prstDash val="sysDot"/>
              </a:ln>
              <a:effectLst/>
            </c:spPr>
            <c:trendlineType val="power"/>
            <c:dispRSqr val="0"/>
            <c:dispEq val="0"/>
          </c:trendline>
          <c:trendline>
            <c:spPr>
              <a:ln w="19050" cap="rnd">
                <a:solidFill>
                  <a:schemeClr val="accent1"/>
                </a:solidFill>
                <a:prstDash val="sysDot"/>
              </a:ln>
              <a:effectLst/>
            </c:spPr>
            <c:trendlineType val="poly"/>
            <c:order val="2"/>
            <c:dispRSqr val="0"/>
            <c:dispEq val="1"/>
            <c:trendlineLbl>
              <c:layout>
                <c:manualLayout>
                  <c:x val="-0.51654601752668017"/>
                  <c:y val="-0.6212007805201986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'Flow Rate'!$E$18:$E$33</c:f>
              <c:numCache>
                <c:formatCode>General</c:formatCode>
                <c:ptCount val="16"/>
                <c:pt idx="0">
                  <c:v>0</c:v>
                </c:pt>
                <c:pt idx="1">
                  <c:v>3.7699111843077522</c:v>
                </c:pt>
                <c:pt idx="2">
                  <c:v>7.5398223686155044</c:v>
                </c:pt>
                <c:pt idx="3">
                  <c:v>11.309733552923257</c:v>
                </c:pt>
                <c:pt idx="4">
                  <c:v>15.079644737231009</c:v>
                </c:pt>
                <c:pt idx="5">
                  <c:v>18.849555921538759</c:v>
                </c:pt>
                <c:pt idx="6">
                  <c:v>22.619467105846507</c:v>
                </c:pt>
                <c:pt idx="7">
                  <c:v>26.389378290154262</c:v>
                </c:pt>
                <c:pt idx="8">
                  <c:v>30.15928947446201</c:v>
                </c:pt>
                <c:pt idx="9">
                  <c:v>33.929200658769766</c:v>
                </c:pt>
                <c:pt idx="10">
                  <c:v>37.69911184307751</c:v>
                </c:pt>
                <c:pt idx="11">
                  <c:v>41.469023027385262</c:v>
                </c:pt>
                <c:pt idx="12">
                  <c:v>45.238934211693014</c:v>
                </c:pt>
                <c:pt idx="13">
                  <c:v>49.008845396000773</c:v>
                </c:pt>
                <c:pt idx="14">
                  <c:v>52.778756580308531</c:v>
                </c:pt>
                <c:pt idx="15">
                  <c:v>56.548667764616283</c:v>
                </c:pt>
              </c:numCache>
            </c:numRef>
          </c:xVal>
          <c:yVal>
            <c:numRef>
              <c:f>'Flow Rate'!$F$18:$F$33</c:f>
              <c:numCache>
                <c:formatCode>General</c:formatCode>
                <c:ptCount val="16"/>
                <c:pt idx="0">
                  <c:v>255060</c:v>
                </c:pt>
                <c:pt idx="1">
                  <c:v>255060</c:v>
                </c:pt>
                <c:pt idx="2">
                  <c:v>255060</c:v>
                </c:pt>
                <c:pt idx="3">
                  <c:v>255060</c:v>
                </c:pt>
                <c:pt idx="4">
                  <c:v>255060</c:v>
                </c:pt>
                <c:pt idx="5">
                  <c:v>255060</c:v>
                </c:pt>
                <c:pt idx="6">
                  <c:v>255060</c:v>
                </c:pt>
                <c:pt idx="7">
                  <c:v>255060</c:v>
                </c:pt>
                <c:pt idx="8">
                  <c:v>255060</c:v>
                </c:pt>
                <c:pt idx="9">
                  <c:v>255060</c:v>
                </c:pt>
                <c:pt idx="10">
                  <c:v>255060</c:v>
                </c:pt>
                <c:pt idx="11">
                  <c:v>255060</c:v>
                </c:pt>
                <c:pt idx="12">
                  <c:v>255060</c:v>
                </c:pt>
                <c:pt idx="13">
                  <c:v>255060</c:v>
                </c:pt>
                <c:pt idx="14">
                  <c:v>255060</c:v>
                </c:pt>
                <c:pt idx="15">
                  <c:v>255060</c:v>
                </c:pt>
              </c:numCache>
            </c:numRef>
          </c:yVal>
          <c:smooth val="0"/>
          <c:extLst>
            <c:ext xmlns:c16="http://schemas.microsoft.com/office/drawing/2014/chart" uri="{C3380CC4-5D6E-409C-BE32-E72D297353CC}">
              <c16:uniqueId val="{00000000-FA71-4EF6-9616-F36AB3491956}"/>
            </c:ext>
          </c:extLst>
        </c:ser>
        <c:ser>
          <c:idx val="1"/>
          <c:order val="1"/>
          <c:tx>
            <c:strRef>
              <c:f>'Flow Rate'!$G$17</c:f>
              <c:strCache>
                <c:ptCount val="1"/>
                <c:pt idx="0">
                  <c:v>[Pa]</c:v>
                </c:pt>
              </c:strCache>
            </c:strRef>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poly"/>
            <c:order val="2"/>
            <c:dispRSqr val="0"/>
            <c:dispEq val="1"/>
            <c:trendlineLbl>
              <c:layout>
                <c:manualLayout>
                  <c:x val="0.12508524414726976"/>
                  <c:y val="-0.1282484316440713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'Flow Rate'!$E$18:$E$33</c:f>
              <c:numCache>
                <c:formatCode>General</c:formatCode>
                <c:ptCount val="16"/>
                <c:pt idx="0">
                  <c:v>0</c:v>
                </c:pt>
                <c:pt idx="1">
                  <c:v>3.7699111843077522</c:v>
                </c:pt>
                <c:pt idx="2">
                  <c:v>7.5398223686155044</c:v>
                </c:pt>
                <c:pt idx="3">
                  <c:v>11.309733552923257</c:v>
                </c:pt>
                <c:pt idx="4">
                  <c:v>15.079644737231009</c:v>
                </c:pt>
                <c:pt idx="5">
                  <c:v>18.849555921538759</c:v>
                </c:pt>
                <c:pt idx="6">
                  <c:v>22.619467105846507</c:v>
                </c:pt>
                <c:pt idx="7">
                  <c:v>26.389378290154262</c:v>
                </c:pt>
                <c:pt idx="8">
                  <c:v>30.15928947446201</c:v>
                </c:pt>
                <c:pt idx="9">
                  <c:v>33.929200658769766</c:v>
                </c:pt>
                <c:pt idx="10">
                  <c:v>37.69911184307751</c:v>
                </c:pt>
                <c:pt idx="11">
                  <c:v>41.469023027385262</c:v>
                </c:pt>
                <c:pt idx="12">
                  <c:v>45.238934211693014</c:v>
                </c:pt>
                <c:pt idx="13">
                  <c:v>49.008845396000773</c:v>
                </c:pt>
                <c:pt idx="14">
                  <c:v>52.778756580308531</c:v>
                </c:pt>
                <c:pt idx="15">
                  <c:v>56.548667764616283</c:v>
                </c:pt>
              </c:numCache>
            </c:numRef>
          </c:xVal>
          <c:yVal>
            <c:numRef>
              <c:f>'Flow Rate'!$G$18:$G$33</c:f>
              <c:numCache>
                <c:formatCode>General</c:formatCode>
                <c:ptCount val="16"/>
                <c:pt idx="0">
                  <c:v>0</c:v>
                </c:pt>
                <c:pt idx="1">
                  <c:v>2276.6559657295188</c:v>
                </c:pt>
                <c:pt idx="2">
                  <c:v>9106.6238629180752</c:v>
                </c:pt>
                <c:pt idx="3">
                  <c:v>20489.903691565672</c:v>
                </c:pt>
                <c:pt idx="4">
                  <c:v>36426.495451672301</c:v>
                </c:pt>
                <c:pt idx="5">
                  <c:v>56916.399143237963</c:v>
                </c:pt>
                <c:pt idx="6">
                  <c:v>81959.614766262661</c:v>
                </c:pt>
                <c:pt idx="7">
                  <c:v>111556.1423207464</c:v>
                </c:pt>
                <c:pt idx="8">
                  <c:v>145705.98180668915</c:v>
                </c:pt>
                <c:pt idx="9">
                  <c:v>184409.13322409097</c:v>
                </c:pt>
                <c:pt idx="10">
                  <c:v>227665.59657295179</c:v>
                </c:pt>
                <c:pt idx="11">
                  <c:v>275475.37185327167</c:v>
                </c:pt>
                <c:pt idx="12">
                  <c:v>327838.45906505064</c:v>
                </c:pt>
                <c:pt idx="13">
                  <c:v>384754.85820828867</c:v>
                </c:pt>
                <c:pt idx="14">
                  <c:v>446224.5692829857</c:v>
                </c:pt>
                <c:pt idx="15">
                  <c:v>512247.59228914184</c:v>
                </c:pt>
              </c:numCache>
            </c:numRef>
          </c:yVal>
          <c:smooth val="0"/>
          <c:extLst>
            <c:ext xmlns:c16="http://schemas.microsoft.com/office/drawing/2014/chart" uri="{C3380CC4-5D6E-409C-BE32-E72D297353CC}">
              <c16:uniqueId val="{00000002-FA71-4EF6-9616-F36AB3491956}"/>
            </c:ext>
          </c:extLst>
        </c:ser>
        <c:dLbls>
          <c:showLegendKey val="0"/>
          <c:showVal val="0"/>
          <c:showCatName val="0"/>
          <c:showSerName val="0"/>
          <c:showPercent val="0"/>
          <c:showBubbleSize val="0"/>
        </c:dLbls>
        <c:axId val="1658401288"/>
        <c:axId val="1658403336"/>
      </c:scatterChart>
      <c:valAx>
        <c:axId val="16584012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Flow Rate (L/min)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403336"/>
        <c:crosses val="autoZero"/>
        <c:crossBetween val="midCat"/>
      </c:valAx>
      <c:valAx>
        <c:axId val="16584033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Pressure (Pa)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401288"/>
        <c:crosses val="autoZero"/>
        <c:crossBetween val="midCat"/>
      </c:valAx>
      <c:spPr>
        <a:noFill/>
        <a:ln>
          <a:noFill/>
        </a:ln>
        <a:effectLst/>
      </c:spPr>
    </c:plotArea>
    <c:legend>
      <c:legendPos val="b"/>
      <c:legendEntry>
        <c:idx val="2"/>
        <c:delete val="1"/>
      </c:legendEntry>
      <c:legendEntry>
        <c:idx val="3"/>
        <c:delete val="1"/>
      </c:legendEntry>
      <c:layout>
        <c:manualLayout>
          <c:xMode val="edge"/>
          <c:yMode val="edge"/>
          <c:x val="0.18916914542431598"/>
          <c:y val="0.87046549907840454"/>
          <c:w val="0.6750934262014332"/>
          <c:h val="6.43474475128168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'Flow Rate'!$W$17</c:f>
              <c:strCache>
                <c:ptCount val="1"/>
                <c:pt idx="0">
                  <c:v>[Pa]</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'Flow Rate'!$V$18:$V$33</c:f>
              <c:numCache>
                <c:formatCode>General</c:formatCode>
                <c:ptCount val="16"/>
                <c:pt idx="0">
                  <c:v>0</c:v>
                </c:pt>
                <c:pt idx="1">
                  <c:v>3.7699111843077522</c:v>
                </c:pt>
                <c:pt idx="2">
                  <c:v>7.5398223686155044</c:v>
                </c:pt>
                <c:pt idx="3">
                  <c:v>11.309733552923257</c:v>
                </c:pt>
                <c:pt idx="4">
                  <c:v>15.079644737231009</c:v>
                </c:pt>
                <c:pt idx="5">
                  <c:v>18.849555921538759</c:v>
                </c:pt>
                <c:pt idx="6">
                  <c:v>22.619467105846507</c:v>
                </c:pt>
                <c:pt idx="7">
                  <c:v>26.389378290154262</c:v>
                </c:pt>
                <c:pt idx="8">
                  <c:v>30.15928947446201</c:v>
                </c:pt>
                <c:pt idx="9">
                  <c:v>33.929200658769766</c:v>
                </c:pt>
                <c:pt idx="10">
                  <c:v>37.69911184307751</c:v>
                </c:pt>
                <c:pt idx="11">
                  <c:v>41.469023027385262</c:v>
                </c:pt>
                <c:pt idx="12">
                  <c:v>45.238934211693014</c:v>
                </c:pt>
                <c:pt idx="13">
                  <c:v>49.008845396000773</c:v>
                </c:pt>
                <c:pt idx="14">
                  <c:v>52.778756580308531</c:v>
                </c:pt>
                <c:pt idx="15">
                  <c:v>56.548667764616283</c:v>
                </c:pt>
              </c:numCache>
            </c:numRef>
          </c:xVal>
          <c:yVal>
            <c:numRef>
              <c:f>'Flow Rate'!$W$18:$W$33</c:f>
              <c:numCache>
                <c:formatCode>General</c:formatCode>
                <c:ptCount val="16"/>
                <c:pt idx="0">
                  <c:v>255060</c:v>
                </c:pt>
                <c:pt idx="1">
                  <c:v>260085.25596572954</c:v>
                </c:pt>
                <c:pt idx="2">
                  <c:v>269663.82386291807</c:v>
                </c:pt>
                <c:pt idx="3">
                  <c:v>283795.70369156566</c:v>
                </c:pt>
                <c:pt idx="4">
                  <c:v>302480.89545167232</c:v>
                </c:pt>
                <c:pt idx="5">
                  <c:v>325719.39914323797</c:v>
                </c:pt>
                <c:pt idx="6">
                  <c:v>353511.21476626262</c:v>
                </c:pt>
                <c:pt idx="7">
                  <c:v>385856.34232074639</c:v>
                </c:pt>
                <c:pt idx="8">
                  <c:v>422754.78180668916</c:v>
                </c:pt>
                <c:pt idx="9">
                  <c:v>464206.53322409093</c:v>
                </c:pt>
                <c:pt idx="10">
                  <c:v>510211.59657295176</c:v>
                </c:pt>
                <c:pt idx="11">
                  <c:v>560769.97185327159</c:v>
                </c:pt>
                <c:pt idx="12">
                  <c:v>615881.65906505054</c:v>
                </c:pt>
                <c:pt idx="13">
                  <c:v>675546.65820828872</c:v>
                </c:pt>
                <c:pt idx="14">
                  <c:v>739764.96928298578</c:v>
                </c:pt>
                <c:pt idx="15">
                  <c:v>808536.59228914173</c:v>
                </c:pt>
              </c:numCache>
            </c:numRef>
          </c:yVal>
          <c:smooth val="1"/>
          <c:extLst>
            <c:ext xmlns:c16="http://schemas.microsoft.com/office/drawing/2014/chart" uri="{C3380CC4-5D6E-409C-BE32-E72D297353CC}">
              <c16:uniqueId val="{00000000-BF3D-43F3-A0DE-461FB029D318}"/>
            </c:ext>
          </c:extLst>
        </c:ser>
        <c:ser>
          <c:idx val="1"/>
          <c:order val="1"/>
          <c:tx>
            <c:strRef>
              <c:f>'Flow Rate'!$X$17</c:f>
              <c:strCache>
                <c:ptCount val="1"/>
                <c:pt idx="0">
                  <c:v>[Pa]</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'Flow Rate'!$V$18:$V$33</c:f>
              <c:numCache>
                <c:formatCode>General</c:formatCode>
                <c:ptCount val="16"/>
                <c:pt idx="0">
                  <c:v>0</c:v>
                </c:pt>
                <c:pt idx="1">
                  <c:v>3.7699111843077522</c:v>
                </c:pt>
                <c:pt idx="2">
                  <c:v>7.5398223686155044</c:v>
                </c:pt>
                <c:pt idx="3">
                  <c:v>11.309733552923257</c:v>
                </c:pt>
                <c:pt idx="4">
                  <c:v>15.079644737231009</c:v>
                </c:pt>
                <c:pt idx="5">
                  <c:v>18.849555921538759</c:v>
                </c:pt>
                <c:pt idx="6">
                  <c:v>22.619467105846507</c:v>
                </c:pt>
                <c:pt idx="7">
                  <c:v>26.389378290154262</c:v>
                </c:pt>
                <c:pt idx="8">
                  <c:v>30.15928947446201</c:v>
                </c:pt>
                <c:pt idx="9">
                  <c:v>33.929200658769766</c:v>
                </c:pt>
                <c:pt idx="10">
                  <c:v>37.69911184307751</c:v>
                </c:pt>
                <c:pt idx="11">
                  <c:v>41.469023027385262</c:v>
                </c:pt>
                <c:pt idx="12">
                  <c:v>45.238934211693014</c:v>
                </c:pt>
                <c:pt idx="13">
                  <c:v>49.008845396000773</c:v>
                </c:pt>
                <c:pt idx="14">
                  <c:v>52.778756580308531</c:v>
                </c:pt>
                <c:pt idx="15">
                  <c:v>56.548667764616283</c:v>
                </c:pt>
              </c:numCache>
            </c:numRef>
          </c:xVal>
          <c:yVal>
            <c:numRef>
              <c:f>'Flow Rate'!$X$18:$X$33</c:f>
              <c:numCache>
                <c:formatCode>General</c:formatCode>
                <c:ptCount val="16"/>
                <c:pt idx="0">
                  <c:v>356800</c:v>
                </c:pt>
                <c:pt idx="1">
                  <c:v>354505.91231263854</c:v>
                </c:pt>
                <c:pt idx="2">
                  <c:v>351782.61526908254</c:v>
                </c:pt>
                <c:pt idx="3">
                  <c:v>348630.10886933195</c:v>
                </c:pt>
                <c:pt idx="4">
                  <c:v>345048.39311338682</c:v>
                </c:pt>
                <c:pt idx="5">
                  <c:v>341037.46800124709</c:v>
                </c:pt>
                <c:pt idx="6">
                  <c:v>336597.33353291271</c:v>
                </c:pt>
                <c:pt idx="7">
                  <c:v>331727.98970838386</c:v>
                </c:pt>
                <c:pt idx="8">
                  <c:v>326429.43652766041</c:v>
                </c:pt>
                <c:pt idx="9">
                  <c:v>320701.67399074242</c:v>
                </c:pt>
                <c:pt idx="10">
                  <c:v>314544.70209762972</c:v>
                </c:pt>
                <c:pt idx="11">
                  <c:v>307958.52084832254</c:v>
                </c:pt>
                <c:pt idx="12">
                  <c:v>300943.13024282083</c:v>
                </c:pt>
                <c:pt idx="13">
                  <c:v>293498.53028112446</c:v>
                </c:pt>
                <c:pt idx="14">
                  <c:v>285624.72096323356</c:v>
                </c:pt>
                <c:pt idx="15">
                  <c:v>277321.70228914812</c:v>
                </c:pt>
              </c:numCache>
            </c:numRef>
          </c:yVal>
          <c:smooth val="1"/>
          <c:extLst>
            <c:ext xmlns:c16="http://schemas.microsoft.com/office/drawing/2014/chart" uri="{C3380CC4-5D6E-409C-BE32-E72D297353CC}">
              <c16:uniqueId val="{00000002-BF3D-43F3-A0DE-461FB029D318}"/>
            </c:ext>
          </c:extLst>
        </c:ser>
        <c:dLbls>
          <c:showLegendKey val="0"/>
          <c:showVal val="0"/>
          <c:showCatName val="0"/>
          <c:showSerName val="0"/>
          <c:showPercent val="0"/>
          <c:showBubbleSize val="0"/>
        </c:dLbls>
        <c:axId val="1722029575"/>
        <c:axId val="1722040327"/>
      </c:scatterChart>
      <c:valAx>
        <c:axId val="17220295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040327"/>
        <c:crosses val="autoZero"/>
        <c:crossBetween val="midCat"/>
      </c:valAx>
      <c:valAx>
        <c:axId val="1722040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02957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'Solar Energy Model'!$H$21:$H$386</c:f>
              <c:numCache>
                <c:formatCode>0.00</c:formatCode>
                <c:ptCount val="366"/>
                <c:pt idx="0">
                  <c:v>1030.7174603174603</c:v>
                </c:pt>
                <c:pt idx="1">
                  <c:v>1085.5428571428572</c:v>
                </c:pt>
                <c:pt idx="2">
                  <c:v>0</c:v>
                </c:pt>
                <c:pt idx="3">
                  <c:v>0</c:v>
                </c:pt>
                <c:pt idx="4">
                  <c:v>0</c:v>
                </c:pt>
                <c:pt idx="5">
                  <c:v>274.12698412698415</c:v>
                </c:pt>
                <c:pt idx="6">
                  <c:v>1118.438095238095</c:v>
                </c:pt>
                <c:pt idx="7">
                  <c:v>1359.6698412698413</c:v>
                </c:pt>
                <c:pt idx="8">
                  <c:v>1864.0634920634923</c:v>
                </c:pt>
                <c:pt idx="9">
                  <c:v>2445.2126984126985</c:v>
                </c:pt>
                <c:pt idx="10">
                  <c:v>789.48571428571438</c:v>
                </c:pt>
                <c:pt idx="11">
                  <c:v>2752.2349206349209</c:v>
                </c:pt>
                <c:pt idx="12">
                  <c:v>526.32380952380947</c:v>
                </c:pt>
                <c:pt idx="13">
                  <c:v>317.98730158730154</c:v>
                </c:pt>
                <c:pt idx="14">
                  <c:v>87.720634920634936</c:v>
                </c:pt>
                <c:pt idx="15">
                  <c:v>43.860317460317468</c:v>
                </c:pt>
                <c:pt idx="16">
                  <c:v>0</c:v>
                </c:pt>
                <c:pt idx="17">
                  <c:v>142.54603174603176</c:v>
                </c:pt>
                <c:pt idx="18">
                  <c:v>54.825396825396822</c:v>
                </c:pt>
                <c:pt idx="19">
                  <c:v>32.895238095238092</c:v>
                </c:pt>
                <c:pt idx="20">
                  <c:v>43.860317460317468</c:v>
                </c:pt>
                <c:pt idx="21">
                  <c:v>32.895238095238092</c:v>
                </c:pt>
                <c:pt idx="22">
                  <c:v>0</c:v>
                </c:pt>
                <c:pt idx="23">
                  <c:v>0</c:v>
                </c:pt>
                <c:pt idx="24">
                  <c:v>0</c:v>
                </c:pt>
                <c:pt idx="25">
                  <c:v>0</c:v>
                </c:pt>
                <c:pt idx="26">
                  <c:v>964.92698412698428</c:v>
                </c:pt>
                <c:pt idx="27">
                  <c:v>0</c:v>
                </c:pt>
                <c:pt idx="28">
                  <c:v>0</c:v>
                </c:pt>
                <c:pt idx="29">
                  <c:v>0</c:v>
                </c:pt>
                <c:pt idx="30">
                  <c:v>1342.5460317460318</c:v>
                </c:pt>
                <c:pt idx="31">
                  <c:v>9286.9904761904763</c:v>
                </c:pt>
                <c:pt idx="32">
                  <c:v>1200</c:v>
                </c:pt>
                <c:pt idx="33">
                  <c:v>1200</c:v>
                </c:pt>
                <c:pt idx="34">
                  <c:v>1200</c:v>
                </c:pt>
                <c:pt idx="35">
                  <c:v>1200</c:v>
                </c:pt>
                <c:pt idx="36">
                  <c:v>1200</c:v>
                </c:pt>
                <c:pt idx="37">
                  <c:v>1200</c:v>
                </c:pt>
                <c:pt idx="38">
                  <c:v>1200</c:v>
                </c:pt>
                <c:pt idx="39">
                  <c:v>39146.647619047602</c:v>
                </c:pt>
                <c:pt idx="40">
                  <c:v>42879.104761904768</c:v>
                </c:pt>
                <c:pt idx="41">
                  <c:v>146143.75238095241</c:v>
                </c:pt>
                <c:pt idx="42">
                  <c:v>53454.400000000016</c:v>
                </c:pt>
                <c:pt idx="43">
                  <c:v>49721.942857142843</c:v>
                </c:pt>
                <c:pt idx="44">
                  <c:v>10531.142857142861</c:v>
                </c:pt>
                <c:pt idx="45">
                  <c:v>37280.419047619042</c:v>
                </c:pt>
                <c:pt idx="46">
                  <c:v>60297.238095238092</c:v>
                </c:pt>
                <c:pt idx="47">
                  <c:v>29815.504761904762</c:v>
                </c:pt>
                <c:pt idx="48">
                  <c:v>40390.800000000003</c:v>
                </c:pt>
                <c:pt idx="49">
                  <c:v>69006.304761904757</c:v>
                </c:pt>
                <c:pt idx="50">
                  <c:v>8664.9142857142833</c:v>
                </c:pt>
                <c:pt idx="51">
                  <c:v>3688.304761904762</c:v>
                </c:pt>
                <c:pt idx="52">
                  <c:v>16129.828571428567</c:v>
                </c:pt>
                <c:pt idx="53">
                  <c:v>46611.561904761889</c:v>
                </c:pt>
                <c:pt idx="54">
                  <c:v>22350.590476190468</c:v>
                </c:pt>
                <c:pt idx="55">
                  <c:v>1200</c:v>
                </c:pt>
                <c:pt idx="56">
                  <c:v>3688.304761904762</c:v>
                </c:pt>
                <c:pt idx="57">
                  <c:v>1200</c:v>
                </c:pt>
                <c:pt idx="58">
                  <c:v>2444.1523809523806</c:v>
                </c:pt>
                <c:pt idx="59">
                  <c:v>7420.7619047619046</c:v>
                </c:pt>
                <c:pt idx="60">
                  <c:v>60297.238095238092</c:v>
                </c:pt>
                <c:pt idx="61">
                  <c:v>4310.3809523809523</c:v>
                </c:pt>
                <c:pt idx="62">
                  <c:v>8664.9142857142833</c:v>
                </c:pt>
                <c:pt idx="63">
                  <c:v>75227.066666666709</c:v>
                </c:pt>
                <c:pt idx="64">
                  <c:v>27949.276190476186</c:v>
                </c:pt>
                <c:pt idx="65">
                  <c:v>106952.9523809524</c:v>
                </c:pt>
                <c:pt idx="66">
                  <c:v>164183.96190476185</c:v>
                </c:pt>
                <c:pt idx="67">
                  <c:v>34170.038095238095</c:v>
                </c:pt>
                <c:pt idx="68">
                  <c:v>8664.9142857142833</c:v>
                </c:pt>
                <c:pt idx="69">
                  <c:v>1200</c:v>
                </c:pt>
                <c:pt idx="70">
                  <c:v>9909.0666666666675</c:v>
                </c:pt>
                <c:pt idx="71">
                  <c:v>64029.695238095228</c:v>
                </c:pt>
                <c:pt idx="72">
                  <c:v>44123.257142857146</c:v>
                </c:pt>
                <c:pt idx="73">
                  <c:v>72116.685714285733</c:v>
                </c:pt>
                <c:pt idx="74">
                  <c:v>17996.057142857142</c:v>
                </c:pt>
                <c:pt idx="75">
                  <c:v>2444.1523809523806</c:v>
                </c:pt>
                <c:pt idx="76">
                  <c:v>97621.809523809527</c:v>
                </c:pt>
                <c:pt idx="77">
                  <c:v>6176.609523809524</c:v>
                </c:pt>
                <c:pt idx="78">
                  <c:v>6176.609523809524</c:v>
                </c:pt>
                <c:pt idx="79">
                  <c:v>24838.895238095232</c:v>
                </c:pt>
                <c:pt idx="80">
                  <c:v>9286.9904761904763</c:v>
                </c:pt>
                <c:pt idx="81">
                  <c:v>1200</c:v>
                </c:pt>
                <c:pt idx="82">
                  <c:v>13641.523809523809</c:v>
                </c:pt>
                <c:pt idx="83">
                  <c:v>97621.809523809527</c:v>
                </c:pt>
                <c:pt idx="84">
                  <c:v>1822.0761904761905</c:v>
                </c:pt>
                <c:pt idx="85">
                  <c:v>14885.67619047619</c:v>
                </c:pt>
                <c:pt idx="86">
                  <c:v>74604.990476190491</c:v>
                </c:pt>
                <c:pt idx="87">
                  <c:v>130591.84761904764</c:v>
                </c:pt>
                <c:pt idx="88">
                  <c:v>10531.142857142861</c:v>
                </c:pt>
                <c:pt idx="89">
                  <c:v>1200</c:v>
                </c:pt>
                <c:pt idx="90">
                  <c:v>1200</c:v>
                </c:pt>
                <c:pt idx="91">
                  <c:v>18618.133333333335</c:v>
                </c:pt>
                <c:pt idx="92">
                  <c:v>64651.771428571417</c:v>
                </c:pt>
                <c:pt idx="93">
                  <c:v>9286.9904761904763</c:v>
                </c:pt>
                <c:pt idx="94">
                  <c:v>50655.057142857157</c:v>
                </c:pt>
                <c:pt idx="95">
                  <c:v>30437.580952380951</c:v>
                </c:pt>
                <c:pt idx="96">
                  <c:v>43501.180952380935</c:v>
                </c:pt>
                <c:pt idx="97">
                  <c:v>18618.133333333335</c:v>
                </c:pt>
                <c:pt idx="98">
                  <c:v>1200</c:v>
                </c:pt>
                <c:pt idx="99">
                  <c:v>52832.323809523805</c:v>
                </c:pt>
                <c:pt idx="100">
                  <c:v>1200</c:v>
                </c:pt>
                <c:pt idx="101">
                  <c:v>1200</c:v>
                </c:pt>
                <c:pt idx="102">
                  <c:v>1200</c:v>
                </c:pt>
                <c:pt idx="103">
                  <c:v>47233.638095238108</c:v>
                </c:pt>
                <c:pt idx="104">
                  <c:v>65895.923809523811</c:v>
                </c:pt>
                <c:pt idx="105">
                  <c:v>117528.24761904757</c:v>
                </c:pt>
                <c:pt idx="106">
                  <c:v>31681.733333333337</c:v>
                </c:pt>
                <c:pt idx="107">
                  <c:v>7109.7238095238099</c:v>
                </c:pt>
                <c:pt idx="108">
                  <c:v>66518</c:v>
                </c:pt>
                <c:pt idx="109">
                  <c:v>94511.428571428565</c:v>
                </c:pt>
                <c:pt idx="110">
                  <c:v>1200</c:v>
                </c:pt>
                <c:pt idx="111">
                  <c:v>14885.67619047619</c:v>
                </c:pt>
                <c:pt idx="112">
                  <c:v>41012.876190476192</c:v>
                </c:pt>
                <c:pt idx="113">
                  <c:v>82069.904761904749</c:v>
                </c:pt>
                <c:pt idx="114">
                  <c:v>6798.6857142857134</c:v>
                </c:pt>
                <c:pt idx="115">
                  <c:v>110063.33333333337</c:v>
                </c:pt>
                <c:pt idx="116">
                  <c:v>23594.742857142854</c:v>
                </c:pt>
                <c:pt idx="117">
                  <c:v>3688.304761904762</c:v>
                </c:pt>
                <c:pt idx="118">
                  <c:v>1511.0380952380951</c:v>
                </c:pt>
                <c:pt idx="119">
                  <c:v>1200</c:v>
                </c:pt>
                <c:pt idx="120">
                  <c:v>1200</c:v>
                </c:pt>
                <c:pt idx="121">
                  <c:v>7420.7619047619046</c:v>
                </c:pt>
                <c:pt idx="122">
                  <c:v>15507.752380952381</c:v>
                </c:pt>
                <c:pt idx="123">
                  <c:v>13019.44761904762</c:v>
                </c:pt>
                <c:pt idx="124">
                  <c:v>1200</c:v>
                </c:pt>
                <c:pt idx="125">
                  <c:v>1200</c:v>
                </c:pt>
                <c:pt idx="126">
                  <c:v>1200</c:v>
                </c:pt>
                <c:pt idx="127">
                  <c:v>1200</c:v>
                </c:pt>
                <c:pt idx="128">
                  <c:v>1200</c:v>
                </c:pt>
                <c:pt idx="129">
                  <c:v>1822.0761904761905</c:v>
                </c:pt>
                <c:pt idx="130">
                  <c:v>1200</c:v>
                </c:pt>
                <c:pt idx="131">
                  <c:v>1822.0761904761905</c:v>
                </c:pt>
                <c:pt idx="132">
                  <c:v>1200</c:v>
                </c:pt>
                <c:pt idx="133">
                  <c:v>1200</c:v>
                </c:pt>
                <c:pt idx="134">
                  <c:v>1200</c:v>
                </c:pt>
                <c:pt idx="135">
                  <c:v>9909.0666666666675</c:v>
                </c:pt>
                <c:pt idx="136">
                  <c:v>1200</c:v>
                </c:pt>
                <c:pt idx="137">
                  <c:v>1200</c:v>
                </c:pt>
                <c:pt idx="138">
                  <c:v>1200</c:v>
                </c:pt>
                <c:pt idx="139">
                  <c:v>1200</c:v>
                </c:pt>
                <c:pt idx="140">
                  <c:v>26705.123809523811</c:v>
                </c:pt>
                <c:pt idx="141">
                  <c:v>93267.276190476216</c:v>
                </c:pt>
                <c:pt idx="142">
                  <c:v>3688.304761904762</c:v>
                </c:pt>
                <c:pt idx="143">
                  <c:v>17373.980952380953</c:v>
                </c:pt>
                <c:pt idx="144">
                  <c:v>73982.914285714272</c:v>
                </c:pt>
                <c:pt idx="145">
                  <c:v>1200</c:v>
                </c:pt>
                <c:pt idx="146">
                  <c:v>14885.67619047619</c:v>
                </c:pt>
                <c:pt idx="147">
                  <c:v>1200</c:v>
                </c:pt>
                <c:pt idx="148">
                  <c:v>1200</c:v>
                </c:pt>
                <c:pt idx="149">
                  <c:v>1200</c:v>
                </c:pt>
                <c:pt idx="150">
                  <c:v>1200</c:v>
                </c:pt>
                <c:pt idx="151">
                  <c:v>1200</c:v>
                </c:pt>
                <c:pt idx="152">
                  <c:v>1200</c:v>
                </c:pt>
                <c:pt idx="153">
                  <c:v>1200</c:v>
                </c:pt>
                <c:pt idx="154">
                  <c:v>1200</c:v>
                </c:pt>
                <c:pt idx="155">
                  <c:v>1200</c:v>
                </c:pt>
                <c:pt idx="156">
                  <c:v>1200</c:v>
                </c:pt>
                <c:pt idx="157">
                  <c:v>1200</c:v>
                </c:pt>
                <c:pt idx="158">
                  <c:v>1822.0761904761905</c:v>
                </c:pt>
                <c:pt idx="159">
                  <c:v>1200</c:v>
                </c:pt>
                <c:pt idx="160">
                  <c:v>1200</c:v>
                </c:pt>
                <c:pt idx="161">
                  <c:v>1200</c:v>
                </c:pt>
                <c:pt idx="162">
                  <c:v>1200</c:v>
                </c:pt>
                <c:pt idx="163">
                  <c:v>1200</c:v>
                </c:pt>
                <c:pt idx="164">
                  <c:v>12397.371428571427</c:v>
                </c:pt>
                <c:pt idx="165">
                  <c:v>1200</c:v>
                </c:pt>
                <c:pt idx="166">
                  <c:v>1200</c:v>
                </c:pt>
                <c:pt idx="167">
                  <c:v>1200</c:v>
                </c:pt>
                <c:pt idx="168">
                  <c:v>6176.609523809524</c:v>
                </c:pt>
                <c:pt idx="169">
                  <c:v>65895.923809523811</c:v>
                </c:pt>
                <c:pt idx="170">
                  <c:v>11153.219047619048</c:v>
                </c:pt>
                <c:pt idx="171">
                  <c:v>4932.4571428571417</c:v>
                </c:pt>
                <c:pt idx="172">
                  <c:v>1200</c:v>
                </c:pt>
                <c:pt idx="173">
                  <c:v>49099.866666666669</c:v>
                </c:pt>
                <c:pt idx="174">
                  <c:v>4932.4571428571417</c:v>
                </c:pt>
                <c:pt idx="175">
                  <c:v>1200</c:v>
                </c:pt>
                <c:pt idx="176">
                  <c:v>19240.209523809521</c:v>
                </c:pt>
                <c:pt idx="177">
                  <c:v>64651.771428571417</c:v>
                </c:pt>
                <c:pt idx="178">
                  <c:v>64651.771428571417</c:v>
                </c:pt>
                <c:pt idx="179">
                  <c:v>3066.2285714285708</c:v>
                </c:pt>
                <c:pt idx="180">
                  <c:v>1200</c:v>
                </c:pt>
                <c:pt idx="181">
                  <c:v>1200</c:v>
                </c:pt>
                <c:pt idx="182">
                  <c:v>6798.6857142857134</c:v>
                </c:pt>
                <c:pt idx="183">
                  <c:v>20484.361904761899</c:v>
                </c:pt>
                <c:pt idx="184">
                  <c:v>30437.580952380951</c:v>
                </c:pt>
                <c:pt idx="185">
                  <c:v>83936.133333333346</c:v>
                </c:pt>
                <c:pt idx="186">
                  <c:v>43501.180952380935</c:v>
                </c:pt>
                <c:pt idx="187">
                  <c:v>1200</c:v>
                </c:pt>
                <c:pt idx="188">
                  <c:v>1200</c:v>
                </c:pt>
                <c:pt idx="189">
                  <c:v>1200</c:v>
                </c:pt>
                <c:pt idx="190">
                  <c:v>1200</c:v>
                </c:pt>
                <c:pt idx="191">
                  <c:v>1200</c:v>
                </c:pt>
                <c:pt idx="192">
                  <c:v>1200</c:v>
                </c:pt>
                <c:pt idx="193">
                  <c:v>1200</c:v>
                </c:pt>
                <c:pt idx="194">
                  <c:v>1200</c:v>
                </c:pt>
                <c:pt idx="195">
                  <c:v>1200</c:v>
                </c:pt>
                <c:pt idx="196">
                  <c:v>1200</c:v>
                </c:pt>
                <c:pt idx="197">
                  <c:v>1200</c:v>
                </c:pt>
                <c:pt idx="198">
                  <c:v>116284.09523809521</c:v>
                </c:pt>
                <c:pt idx="199">
                  <c:v>6798.6857142857134</c:v>
                </c:pt>
                <c:pt idx="200">
                  <c:v>1200</c:v>
                </c:pt>
                <c:pt idx="201">
                  <c:v>1200</c:v>
                </c:pt>
                <c:pt idx="202">
                  <c:v>26083.047619047618</c:v>
                </c:pt>
                <c:pt idx="203">
                  <c:v>57808.933333333334</c:v>
                </c:pt>
                <c:pt idx="204">
                  <c:v>3066.2285714285708</c:v>
                </c:pt>
                <c:pt idx="205">
                  <c:v>1200</c:v>
                </c:pt>
                <c:pt idx="206">
                  <c:v>1200</c:v>
                </c:pt>
                <c:pt idx="207">
                  <c:v>1200</c:v>
                </c:pt>
                <c:pt idx="208">
                  <c:v>1200</c:v>
                </c:pt>
                <c:pt idx="209">
                  <c:v>1200</c:v>
                </c:pt>
                <c:pt idx="210">
                  <c:v>1200</c:v>
                </c:pt>
                <c:pt idx="211">
                  <c:v>1200</c:v>
                </c:pt>
                <c:pt idx="212">
                  <c:v>1200</c:v>
                </c:pt>
                <c:pt idx="213">
                  <c:v>1200</c:v>
                </c:pt>
                <c:pt idx="214">
                  <c:v>1200</c:v>
                </c:pt>
                <c:pt idx="215">
                  <c:v>1200</c:v>
                </c:pt>
                <c:pt idx="216">
                  <c:v>1200</c:v>
                </c:pt>
                <c:pt idx="217">
                  <c:v>1200</c:v>
                </c:pt>
                <c:pt idx="218">
                  <c:v>1200</c:v>
                </c:pt>
                <c:pt idx="219">
                  <c:v>1200</c:v>
                </c:pt>
                <c:pt idx="220">
                  <c:v>1200</c:v>
                </c:pt>
                <c:pt idx="221">
                  <c:v>1200</c:v>
                </c:pt>
                <c:pt idx="222">
                  <c:v>1200</c:v>
                </c:pt>
                <c:pt idx="223">
                  <c:v>1200</c:v>
                </c:pt>
                <c:pt idx="224">
                  <c:v>1200</c:v>
                </c:pt>
                <c:pt idx="225">
                  <c:v>1200</c:v>
                </c:pt>
                <c:pt idx="226">
                  <c:v>1200</c:v>
                </c:pt>
                <c:pt idx="227">
                  <c:v>1200</c:v>
                </c:pt>
                <c:pt idx="228">
                  <c:v>1200</c:v>
                </c:pt>
                <c:pt idx="229">
                  <c:v>1200</c:v>
                </c:pt>
                <c:pt idx="230">
                  <c:v>1200</c:v>
                </c:pt>
                <c:pt idx="231">
                  <c:v>1200</c:v>
                </c:pt>
                <c:pt idx="232">
                  <c:v>1200</c:v>
                </c:pt>
                <c:pt idx="233">
                  <c:v>1200</c:v>
                </c:pt>
                <c:pt idx="234">
                  <c:v>1200</c:v>
                </c:pt>
                <c:pt idx="235">
                  <c:v>1200</c:v>
                </c:pt>
                <c:pt idx="236">
                  <c:v>1200</c:v>
                </c:pt>
                <c:pt idx="237">
                  <c:v>1200</c:v>
                </c:pt>
                <c:pt idx="238">
                  <c:v>1200</c:v>
                </c:pt>
                <c:pt idx="239">
                  <c:v>2444.1523809523806</c:v>
                </c:pt>
                <c:pt idx="240">
                  <c:v>25460.971428571422</c:v>
                </c:pt>
                <c:pt idx="241">
                  <c:v>12397.371428571427</c:v>
                </c:pt>
                <c:pt idx="242">
                  <c:v>34170.038095238095</c:v>
                </c:pt>
                <c:pt idx="243">
                  <c:v>11153.219047619048</c:v>
                </c:pt>
                <c:pt idx="244">
                  <c:v>20484.361904761899</c:v>
                </c:pt>
                <c:pt idx="245">
                  <c:v>1200</c:v>
                </c:pt>
                <c:pt idx="246">
                  <c:v>1200</c:v>
                </c:pt>
                <c:pt idx="247">
                  <c:v>1200</c:v>
                </c:pt>
                <c:pt idx="248">
                  <c:v>1200</c:v>
                </c:pt>
                <c:pt idx="249">
                  <c:v>1200</c:v>
                </c:pt>
                <c:pt idx="250">
                  <c:v>1200</c:v>
                </c:pt>
                <c:pt idx="251">
                  <c:v>1200</c:v>
                </c:pt>
                <c:pt idx="252">
                  <c:v>1200</c:v>
                </c:pt>
                <c:pt idx="253">
                  <c:v>1200</c:v>
                </c:pt>
                <c:pt idx="254">
                  <c:v>1200</c:v>
                </c:pt>
                <c:pt idx="255">
                  <c:v>1200</c:v>
                </c:pt>
                <c:pt idx="256">
                  <c:v>1200</c:v>
                </c:pt>
                <c:pt idx="257">
                  <c:v>1200</c:v>
                </c:pt>
                <c:pt idx="258">
                  <c:v>1200</c:v>
                </c:pt>
                <c:pt idx="259">
                  <c:v>1200</c:v>
                </c:pt>
                <c:pt idx="260">
                  <c:v>83314.057142857127</c:v>
                </c:pt>
                <c:pt idx="261">
                  <c:v>2444.1523809523806</c:v>
                </c:pt>
                <c:pt idx="262">
                  <c:v>1200</c:v>
                </c:pt>
                <c:pt idx="263">
                  <c:v>7420.7619047619046</c:v>
                </c:pt>
                <c:pt idx="264">
                  <c:v>39768.723809523799</c:v>
                </c:pt>
                <c:pt idx="265">
                  <c:v>92645.199999999983</c:v>
                </c:pt>
                <c:pt idx="266">
                  <c:v>6176.609523809524</c:v>
                </c:pt>
                <c:pt idx="267">
                  <c:v>3066.2285714285708</c:v>
                </c:pt>
                <c:pt idx="268">
                  <c:v>26705.123809523811</c:v>
                </c:pt>
                <c:pt idx="269">
                  <c:v>1200</c:v>
                </c:pt>
                <c:pt idx="270">
                  <c:v>39768.723809523799</c:v>
                </c:pt>
                <c:pt idx="271">
                  <c:v>18618.133333333335</c:v>
                </c:pt>
                <c:pt idx="272">
                  <c:v>1200</c:v>
                </c:pt>
                <c:pt idx="273">
                  <c:v>1200</c:v>
                </c:pt>
                <c:pt idx="274">
                  <c:v>1200</c:v>
                </c:pt>
                <c:pt idx="275">
                  <c:v>180980.01904761905</c:v>
                </c:pt>
                <c:pt idx="276">
                  <c:v>19862.285714285721</c:v>
                </c:pt>
                <c:pt idx="277">
                  <c:v>29815.504761904762</c:v>
                </c:pt>
                <c:pt idx="278">
                  <c:v>2444.1523809523806</c:v>
                </c:pt>
                <c:pt idx="279">
                  <c:v>1200</c:v>
                </c:pt>
                <c:pt idx="280">
                  <c:v>5554.5333333333338</c:v>
                </c:pt>
                <c:pt idx="281">
                  <c:v>6798.6857142857134</c:v>
                </c:pt>
                <c:pt idx="282">
                  <c:v>56564.780952380956</c:v>
                </c:pt>
                <c:pt idx="283">
                  <c:v>49099.866666666669</c:v>
                </c:pt>
                <c:pt idx="284">
                  <c:v>103842.57142857146</c:v>
                </c:pt>
                <c:pt idx="285">
                  <c:v>98865.961904761891</c:v>
                </c:pt>
                <c:pt idx="286">
                  <c:v>89534.819047619036</c:v>
                </c:pt>
                <c:pt idx="287">
                  <c:v>21106.438095238103</c:v>
                </c:pt>
                <c:pt idx="288">
                  <c:v>54698.552380952373</c:v>
                </c:pt>
                <c:pt idx="289">
                  <c:v>85180.28571428571</c:v>
                </c:pt>
                <c:pt idx="290">
                  <c:v>53454.400000000016</c:v>
                </c:pt>
                <c:pt idx="291">
                  <c:v>144899.60000000006</c:v>
                </c:pt>
                <c:pt idx="292">
                  <c:v>34792.114285714284</c:v>
                </c:pt>
                <c:pt idx="293">
                  <c:v>126237.3142857143</c:v>
                </c:pt>
                <c:pt idx="294">
                  <c:v>67762.152380952379</c:v>
                </c:pt>
                <c:pt idx="295">
                  <c:v>30437.580952380951</c:v>
                </c:pt>
                <c:pt idx="296">
                  <c:v>6176.609523809524</c:v>
                </c:pt>
                <c:pt idx="297">
                  <c:v>69006.304761904757</c:v>
                </c:pt>
                <c:pt idx="298">
                  <c:v>8664.9142857142833</c:v>
                </c:pt>
                <c:pt idx="299">
                  <c:v>105708.80000000003</c:v>
                </c:pt>
                <c:pt idx="300">
                  <c:v>77093.295238095205</c:v>
                </c:pt>
                <c:pt idx="301">
                  <c:v>22972.666666666672</c:v>
                </c:pt>
                <c:pt idx="302">
                  <c:v>29193.428571428558</c:v>
                </c:pt>
                <c:pt idx="303">
                  <c:v>47855.714285714283</c:v>
                </c:pt>
                <c:pt idx="304">
                  <c:v>21106.438095238103</c:v>
                </c:pt>
                <c:pt idx="305">
                  <c:v>118150.3238095238</c:v>
                </c:pt>
                <c:pt idx="306">
                  <c:v>110685.40952380952</c:v>
                </c:pt>
                <c:pt idx="307">
                  <c:v>29193.428571428558</c:v>
                </c:pt>
                <c:pt idx="308">
                  <c:v>14885.67619047619</c:v>
                </c:pt>
                <c:pt idx="309">
                  <c:v>64029.695238095228</c:v>
                </c:pt>
                <c:pt idx="310">
                  <c:v>5554.5333333333338</c:v>
                </c:pt>
                <c:pt idx="311">
                  <c:v>106952.9523809524</c:v>
                </c:pt>
                <c:pt idx="312">
                  <c:v>1200</c:v>
                </c:pt>
                <c:pt idx="313">
                  <c:v>1200</c:v>
                </c:pt>
                <c:pt idx="314">
                  <c:v>1200</c:v>
                </c:pt>
                <c:pt idx="315">
                  <c:v>1200</c:v>
                </c:pt>
                <c:pt idx="316">
                  <c:v>1200</c:v>
                </c:pt>
                <c:pt idx="317">
                  <c:v>1200</c:v>
                </c:pt>
                <c:pt idx="318">
                  <c:v>1200</c:v>
                </c:pt>
                <c:pt idx="319">
                  <c:v>1200</c:v>
                </c:pt>
                <c:pt idx="320">
                  <c:v>1200</c:v>
                </c:pt>
                <c:pt idx="321">
                  <c:v>1200</c:v>
                </c:pt>
                <c:pt idx="322">
                  <c:v>11775.295238095237</c:v>
                </c:pt>
                <c:pt idx="323">
                  <c:v>92645.199999999983</c:v>
                </c:pt>
                <c:pt idx="324">
                  <c:v>103220.49523809525</c:v>
                </c:pt>
                <c:pt idx="325">
                  <c:v>80825.752380952385</c:v>
                </c:pt>
                <c:pt idx="326">
                  <c:v>48477.790476190465</c:v>
                </c:pt>
                <c:pt idx="327">
                  <c:v>189689.08571428573</c:v>
                </c:pt>
                <c:pt idx="328">
                  <c:v>47855.714285714283</c:v>
                </c:pt>
                <c:pt idx="329">
                  <c:v>134946.38095238098</c:v>
                </c:pt>
                <c:pt idx="330">
                  <c:v>47855.714285714283</c:v>
                </c:pt>
                <c:pt idx="331">
                  <c:v>1200</c:v>
                </c:pt>
                <c:pt idx="332">
                  <c:v>1200</c:v>
                </c:pt>
                <c:pt idx="333">
                  <c:v>1200</c:v>
                </c:pt>
                <c:pt idx="334">
                  <c:v>1200</c:v>
                </c:pt>
                <c:pt idx="335">
                  <c:v>1200</c:v>
                </c:pt>
                <c:pt idx="336">
                  <c:v>1200</c:v>
                </c:pt>
                <c:pt idx="337">
                  <c:v>4932.4571428571417</c:v>
                </c:pt>
                <c:pt idx="338">
                  <c:v>142411.29523809522</c:v>
                </c:pt>
                <c:pt idx="339">
                  <c:v>3688.304761904762</c:v>
                </c:pt>
                <c:pt idx="340">
                  <c:v>48477.790476190465</c:v>
                </c:pt>
                <c:pt idx="341">
                  <c:v>152364.51428571431</c:v>
                </c:pt>
                <c:pt idx="342">
                  <c:v>107575.0285714286</c:v>
                </c:pt>
                <c:pt idx="343">
                  <c:v>14885.67619047619</c:v>
                </c:pt>
                <c:pt idx="344">
                  <c:v>56564.780952380956</c:v>
                </c:pt>
                <c:pt idx="345">
                  <c:v>5554.5333333333338</c:v>
                </c:pt>
                <c:pt idx="346">
                  <c:v>4310.3809523809523</c:v>
                </c:pt>
                <c:pt idx="347">
                  <c:v>1200</c:v>
                </c:pt>
                <c:pt idx="348">
                  <c:v>29193.428571428558</c:v>
                </c:pt>
                <c:pt idx="349">
                  <c:v>64029.695238095228</c:v>
                </c:pt>
                <c:pt idx="350">
                  <c:v>3688.304761904762</c:v>
                </c:pt>
                <c:pt idx="351">
                  <c:v>77715.371428571423</c:v>
                </c:pt>
                <c:pt idx="352">
                  <c:v>1200</c:v>
                </c:pt>
                <c:pt idx="353">
                  <c:v>1200</c:v>
                </c:pt>
                <c:pt idx="354">
                  <c:v>28571.352380952383</c:v>
                </c:pt>
                <c:pt idx="355">
                  <c:v>37280.419047619042</c:v>
                </c:pt>
                <c:pt idx="356">
                  <c:v>32303.809523809519</c:v>
                </c:pt>
                <c:pt idx="357">
                  <c:v>8042.8380952380949</c:v>
                </c:pt>
                <c:pt idx="358">
                  <c:v>3066.2285714285708</c:v>
                </c:pt>
                <c:pt idx="359">
                  <c:v>32925.885714285709</c:v>
                </c:pt>
                <c:pt idx="360">
                  <c:v>17996.057142857142</c:v>
                </c:pt>
                <c:pt idx="361">
                  <c:v>1200</c:v>
                </c:pt>
                <c:pt idx="362">
                  <c:v>1200</c:v>
                </c:pt>
                <c:pt idx="363">
                  <c:v>1200</c:v>
                </c:pt>
                <c:pt idx="364">
                  <c:v>1200</c:v>
                </c:pt>
                <c:pt idx="365">
                  <c:v>0</c:v>
                </c:pt>
              </c:numCache>
            </c:numRef>
          </c:val>
          <c:smooth val="0"/>
          <c:extLst>
            <c:ext xmlns:c16="http://schemas.microsoft.com/office/drawing/2014/chart" uri="{C3380CC4-5D6E-409C-BE32-E72D297353CC}">
              <c16:uniqueId val="{00000000-48F0-4BBA-BCB3-AC1A320CE845}"/>
            </c:ext>
          </c:extLst>
        </c:ser>
        <c:ser>
          <c:idx val="1"/>
          <c:order val="1"/>
          <c:spPr>
            <a:ln w="28575" cap="rnd">
              <a:solidFill>
                <a:schemeClr val="accent2"/>
              </a:solidFill>
              <a:round/>
            </a:ln>
            <a:effectLst/>
          </c:spPr>
          <c:marker>
            <c:symbol val="none"/>
          </c:marker>
          <c:val>
            <c:numRef>
              <c:f>'Solar Energy Model'!$J$21:$J$386</c:f>
              <c:numCache>
                <c:formatCode>0.00</c:formatCode>
                <c:ptCount val="366"/>
                <c:pt idx="0">
                  <c:v>2000</c:v>
                </c:pt>
                <c:pt idx="1">
                  <c:v>2000</c:v>
                </c:pt>
                <c:pt idx="2">
                  <c:v>2000</c:v>
                </c:pt>
                <c:pt idx="3">
                  <c:v>2000</c:v>
                </c:pt>
                <c:pt idx="4">
                  <c:v>2000</c:v>
                </c:pt>
                <c:pt idx="5">
                  <c:v>2000</c:v>
                </c:pt>
                <c:pt idx="6">
                  <c:v>2000</c:v>
                </c:pt>
                <c:pt idx="7">
                  <c:v>2000</c:v>
                </c:pt>
                <c:pt idx="8">
                  <c:v>2000</c:v>
                </c:pt>
                <c:pt idx="9">
                  <c:v>1741.2671957671955</c:v>
                </c:pt>
                <c:pt idx="10">
                  <c:v>877.17063492063426</c:v>
                </c:pt>
                <c:pt idx="11">
                  <c:v>1737.7896825396817</c:v>
                </c:pt>
                <c:pt idx="12">
                  <c:v>2000</c:v>
                </c:pt>
                <c:pt idx="13">
                  <c:v>2000</c:v>
                </c:pt>
                <c:pt idx="14">
                  <c:v>2000</c:v>
                </c:pt>
                <c:pt idx="15">
                  <c:v>2000</c:v>
                </c:pt>
                <c:pt idx="16">
                  <c:v>2000</c:v>
                </c:pt>
                <c:pt idx="17">
                  <c:v>2000</c:v>
                </c:pt>
                <c:pt idx="18">
                  <c:v>2000</c:v>
                </c:pt>
                <c:pt idx="19">
                  <c:v>2000</c:v>
                </c:pt>
                <c:pt idx="20">
                  <c:v>2000</c:v>
                </c:pt>
                <c:pt idx="21">
                  <c:v>2000</c:v>
                </c:pt>
                <c:pt idx="22">
                  <c:v>2000</c:v>
                </c:pt>
                <c:pt idx="23">
                  <c:v>2000</c:v>
                </c:pt>
                <c:pt idx="24">
                  <c:v>2000</c:v>
                </c:pt>
                <c:pt idx="25">
                  <c:v>2000</c:v>
                </c:pt>
                <c:pt idx="26">
                  <c:v>2000</c:v>
                </c:pt>
                <c:pt idx="27">
                  <c:v>2000</c:v>
                </c:pt>
                <c:pt idx="28">
                  <c:v>2000</c:v>
                </c:pt>
                <c:pt idx="29">
                  <c:v>2000</c:v>
                </c:pt>
                <c:pt idx="30">
                  <c:v>2000</c:v>
                </c:pt>
                <c:pt idx="31">
                  <c:v>2000</c:v>
                </c:pt>
                <c:pt idx="32">
                  <c:v>2000</c:v>
                </c:pt>
                <c:pt idx="33">
                  <c:v>2000</c:v>
                </c:pt>
                <c:pt idx="34">
                  <c:v>2000</c:v>
                </c:pt>
                <c:pt idx="35">
                  <c:v>2000</c:v>
                </c:pt>
                <c:pt idx="36">
                  <c:v>2000</c:v>
                </c:pt>
                <c:pt idx="37">
                  <c:v>2000</c:v>
                </c:pt>
                <c:pt idx="38">
                  <c:v>2000</c:v>
                </c:pt>
                <c:pt idx="39">
                  <c:v>2000</c:v>
                </c:pt>
                <c:pt idx="40">
                  <c:v>2000</c:v>
                </c:pt>
                <c:pt idx="41">
                  <c:v>2000</c:v>
                </c:pt>
                <c:pt idx="42">
                  <c:v>2000</c:v>
                </c:pt>
                <c:pt idx="43">
                  <c:v>2000</c:v>
                </c:pt>
                <c:pt idx="44">
                  <c:v>2000</c:v>
                </c:pt>
                <c:pt idx="45">
                  <c:v>2000</c:v>
                </c:pt>
                <c:pt idx="46">
                  <c:v>2000</c:v>
                </c:pt>
                <c:pt idx="47">
                  <c:v>2000</c:v>
                </c:pt>
                <c:pt idx="48">
                  <c:v>2000</c:v>
                </c:pt>
                <c:pt idx="49">
                  <c:v>2000</c:v>
                </c:pt>
                <c:pt idx="50">
                  <c:v>2000</c:v>
                </c:pt>
                <c:pt idx="51">
                  <c:v>2000</c:v>
                </c:pt>
                <c:pt idx="52">
                  <c:v>138.01587301587278</c:v>
                </c:pt>
                <c:pt idx="53">
                  <c:v>2000</c:v>
                </c:pt>
                <c:pt idx="54">
                  <c:v>2000</c:v>
                </c:pt>
                <c:pt idx="55">
                  <c:v>2000</c:v>
                </c:pt>
                <c:pt idx="56">
                  <c:v>2000</c:v>
                </c:pt>
                <c:pt idx="57">
                  <c:v>138.01587301587278</c:v>
                </c:pt>
                <c:pt idx="58">
                  <c:v>868.01587301587278</c:v>
                </c:pt>
                <c:pt idx="59">
                  <c:v>2000</c:v>
                </c:pt>
                <c:pt idx="60">
                  <c:v>2000</c:v>
                </c:pt>
                <c:pt idx="61">
                  <c:v>2000</c:v>
                </c:pt>
                <c:pt idx="62">
                  <c:v>2000</c:v>
                </c:pt>
                <c:pt idx="63">
                  <c:v>2000</c:v>
                </c:pt>
                <c:pt idx="64">
                  <c:v>2000</c:v>
                </c:pt>
                <c:pt idx="65">
                  <c:v>2000</c:v>
                </c:pt>
                <c:pt idx="66">
                  <c:v>2000</c:v>
                </c:pt>
                <c:pt idx="67">
                  <c:v>2000</c:v>
                </c:pt>
                <c:pt idx="68">
                  <c:v>2000</c:v>
                </c:pt>
                <c:pt idx="69">
                  <c:v>2000</c:v>
                </c:pt>
                <c:pt idx="70">
                  <c:v>2000</c:v>
                </c:pt>
                <c:pt idx="71">
                  <c:v>2000</c:v>
                </c:pt>
                <c:pt idx="72">
                  <c:v>2000</c:v>
                </c:pt>
                <c:pt idx="73">
                  <c:v>2000</c:v>
                </c:pt>
                <c:pt idx="74">
                  <c:v>2000</c:v>
                </c:pt>
                <c:pt idx="75">
                  <c:v>2000</c:v>
                </c:pt>
                <c:pt idx="76">
                  <c:v>1790.4079365079365</c:v>
                </c:pt>
                <c:pt idx="77">
                  <c:v>2000</c:v>
                </c:pt>
                <c:pt idx="78">
                  <c:v>2000</c:v>
                </c:pt>
                <c:pt idx="79">
                  <c:v>2000</c:v>
                </c:pt>
                <c:pt idx="80">
                  <c:v>2000</c:v>
                </c:pt>
                <c:pt idx="81">
                  <c:v>2000</c:v>
                </c:pt>
                <c:pt idx="82">
                  <c:v>2000</c:v>
                </c:pt>
                <c:pt idx="83">
                  <c:v>2000</c:v>
                </c:pt>
                <c:pt idx="84">
                  <c:v>2000</c:v>
                </c:pt>
                <c:pt idx="85">
                  <c:v>2000</c:v>
                </c:pt>
                <c:pt idx="86">
                  <c:v>2000</c:v>
                </c:pt>
                <c:pt idx="87">
                  <c:v>2000</c:v>
                </c:pt>
                <c:pt idx="88">
                  <c:v>2000</c:v>
                </c:pt>
                <c:pt idx="89">
                  <c:v>2000</c:v>
                </c:pt>
                <c:pt idx="90">
                  <c:v>2000</c:v>
                </c:pt>
                <c:pt idx="91">
                  <c:v>2000</c:v>
                </c:pt>
                <c:pt idx="92">
                  <c:v>2000</c:v>
                </c:pt>
                <c:pt idx="93">
                  <c:v>2000</c:v>
                </c:pt>
                <c:pt idx="94">
                  <c:v>2000</c:v>
                </c:pt>
                <c:pt idx="95">
                  <c:v>2000</c:v>
                </c:pt>
                <c:pt idx="96">
                  <c:v>2000</c:v>
                </c:pt>
                <c:pt idx="97">
                  <c:v>2000</c:v>
                </c:pt>
                <c:pt idx="98">
                  <c:v>2000</c:v>
                </c:pt>
                <c:pt idx="99">
                  <c:v>2000</c:v>
                </c:pt>
                <c:pt idx="100">
                  <c:v>2000</c:v>
                </c:pt>
                <c:pt idx="101">
                  <c:v>2000</c:v>
                </c:pt>
                <c:pt idx="102">
                  <c:v>2000</c:v>
                </c:pt>
                <c:pt idx="103">
                  <c:v>2000</c:v>
                </c:pt>
                <c:pt idx="104">
                  <c:v>2000</c:v>
                </c:pt>
                <c:pt idx="105">
                  <c:v>2000</c:v>
                </c:pt>
                <c:pt idx="106">
                  <c:v>2000</c:v>
                </c:pt>
                <c:pt idx="107">
                  <c:v>2000</c:v>
                </c:pt>
                <c:pt idx="108">
                  <c:v>2000</c:v>
                </c:pt>
                <c:pt idx="109">
                  <c:v>2000</c:v>
                </c:pt>
                <c:pt idx="110">
                  <c:v>2000</c:v>
                </c:pt>
                <c:pt idx="111">
                  <c:v>2000</c:v>
                </c:pt>
                <c:pt idx="112">
                  <c:v>2000</c:v>
                </c:pt>
                <c:pt idx="113">
                  <c:v>2000</c:v>
                </c:pt>
                <c:pt idx="114">
                  <c:v>2000</c:v>
                </c:pt>
                <c:pt idx="115">
                  <c:v>2000</c:v>
                </c:pt>
                <c:pt idx="116">
                  <c:v>2000</c:v>
                </c:pt>
                <c:pt idx="117">
                  <c:v>2000</c:v>
                </c:pt>
                <c:pt idx="118">
                  <c:v>850.81587301587206</c:v>
                </c:pt>
                <c:pt idx="119">
                  <c:v>1969.6178571428559</c:v>
                </c:pt>
                <c:pt idx="120">
                  <c:v>2000</c:v>
                </c:pt>
                <c:pt idx="121">
                  <c:v>2000</c:v>
                </c:pt>
                <c:pt idx="122">
                  <c:v>2000</c:v>
                </c:pt>
                <c:pt idx="123">
                  <c:v>2000</c:v>
                </c:pt>
                <c:pt idx="124">
                  <c:v>2000</c:v>
                </c:pt>
                <c:pt idx="125">
                  <c:v>2000</c:v>
                </c:pt>
                <c:pt idx="126">
                  <c:v>2000</c:v>
                </c:pt>
                <c:pt idx="127">
                  <c:v>2000</c:v>
                </c:pt>
                <c:pt idx="128">
                  <c:v>2000</c:v>
                </c:pt>
                <c:pt idx="129">
                  <c:v>2000</c:v>
                </c:pt>
                <c:pt idx="130">
                  <c:v>2000</c:v>
                </c:pt>
                <c:pt idx="131">
                  <c:v>2000</c:v>
                </c:pt>
                <c:pt idx="132">
                  <c:v>2000</c:v>
                </c:pt>
                <c:pt idx="133">
                  <c:v>2000</c:v>
                </c:pt>
                <c:pt idx="134">
                  <c:v>2000</c:v>
                </c:pt>
                <c:pt idx="135">
                  <c:v>2000</c:v>
                </c:pt>
                <c:pt idx="136">
                  <c:v>2000</c:v>
                </c:pt>
                <c:pt idx="137">
                  <c:v>2000</c:v>
                </c:pt>
                <c:pt idx="138">
                  <c:v>2000</c:v>
                </c:pt>
                <c:pt idx="139">
                  <c:v>2000</c:v>
                </c:pt>
                <c:pt idx="140">
                  <c:v>2000</c:v>
                </c:pt>
                <c:pt idx="141">
                  <c:v>2000</c:v>
                </c:pt>
                <c:pt idx="142">
                  <c:v>2000</c:v>
                </c:pt>
                <c:pt idx="143">
                  <c:v>1187.4158730158724</c:v>
                </c:pt>
                <c:pt idx="144">
                  <c:v>2000</c:v>
                </c:pt>
                <c:pt idx="145">
                  <c:v>2000</c:v>
                </c:pt>
                <c:pt idx="146">
                  <c:v>2000</c:v>
                </c:pt>
                <c:pt idx="147">
                  <c:v>2000</c:v>
                </c:pt>
                <c:pt idx="148">
                  <c:v>2000</c:v>
                </c:pt>
                <c:pt idx="149">
                  <c:v>2000</c:v>
                </c:pt>
                <c:pt idx="150">
                  <c:v>2000</c:v>
                </c:pt>
                <c:pt idx="151">
                  <c:v>2000</c:v>
                </c:pt>
                <c:pt idx="152">
                  <c:v>2000</c:v>
                </c:pt>
                <c:pt idx="153">
                  <c:v>2000</c:v>
                </c:pt>
                <c:pt idx="154">
                  <c:v>2000</c:v>
                </c:pt>
                <c:pt idx="155">
                  <c:v>2000</c:v>
                </c:pt>
                <c:pt idx="156">
                  <c:v>2000</c:v>
                </c:pt>
                <c:pt idx="157">
                  <c:v>2000</c:v>
                </c:pt>
                <c:pt idx="158">
                  <c:v>2000</c:v>
                </c:pt>
                <c:pt idx="159">
                  <c:v>2000</c:v>
                </c:pt>
                <c:pt idx="160">
                  <c:v>2000</c:v>
                </c:pt>
                <c:pt idx="161">
                  <c:v>2000</c:v>
                </c:pt>
                <c:pt idx="162">
                  <c:v>2000</c:v>
                </c:pt>
                <c:pt idx="163">
                  <c:v>2000</c:v>
                </c:pt>
                <c:pt idx="164">
                  <c:v>2000</c:v>
                </c:pt>
                <c:pt idx="165">
                  <c:v>2000</c:v>
                </c:pt>
                <c:pt idx="166">
                  <c:v>2000</c:v>
                </c:pt>
                <c:pt idx="167">
                  <c:v>2000</c:v>
                </c:pt>
                <c:pt idx="168">
                  <c:v>2000</c:v>
                </c:pt>
                <c:pt idx="169">
                  <c:v>2000</c:v>
                </c:pt>
                <c:pt idx="170">
                  <c:v>2000</c:v>
                </c:pt>
                <c:pt idx="171">
                  <c:v>2000</c:v>
                </c:pt>
                <c:pt idx="172">
                  <c:v>30.023809523810087</c:v>
                </c:pt>
                <c:pt idx="173">
                  <c:v>1948.0238095238101</c:v>
                </c:pt>
                <c:pt idx="174">
                  <c:v>2000</c:v>
                </c:pt>
                <c:pt idx="175">
                  <c:v>2000</c:v>
                </c:pt>
                <c:pt idx="176">
                  <c:v>2000</c:v>
                </c:pt>
                <c:pt idx="177">
                  <c:v>2000</c:v>
                </c:pt>
                <c:pt idx="178">
                  <c:v>2000</c:v>
                </c:pt>
                <c:pt idx="179">
                  <c:v>2000</c:v>
                </c:pt>
                <c:pt idx="180">
                  <c:v>1974.011904761905</c:v>
                </c:pt>
                <c:pt idx="181">
                  <c:v>2000</c:v>
                </c:pt>
                <c:pt idx="182">
                  <c:v>2000</c:v>
                </c:pt>
                <c:pt idx="183">
                  <c:v>2000</c:v>
                </c:pt>
                <c:pt idx="184">
                  <c:v>2000</c:v>
                </c:pt>
                <c:pt idx="185">
                  <c:v>2000</c:v>
                </c:pt>
                <c:pt idx="186">
                  <c:v>2000</c:v>
                </c:pt>
                <c:pt idx="187">
                  <c:v>2000</c:v>
                </c:pt>
                <c:pt idx="188">
                  <c:v>2000</c:v>
                </c:pt>
                <c:pt idx="189">
                  <c:v>2000</c:v>
                </c:pt>
                <c:pt idx="190">
                  <c:v>2000</c:v>
                </c:pt>
                <c:pt idx="191">
                  <c:v>2000</c:v>
                </c:pt>
                <c:pt idx="192">
                  <c:v>2000</c:v>
                </c:pt>
                <c:pt idx="193">
                  <c:v>2000</c:v>
                </c:pt>
                <c:pt idx="194">
                  <c:v>2000</c:v>
                </c:pt>
                <c:pt idx="195">
                  <c:v>2000</c:v>
                </c:pt>
                <c:pt idx="196">
                  <c:v>2000</c:v>
                </c:pt>
                <c:pt idx="197">
                  <c:v>2000</c:v>
                </c:pt>
                <c:pt idx="198">
                  <c:v>2000</c:v>
                </c:pt>
                <c:pt idx="199">
                  <c:v>2000</c:v>
                </c:pt>
                <c:pt idx="200">
                  <c:v>2000</c:v>
                </c:pt>
                <c:pt idx="201">
                  <c:v>2000</c:v>
                </c:pt>
                <c:pt idx="202">
                  <c:v>2000</c:v>
                </c:pt>
                <c:pt idx="203">
                  <c:v>2000</c:v>
                </c:pt>
                <c:pt idx="204">
                  <c:v>2000</c:v>
                </c:pt>
                <c:pt idx="205">
                  <c:v>1924.511904761905</c:v>
                </c:pt>
                <c:pt idx="206">
                  <c:v>2000</c:v>
                </c:pt>
                <c:pt idx="207">
                  <c:v>2000</c:v>
                </c:pt>
                <c:pt idx="208">
                  <c:v>2000</c:v>
                </c:pt>
                <c:pt idx="209">
                  <c:v>2000</c:v>
                </c:pt>
                <c:pt idx="210">
                  <c:v>2000</c:v>
                </c:pt>
                <c:pt idx="211">
                  <c:v>2000</c:v>
                </c:pt>
                <c:pt idx="212">
                  <c:v>2000</c:v>
                </c:pt>
                <c:pt idx="213">
                  <c:v>2000</c:v>
                </c:pt>
                <c:pt idx="214">
                  <c:v>2000</c:v>
                </c:pt>
                <c:pt idx="215">
                  <c:v>2000</c:v>
                </c:pt>
                <c:pt idx="216">
                  <c:v>2000</c:v>
                </c:pt>
                <c:pt idx="217">
                  <c:v>2000</c:v>
                </c:pt>
                <c:pt idx="218">
                  <c:v>2000</c:v>
                </c:pt>
                <c:pt idx="219">
                  <c:v>2000</c:v>
                </c:pt>
                <c:pt idx="220">
                  <c:v>2000</c:v>
                </c:pt>
                <c:pt idx="221">
                  <c:v>2000</c:v>
                </c:pt>
                <c:pt idx="222">
                  <c:v>2000</c:v>
                </c:pt>
                <c:pt idx="223">
                  <c:v>2000</c:v>
                </c:pt>
                <c:pt idx="224">
                  <c:v>2000</c:v>
                </c:pt>
                <c:pt idx="225">
                  <c:v>2000</c:v>
                </c:pt>
                <c:pt idx="226">
                  <c:v>2000</c:v>
                </c:pt>
                <c:pt idx="227">
                  <c:v>2000</c:v>
                </c:pt>
                <c:pt idx="228">
                  <c:v>2000</c:v>
                </c:pt>
                <c:pt idx="229">
                  <c:v>2000</c:v>
                </c:pt>
                <c:pt idx="230">
                  <c:v>2000</c:v>
                </c:pt>
                <c:pt idx="231">
                  <c:v>2000</c:v>
                </c:pt>
                <c:pt idx="232">
                  <c:v>2000</c:v>
                </c:pt>
                <c:pt idx="233">
                  <c:v>2000</c:v>
                </c:pt>
                <c:pt idx="234">
                  <c:v>2000</c:v>
                </c:pt>
                <c:pt idx="235">
                  <c:v>2000</c:v>
                </c:pt>
                <c:pt idx="236">
                  <c:v>2000</c:v>
                </c:pt>
                <c:pt idx="237">
                  <c:v>2000</c:v>
                </c:pt>
                <c:pt idx="238">
                  <c:v>2000</c:v>
                </c:pt>
                <c:pt idx="239">
                  <c:v>2000</c:v>
                </c:pt>
                <c:pt idx="240">
                  <c:v>2000</c:v>
                </c:pt>
                <c:pt idx="241">
                  <c:v>2000</c:v>
                </c:pt>
                <c:pt idx="242">
                  <c:v>2000</c:v>
                </c:pt>
                <c:pt idx="243">
                  <c:v>2000</c:v>
                </c:pt>
                <c:pt idx="244">
                  <c:v>2000</c:v>
                </c:pt>
                <c:pt idx="245">
                  <c:v>2000</c:v>
                </c:pt>
                <c:pt idx="246">
                  <c:v>2000</c:v>
                </c:pt>
                <c:pt idx="247">
                  <c:v>2000</c:v>
                </c:pt>
                <c:pt idx="248">
                  <c:v>2000</c:v>
                </c:pt>
                <c:pt idx="249">
                  <c:v>2000</c:v>
                </c:pt>
                <c:pt idx="250">
                  <c:v>2000</c:v>
                </c:pt>
                <c:pt idx="251">
                  <c:v>2000</c:v>
                </c:pt>
                <c:pt idx="252">
                  <c:v>2000</c:v>
                </c:pt>
                <c:pt idx="253">
                  <c:v>2000</c:v>
                </c:pt>
                <c:pt idx="254">
                  <c:v>2000</c:v>
                </c:pt>
                <c:pt idx="255">
                  <c:v>2000</c:v>
                </c:pt>
                <c:pt idx="256">
                  <c:v>2000</c:v>
                </c:pt>
                <c:pt idx="257">
                  <c:v>2000</c:v>
                </c:pt>
                <c:pt idx="258">
                  <c:v>2000</c:v>
                </c:pt>
                <c:pt idx="259">
                  <c:v>2000</c:v>
                </c:pt>
                <c:pt idx="260">
                  <c:v>2000</c:v>
                </c:pt>
                <c:pt idx="261">
                  <c:v>2000</c:v>
                </c:pt>
                <c:pt idx="262">
                  <c:v>1929.0079365079368</c:v>
                </c:pt>
                <c:pt idx="263">
                  <c:v>2000</c:v>
                </c:pt>
                <c:pt idx="264">
                  <c:v>2000</c:v>
                </c:pt>
                <c:pt idx="265">
                  <c:v>2000</c:v>
                </c:pt>
                <c:pt idx="266">
                  <c:v>2000</c:v>
                </c:pt>
                <c:pt idx="267">
                  <c:v>2000</c:v>
                </c:pt>
                <c:pt idx="268">
                  <c:v>1281.011904761905</c:v>
                </c:pt>
                <c:pt idx="269">
                  <c:v>2000</c:v>
                </c:pt>
                <c:pt idx="270">
                  <c:v>2000</c:v>
                </c:pt>
                <c:pt idx="271">
                  <c:v>2000</c:v>
                </c:pt>
                <c:pt idx="272">
                  <c:v>2000</c:v>
                </c:pt>
                <c:pt idx="273">
                  <c:v>2000</c:v>
                </c:pt>
                <c:pt idx="274">
                  <c:v>2000</c:v>
                </c:pt>
                <c:pt idx="275">
                  <c:v>2000</c:v>
                </c:pt>
                <c:pt idx="276">
                  <c:v>2000</c:v>
                </c:pt>
                <c:pt idx="277">
                  <c:v>2000</c:v>
                </c:pt>
                <c:pt idx="278">
                  <c:v>2000</c:v>
                </c:pt>
                <c:pt idx="279">
                  <c:v>1582.5079365079368</c:v>
                </c:pt>
                <c:pt idx="280">
                  <c:v>2000</c:v>
                </c:pt>
                <c:pt idx="281">
                  <c:v>2000</c:v>
                </c:pt>
                <c:pt idx="282">
                  <c:v>2000</c:v>
                </c:pt>
                <c:pt idx="283">
                  <c:v>2000</c:v>
                </c:pt>
                <c:pt idx="284">
                  <c:v>2000</c:v>
                </c:pt>
                <c:pt idx="285">
                  <c:v>2000</c:v>
                </c:pt>
                <c:pt idx="286">
                  <c:v>2000</c:v>
                </c:pt>
                <c:pt idx="287">
                  <c:v>2000</c:v>
                </c:pt>
                <c:pt idx="288">
                  <c:v>2000</c:v>
                </c:pt>
                <c:pt idx="289">
                  <c:v>2000</c:v>
                </c:pt>
                <c:pt idx="290">
                  <c:v>2000</c:v>
                </c:pt>
                <c:pt idx="291">
                  <c:v>2000</c:v>
                </c:pt>
                <c:pt idx="292">
                  <c:v>2000</c:v>
                </c:pt>
                <c:pt idx="293">
                  <c:v>2000</c:v>
                </c:pt>
                <c:pt idx="294">
                  <c:v>2000</c:v>
                </c:pt>
                <c:pt idx="295">
                  <c:v>2000</c:v>
                </c:pt>
                <c:pt idx="296">
                  <c:v>2000</c:v>
                </c:pt>
                <c:pt idx="297">
                  <c:v>2000</c:v>
                </c:pt>
                <c:pt idx="298">
                  <c:v>2000</c:v>
                </c:pt>
                <c:pt idx="299">
                  <c:v>2000</c:v>
                </c:pt>
                <c:pt idx="300">
                  <c:v>2000</c:v>
                </c:pt>
                <c:pt idx="301">
                  <c:v>2000</c:v>
                </c:pt>
                <c:pt idx="302">
                  <c:v>2000</c:v>
                </c:pt>
                <c:pt idx="303">
                  <c:v>2000</c:v>
                </c:pt>
                <c:pt idx="304">
                  <c:v>2000</c:v>
                </c:pt>
                <c:pt idx="305">
                  <c:v>2000</c:v>
                </c:pt>
                <c:pt idx="306">
                  <c:v>2000</c:v>
                </c:pt>
                <c:pt idx="307">
                  <c:v>2000</c:v>
                </c:pt>
                <c:pt idx="308">
                  <c:v>2000</c:v>
                </c:pt>
                <c:pt idx="309">
                  <c:v>2000</c:v>
                </c:pt>
                <c:pt idx="310">
                  <c:v>2000</c:v>
                </c:pt>
                <c:pt idx="311">
                  <c:v>2000</c:v>
                </c:pt>
                <c:pt idx="312">
                  <c:v>2000</c:v>
                </c:pt>
                <c:pt idx="313">
                  <c:v>2000</c:v>
                </c:pt>
                <c:pt idx="314">
                  <c:v>2000</c:v>
                </c:pt>
                <c:pt idx="315">
                  <c:v>2000</c:v>
                </c:pt>
                <c:pt idx="316">
                  <c:v>2000</c:v>
                </c:pt>
                <c:pt idx="317">
                  <c:v>2000</c:v>
                </c:pt>
                <c:pt idx="318">
                  <c:v>2000</c:v>
                </c:pt>
                <c:pt idx="319">
                  <c:v>2000</c:v>
                </c:pt>
                <c:pt idx="320">
                  <c:v>2000</c:v>
                </c:pt>
                <c:pt idx="321">
                  <c:v>2000</c:v>
                </c:pt>
                <c:pt idx="322">
                  <c:v>2000</c:v>
                </c:pt>
                <c:pt idx="323">
                  <c:v>2000</c:v>
                </c:pt>
                <c:pt idx="324">
                  <c:v>2000</c:v>
                </c:pt>
                <c:pt idx="325">
                  <c:v>2000</c:v>
                </c:pt>
                <c:pt idx="326">
                  <c:v>2000</c:v>
                </c:pt>
                <c:pt idx="327">
                  <c:v>2000</c:v>
                </c:pt>
                <c:pt idx="328">
                  <c:v>2000</c:v>
                </c:pt>
                <c:pt idx="329">
                  <c:v>2000</c:v>
                </c:pt>
                <c:pt idx="330">
                  <c:v>2000</c:v>
                </c:pt>
                <c:pt idx="331">
                  <c:v>2000</c:v>
                </c:pt>
                <c:pt idx="332">
                  <c:v>2000</c:v>
                </c:pt>
                <c:pt idx="333">
                  <c:v>2000</c:v>
                </c:pt>
                <c:pt idx="334">
                  <c:v>2000</c:v>
                </c:pt>
                <c:pt idx="335">
                  <c:v>2000</c:v>
                </c:pt>
                <c:pt idx="336">
                  <c:v>2000</c:v>
                </c:pt>
                <c:pt idx="337">
                  <c:v>2000</c:v>
                </c:pt>
                <c:pt idx="338">
                  <c:v>2000</c:v>
                </c:pt>
                <c:pt idx="339">
                  <c:v>2000</c:v>
                </c:pt>
                <c:pt idx="340">
                  <c:v>2000</c:v>
                </c:pt>
                <c:pt idx="341">
                  <c:v>2000</c:v>
                </c:pt>
                <c:pt idx="342">
                  <c:v>2000</c:v>
                </c:pt>
                <c:pt idx="343">
                  <c:v>2000</c:v>
                </c:pt>
                <c:pt idx="344">
                  <c:v>2000</c:v>
                </c:pt>
                <c:pt idx="345">
                  <c:v>2000</c:v>
                </c:pt>
                <c:pt idx="346">
                  <c:v>2000</c:v>
                </c:pt>
                <c:pt idx="347">
                  <c:v>2000</c:v>
                </c:pt>
                <c:pt idx="348">
                  <c:v>2000</c:v>
                </c:pt>
                <c:pt idx="349">
                  <c:v>2000</c:v>
                </c:pt>
                <c:pt idx="350">
                  <c:v>2000</c:v>
                </c:pt>
                <c:pt idx="351">
                  <c:v>2000</c:v>
                </c:pt>
                <c:pt idx="352">
                  <c:v>2000</c:v>
                </c:pt>
                <c:pt idx="353">
                  <c:v>2000</c:v>
                </c:pt>
                <c:pt idx="354">
                  <c:v>2000</c:v>
                </c:pt>
                <c:pt idx="355">
                  <c:v>2000</c:v>
                </c:pt>
                <c:pt idx="356">
                  <c:v>2000</c:v>
                </c:pt>
                <c:pt idx="357">
                  <c:v>2000</c:v>
                </c:pt>
                <c:pt idx="358">
                  <c:v>2000</c:v>
                </c:pt>
                <c:pt idx="359">
                  <c:v>439.51190476190504</c:v>
                </c:pt>
                <c:pt idx="360">
                  <c:v>2000</c:v>
                </c:pt>
                <c:pt idx="361">
                  <c:v>2000</c:v>
                </c:pt>
                <c:pt idx="362">
                  <c:v>2000</c:v>
                </c:pt>
                <c:pt idx="363">
                  <c:v>2000</c:v>
                </c:pt>
                <c:pt idx="364">
                  <c:v>2000</c:v>
                </c:pt>
                <c:pt idx="365">
                  <c:v>2000</c:v>
                </c:pt>
              </c:numCache>
            </c:numRef>
          </c:val>
          <c:smooth val="0"/>
          <c:extLst>
            <c:ext xmlns:c16="http://schemas.microsoft.com/office/drawing/2014/chart" uri="{C3380CC4-5D6E-409C-BE32-E72D297353CC}">
              <c16:uniqueId val="{00000001-48F0-4BBA-BCB3-AC1A320CE845}"/>
            </c:ext>
          </c:extLst>
        </c:ser>
        <c:dLbls>
          <c:showLegendKey val="0"/>
          <c:showVal val="0"/>
          <c:showCatName val="0"/>
          <c:showSerName val="0"/>
          <c:showPercent val="0"/>
          <c:showBubbleSize val="0"/>
        </c:dLbls>
        <c:smooth val="0"/>
        <c:axId val="983491295"/>
        <c:axId val="983495615"/>
      </c:lineChart>
      <c:catAx>
        <c:axId val="98349129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495615"/>
        <c:crosses val="autoZero"/>
        <c:auto val="1"/>
        <c:lblAlgn val="ctr"/>
        <c:lblOffset val="100"/>
        <c:noMultiLvlLbl val="0"/>
      </c:catAx>
      <c:valAx>
        <c:axId val="98349561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4912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Rain Fall vs. Volume Stored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'Studio Rain System'!$J$21</c:f>
              <c:strCache>
                <c:ptCount val="1"/>
                <c:pt idx="0">
                  <c:v>Rainfall [mm]</c:v>
                </c:pt>
              </c:strCache>
            </c:strRef>
          </c:tx>
          <c:spPr>
            <a:ln w="28575" cap="rnd">
              <a:solidFill>
                <a:schemeClr val="accent1"/>
              </a:solidFill>
              <a:round/>
            </a:ln>
            <a:effectLst/>
          </c:spPr>
          <c:marker>
            <c:symbol val="none"/>
          </c:marker>
          <c:val>
            <c:numRef>
              <c:f>'Studio Rain System'!$J$22:$J$387</c:f>
              <c:numCache>
                <c:formatCode>General</c:formatCode>
                <c:ptCount val="366"/>
                <c:pt idx="1">
                  <c:v>18.8</c:v>
                </c:pt>
                <c:pt idx="2">
                  <c:v>19.8</c:v>
                </c:pt>
                <c:pt idx="3">
                  <c:v>0</c:v>
                </c:pt>
                <c:pt idx="4">
                  <c:v>0</c:v>
                </c:pt>
                <c:pt idx="5">
                  <c:v>0</c:v>
                </c:pt>
                <c:pt idx="6">
                  <c:v>5</c:v>
                </c:pt>
                <c:pt idx="7">
                  <c:v>20.399999999999999</c:v>
                </c:pt>
                <c:pt idx="8">
                  <c:v>24.8</c:v>
                </c:pt>
                <c:pt idx="9">
                  <c:v>34</c:v>
                </c:pt>
                <c:pt idx="10">
                  <c:v>44.6</c:v>
                </c:pt>
                <c:pt idx="11">
                  <c:v>14.4</c:v>
                </c:pt>
                <c:pt idx="12">
                  <c:v>50.2</c:v>
                </c:pt>
                <c:pt idx="13">
                  <c:v>9.6</c:v>
                </c:pt>
                <c:pt idx="14">
                  <c:v>5.8</c:v>
                </c:pt>
                <c:pt idx="15">
                  <c:v>1.6</c:v>
                </c:pt>
                <c:pt idx="16">
                  <c:v>0.8</c:v>
                </c:pt>
                <c:pt idx="17">
                  <c:v>0</c:v>
                </c:pt>
                <c:pt idx="18">
                  <c:v>2.6</c:v>
                </c:pt>
                <c:pt idx="19">
                  <c:v>1</c:v>
                </c:pt>
                <c:pt idx="20">
                  <c:v>0.6</c:v>
                </c:pt>
                <c:pt idx="21">
                  <c:v>0.8</c:v>
                </c:pt>
                <c:pt idx="22">
                  <c:v>0.6</c:v>
                </c:pt>
                <c:pt idx="23">
                  <c:v>0</c:v>
                </c:pt>
                <c:pt idx="24">
                  <c:v>0</c:v>
                </c:pt>
                <c:pt idx="25">
                  <c:v>0</c:v>
                </c:pt>
                <c:pt idx="26">
                  <c:v>0</c:v>
                </c:pt>
                <c:pt idx="27">
                  <c:v>17.600000000000001</c:v>
                </c:pt>
                <c:pt idx="28">
                  <c:v>0</c:v>
                </c:pt>
                <c:pt idx="29">
                  <c:v>0</c:v>
                </c:pt>
                <c:pt idx="30">
                  <c:v>0</c:v>
                </c:pt>
                <c:pt idx="31">
                  <c:v>2.6</c:v>
                </c:pt>
                <c:pt idx="32">
                  <c:v>2.6</c:v>
                </c:pt>
                <c:pt idx="33">
                  <c:v>0</c:v>
                </c:pt>
                <c:pt idx="34">
                  <c:v>0</c:v>
                </c:pt>
                <c:pt idx="35">
                  <c:v>0</c:v>
                </c:pt>
                <c:pt idx="36">
                  <c:v>0</c:v>
                </c:pt>
                <c:pt idx="37">
                  <c:v>0</c:v>
                </c:pt>
                <c:pt idx="38">
                  <c:v>0</c:v>
                </c:pt>
                <c:pt idx="39">
                  <c:v>0</c:v>
                </c:pt>
                <c:pt idx="40">
                  <c:v>12.2</c:v>
                </c:pt>
                <c:pt idx="41">
                  <c:v>13.4</c:v>
                </c:pt>
                <c:pt idx="42">
                  <c:v>46.6</c:v>
                </c:pt>
                <c:pt idx="43">
                  <c:v>16.8</c:v>
                </c:pt>
                <c:pt idx="44">
                  <c:v>15.6</c:v>
                </c:pt>
                <c:pt idx="45">
                  <c:v>3</c:v>
                </c:pt>
                <c:pt idx="46">
                  <c:v>11.6</c:v>
                </c:pt>
                <c:pt idx="47">
                  <c:v>19</c:v>
                </c:pt>
                <c:pt idx="48">
                  <c:v>9.1999999999999993</c:v>
                </c:pt>
                <c:pt idx="49">
                  <c:v>12.6</c:v>
                </c:pt>
                <c:pt idx="50">
                  <c:v>21.8</c:v>
                </c:pt>
                <c:pt idx="51">
                  <c:v>2.4</c:v>
                </c:pt>
                <c:pt idx="52">
                  <c:v>0.8</c:v>
                </c:pt>
                <c:pt idx="53">
                  <c:v>4.8</c:v>
                </c:pt>
                <c:pt idx="54">
                  <c:v>14.6</c:v>
                </c:pt>
                <c:pt idx="55">
                  <c:v>6.8</c:v>
                </c:pt>
                <c:pt idx="56">
                  <c:v>0</c:v>
                </c:pt>
                <c:pt idx="57">
                  <c:v>0.8</c:v>
                </c:pt>
                <c:pt idx="58">
                  <c:v>0</c:v>
                </c:pt>
                <c:pt idx="59">
                  <c:v>0.4</c:v>
                </c:pt>
                <c:pt idx="60">
                  <c:v>2</c:v>
                </c:pt>
                <c:pt idx="61">
                  <c:v>19</c:v>
                </c:pt>
                <c:pt idx="62">
                  <c:v>1</c:v>
                </c:pt>
                <c:pt idx="63">
                  <c:v>2.4</c:v>
                </c:pt>
                <c:pt idx="64">
                  <c:v>23.8</c:v>
                </c:pt>
                <c:pt idx="65">
                  <c:v>8.6</c:v>
                </c:pt>
                <c:pt idx="66">
                  <c:v>34</c:v>
                </c:pt>
                <c:pt idx="67">
                  <c:v>52.4</c:v>
                </c:pt>
                <c:pt idx="68">
                  <c:v>10.6</c:v>
                </c:pt>
                <c:pt idx="69">
                  <c:v>2.4</c:v>
                </c:pt>
                <c:pt idx="70">
                  <c:v>0</c:v>
                </c:pt>
                <c:pt idx="71">
                  <c:v>2.8</c:v>
                </c:pt>
                <c:pt idx="72">
                  <c:v>20.2</c:v>
                </c:pt>
                <c:pt idx="73">
                  <c:v>13.8</c:v>
                </c:pt>
                <c:pt idx="74">
                  <c:v>22.8</c:v>
                </c:pt>
                <c:pt idx="75">
                  <c:v>5.4</c:v>
                </c:pt>
                <c:pt idx="76">
                  <c:v>0.4</c:v>
                </c:pt>
                <c:pt idx="77">
                  <c:v>31</c:v>
                </c:pt>
                <c:pt idx="78">
                  <c:v>1.6</c:v>
                </c:pt>
                <c:pt idx="79">
                  <c:v>1.6</c:v>
                </c:pt>
                <c:pt idx="80">
                  <c:v>7.6</c:v>
                </c:pt>
                <c:pt idx="81">
                  <c:v>2.6</c:v>
                </c:pt>
                <c:pt idx="82">
                  <c:v>0</c:v>
                </c:pt>
                <c:pt idx="83">
                  <c:v>4</c:v>
                </c:pt>
                <c:pt idx="84">
                  <c:v>31</c:v>
                </c:pt>
                <c:pt idx="85">
                  <c:v>0.2</c:v>
                </c:pt>
                <c:pt idx="86">
                  <c:v>4.4000000000000004</c:v>
                </c:pt>
                <c:pt idx="87">
                  <c:v>23.6</c:v>
                </c:pt>
                <c:pt idx="88">
                  <c:v>41.6</c:v>
                </c:pt>
                <c:pt idx="89">
                  <c:v>3</c:v>
                </c:pt>
                <c:pt idx="90">
                  <c:v>0</c:v>
                </c:pt>
                <c:pt idx="91">
                  <c:v>0</c:v>
                </c:pt>
                <c:pt idx="92">
                  <c:v>5.6</c:v>
                </c:pt>
                <c:pt idx="93">
                  <c:v>20.399999999999999</c:v>
                </c:pt>
                <c:pt idx="94">
                  <c:v>2.6</c:v>
                </c:pt>
                <c:pt idx="95">
                  <c:v>15.9</c:v>
                </c:pt>
                <c:pt idx="96">
                  <c:v>9.4</c:v>
                </c:pt>
                <c:pt idx="97">
                  <c:v>13.6</c:v>
                </c:pt>
                <c:pt idx="98">
                  <c:v>5.6</c:v>
                </c:pt>
                <c:pt idx="99">
                  <c:v>0</c:v>
                </c:pt>
                <c:pt idx="100">
                  <c:v>16.600000000000001</c:v>
                </c:pt>
                <c:pt idx="101">
                  <c:v>0</c:v>
                </c:pt>
                <c:pt idx="102">
                  <c:v>0</c:v>
                </c:pt>
                <c:pt idx="103">
                  <c:v>0</c:v>
                </c:pt>
                <c:pt idx="104">
                  <c:v>14.8</c:v>
                </c:pt>
                <c:pt idx="105">
                  <c:v>20.8</c:v>
                </c:pt>
                <c:pt idx="106">
                  <c:v>37.4</c:v>
                </c:pt>
                <c:pt idx="107">
                  <c:v>9.8000000000000007</c:v>
                </c:pt>
                <c:pt idx="108">
                  <c:v>1.9</c:v>
                </c:pt>
                <c:pt idx="109">
                  <c:v>21</c:v>
                </c:pt>
                <c:pt idx="110">
                  <c:v>30</c:v>
                </c:pt>
                <c:pt idx="111">
                  <c:v>0</c:v>
                </c:pt>
                <c:pt idx="112">
                  <c:v>4.4000000000000004</c:v>
                </c:pt>
                <c:pt idx="113">
                  <c:v>12.8</c:v>
                </c:pt>
                <c:pt idx="114">
                  <c:v>26</c:v>
                </c:pt>
                <c:pt idx="115">
                  <c:v>1.8</c:v>
                </c:pt>
                <c:pt idx="116">
                  <c:v>35</c:v>
                </c:pt>
                <c:pt idx="117">
                  <c:v>7.2</c:v>
                </c:pt>
                <c:pt idx="118">
                  <c:v>0.8</c:v>
                </c:pt>
                <c:pt idx="119">
                  <c:v>0.1</c:v>
                </c:pt>
                <c:pt idx="120">
                  <c:v>0</c:v>
                </c:pt>
                <c:pt idx="121">
                  <c:v>0</c:v>
                </c:pt>
                <c:pt idx="122">
                  <c:v>2</c:v>
                </c:pt>
                <c:pt idx="123">
                  <c:v>4.5999999999999996</c:v>
                </c:pt>
                <c:pt idx="124">
                  <c:v>3.8</c:v>
                </c:pt>
                <c:pt idx="125">
                  <c:v>0</c:v>
                </c:pt>
                <c:pt idx="126">
                  <c:v>0</c:v>
                </c:pt>
                <c:pt idx="127">
                  <c:v>0</c:v>
                </c:pt>
                <c:pt idx="128">
                  <c:v>0</c:v>
                </c:pt>
                <c:pt idx="129">
                  <c:v>0</c:v>
                </c:pt>
                <c:pt idx="130">
                  <c:v>0.2</c:v>
                </c:pt>
                <c:pt idx="131">
                  <c:v>0</c:v>
                </c:pt>
                <c:pt idx="132">
                  <c:v>0.2</c:v>
                </c:pt>
                <c:pt idx="133">
                  <c:v>0</c:v>
                </c:pt>
                <c:pt idx="134">
                  <c:v>0</c:v>
                </c:pt>
                <c:pt idx="135">
                  <c:v>0</c:v>
                </c:pt>
                <c:pt idx="136">
                  <c:v>2.8</c:v>
                </c:pt>
                <c:pt idx="137">
                  <c:v>0</c:v>
                </c:pt>
                <c:pt idx="138">
                  <c:v>0</c:v>
                </c:pt>
                <c:pt idx="139">
                  <c:v>0</c:v>
                </c:pt>
                <c:pt idx="140">
                  <c:v>0</c:v>
                </c:pt>
                <c:pt idx="141">
                  <c:v>8.1999999999999993</c:v>
                </c:pt>
                <c:pt idx="142">
                  <c:v>29.6</c:v>
                </c:pt>
                <c:pt idx="143">
                  <c:v>0.8</c:v>
                </c:pt>
                <c:pt idx="144">
                  <c:v>5.2</c:v>
                </c:pt>
                <c:pt idx="145">
                  <c:v>23.4</c:v>
                </c:pt>
                <c:pt idx="146">
                  <c:v>0</c:v>
                </c:pt>
                <c:pt idx="147">
                  <c:v>4.4000000000000004</c:v>
                </c:pt>
                <c:pt idx="148">
                  <c:v>0</c:v>
                </c:pt>
                <c:pt idx="149">
                  <c:v>0</c:v>
                </c:pt>
                <c:pt idx="150">
                  <c:v>0</c:v>
                </c:pt>
                <c:pt idx="151">
                  <c:v>0</c:v>
                </c:pt>
                <c:pt idx="152">
                  <c:v>0</c:v>
                </c:pt>
                <c:pt idx="153">
                  <c:v>0</c:v>
                </c:pt>
                <c:pt idx="154">
                  <c:v>0</c:v>
                </c:pt>
                <c:pt idx="155">
                  <c:v>0</c:v>
                </c:pt>
                <c:pt idx="156">
                  <c:v>0</c:v>
                </c:pt>
                <c:pt idx="157">
                  <c:v>0</c:v>
                </c:pt>
                <c:pt idx="158">
                  <c:v>0</c:v>
                </c:pt>
                <c:pt idx="159">
                  <c:v>0.2</c:v>
                </c:pt>
                <c:pt idx="160">
                  <c:v>0</c:v>
                </c:pt>
                <c:pt idx="161">
                  <c:v>0</c:v>
                </c:pt>
                <c:pt idx="162">
                  <c:v>0</c:v>
                </c:pt>
                <c:pt idx="163">
                  <c:v>0</c:v>
                </c:pt>
                <c:pt idx="164">
                  <c:v>0</c:v>
                </c:pt>
                <c:pt idx="165">
                  <c:v>3.6</c:v>
                </c:pt>
                <c:pt idx="166">
                  <c:v>0</c:v>
                </c:pt>
                <c:pt idx="167">
                  <c:v>0</c:v>
                </c:pt>
                <c:pt idx="168">
                  <c:v>0</c:v>
                </c:pt>
                <c:pt idx="169">
                  <c:v>1.6</c:v>
                </c:pt>
                <c:pt idx="170">
                  <c:v>20.8</c:v>
                </c:pt>
                <c:pt idx="171">
                  <c:v>3.2</c:v>
                </c:pt>
                <c:pt idx="172">
                  <c:v>1.2</c:v>
                </c:pt>
                <c:pt idx="173">
                  <c:v>0</c:v>
                </c:pt>
                <c:pt idx="174">
                  <c:v>15.4</c:v>
                </c:pt>
                <c:pt idx="175">
                  <c:v>1.2</c:v>
                </c:pt>
                <c:pt idx="176">
                  <c:v>0</c:v>
                </c:pt>
                <c:pt idx="177">
                  <c:v>5.8</c:v>
                </c:pt>
                <c:pt idx="178">
                  <c:v>20.399999999999999</c:v>
                </c:pt>
                <c:pt idx="179">
                  <c:v>20.399999999999999</c:v>
                </c:pt>
                <c:pt idx="180">
                  <c:v>0.6</c:v>
                </c:pt>
                <c:pt idx="181">
                  <c:v>0</c:v>
                </c:pt>
                <c:pt idx="182">
                  <c:v>0</c:v>
                </c:pt>
                <c:pt idx="183">
                  <c:v>1.8</c:v>
                </c:pt>
                <c:pt idx="184">
                  <c:v>6.2</c:v>
                </c:pt>
                <c:pt idx="185">
                  <c:v>9.4</c:v>
                </c:pt>
                <c:pt idx="186">
                  <c:v>26.6</c:v>
                </c:pt>
                <c:pt idx="187">
                  <c:v>13.6</c:v>
                </c:pt>
                <c:pt idx="188">
                  <c:v>0</c:v>
                </c:pt>
                <c:pt idx="189">
                  <c:v>0</c:v>
                </c:pt>
                <c:pt idx="190">
                  <c:v>0</c:v>
                </c:pt>
                <c:pt idx="191">
                  <c:v>0</c:v>
                </c:pt>
                <c:pt idx="192">
                  <c:v>0</c:v>
                </c:pt>
                <c:pt idx="193">
                  <c:v>0</c:v>
                </c:pt>
                <c:pt idx="194">
                  <c:v>0</c:v>
                </c:pt>
                <c:pt idx="195">
                  <c:v>0</c:v>
                </c:pt>
                <c:pt idx="196">
                  <c:v>0</c:v>
                </c:pt>
                <c:pt idx="197">
                  <c:v>0</c:v>
                </c:pt>
                <c:pt idx="198">
                  <c:v>0</c:v>
                </c:pt>
                <c:pt idx="199">
                  <c:v>37</c:v>
                </c:pt>
                <c:pt idx="200">
                  <c:v>1.8</c:v>
                </c:pt>
                <c:pt idx="201">
                  <c:v>0</c:v>
                </c:pt>
                <c:pt idx="202">
                  <c:v>0</c:v>
                </c:pt>
                <c:pt idx="203">
                  <c:v>8</c:v>
                </c:pt>
                <c:pt idx="204">
                  <c:v>18.2</c:v>
                </c:pt>
                <c:pt idx="205">
                  <c:v>0.6</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0.4</c:v>
                </c:pt>
                <c:pt idx="241">
                  <c:v>7.8</c:v>
                </c:pt>
                <c:pt idx="242">
                  <c:v>3.6</c:v>
                </c:pt>
                <c:pt idx="243">
                  <c:v>10.6</c:v>
                </c:pt>
                <c:pt idx="244">
                  <c:v>3.2</c:v>
                </c:pt>
                <c:pt idx="245">
                  <c:v>6.2</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26.4</c:v>
                </c:pt>
                <c:pt idx="262">
                  <c:v>0.4</c:v>
                </c:pt>
                <c:pt idx="263">
                  <c:v>0</c:v>
                </c:pt>
                <c:pt idx="264">
                  <c:v>2</c:v>
                </c:pt>
                <c:pt idx="265">
                  <c:v>12.4</c:v>
                </c:pt>
                <c:pt idx="266">
                  <c:v>29.4</c:v>
                </c:pt>
                <c:pt idx="267">
                  <c:v>1.6</c:v>
                </c:pt>
                <c:pt idx="268">
                  <c:v>0.6</c:v>
                </c:pt>
                <c:pt idx="269">
                  <c:v>8.1999999999999993</c:v>
                </c:pt>
                <c:pt idx="270">
                  <c:v>0</c:v>
                </c:pt>
                <c:pt idx="271">
                  <c:v>12.4</c:v>
                </c:pt>
                <c:pt idx="272">
                  <c:v>5.6</c:v>
                </c:pt>
                <c:pt idx="273">
                  <c:v>0</c:v>
                </c:pt>
                <c:pt idx="274">
                  <c:v>0</c:v>
                </c:pt>
                <c:pt idx="275">
                  <c:v>0</c:v>
                </c:pt>
                <c:pt idx="276">
                  <c:v>57.8</c:v>
                </c:pt>
                <c:pt idx="277">
                  <c:v>6</c:v>
                </c:pt>
                <c:pt idx="278">
                  <c:v>9.1999999999999993</c:v>
                </c:pt>
                <c:pt idx="279">
                  <c:v>0.4</c:v>
                </c:pt>
                <c:pt idx="280">
                  <c:v>0</c:v>
                </c:pt>
                <c:pt idx="281">
                  <c:v>1.4</c:v>
                </c:pt>
                <c:pt idx="282">
                  <c:v>1.8</c:v>
                </c:pt>
                <c:pt idx="283">
                  <c:v>17.8</c:v>
                </c:pt>
                <c:pt idx="284">
                  <c:v>15.4</c:v>
                </c:pt>
                <c:pt idx="285">
                  <c:v>33</c:v>
                </c:pt>
                <c:pt idx="286">
                  <c:v>31.4</c:v>
                </c:pt>
                <c:pt idx="287">
                  <c:v>28.4</c:v>
                </c:pt>
                <c:pt idx="288">
                  <c:v>6.4</c:v>
                </c:pt>
                <c:pt idx="289">
                  <c:v>17.2</c:v>
                </c:pt>
                <c:pt idx="290">
                  <c:v>27</c:v>
                </c:pt>
                <c:pt idx="291">
                  <c:v>16.8</c:v>
                </c:pt>
                <c:pt idx="292">
                  <c:v>46.2</c:v>
                </c:pt>
                <c:pt idx="293">
                  <c:v>10.8</c:v>
                </c:pt>
                <c:pt idx="294">
                  <c:v>40.200000000000003</c:v>
                </c:pt>
                <c:pt idx="295">
                  <c:v>21.4</c:v>
                </c:pt>
                <c:pt idx="296">
                  <c:v>9.4</c:v>
                </c:pt>
                <c:pt idx="297">
                  <c:v>1.6</c:v>
                </c:pt>
                <c:pt idx="298">
                  <c:v>21.8</c:v>
                </c:pt>
                <c:pt idx="299">
                  <c:v>2.4</c:v>
                </c:pt>
                <c:pt idx="300">
                  <c:v>33.6</c:v>
                </c:pt>
                <c:pt idx="301">
                  <c:v>24.4</c:v>
                </c:pt>
                <c:pt idx="302">
                  <c:v>7</c:v>
                </c:pt>
                <c:pt idx="303">
                  <c:v>9</c:v>
                </c:pt>
                <c:pt idx="304">
                  <c:v>15</c:v>
                </c:pt>
                <c:pt idx="305">
                  <c:v>6.4</c:v>
                </c:pt>
                <c:pt idx="306">
                  <c:v>37.6</c:v>
                </c:pt>
                <c:pt idx="307">
                  <c:v>35.200000000000003</c:v>
                </c:pt>
                <c:pt idx="308">
                  <c:v>9</c:v>
                </c:pt>
                <c:pt idx="309">
                  <c:v>4.4000000000000004</c:v>
                </c:pt>
                <c:pt idx="310">
                  <c:v>20.2</c:v>
                </c:pt>
                <c:pt idx="311">
                  <c:v>1.4</c:v>
                </c:pt>
                <c:pt idx="312">
                  <c:v>34</c:v>
                </c:pt>
                <c:pt idx="313">
                  <c:v>0</c:v>
                </c:pt>
                <c:pt idx="314">
                  <c:v>0</c:v>
                </c:pt>
                <c:pt idx="315">
                  <c:v>0</c:v>
                </c:pt>
                <c:pt idx="316">
                  <c:v>0</c:v>
                </c:pt>
                <c:pt idx="317">
                  <c:v>0</c:v>
                </c:pt>
                <c:pt idx="318">
                  <c:v>0</c:v>
                </c:pt>
                <c:pt idx="319">
                  <c:v>0</c:v>
                </c:pt>
                <c:pt idx="320">
                  <c:v>0</c:v>
                </c:pt>
                <c:pt idx="321">
                  <c:v>0</c:v>
                </c:pt>
                <c:pt idx="322">
                  <c:v>0</c:v>
                </c:pt>
                <c:pt idx="323">
                  <c:v>3.4</c:v>
                </c:pt>
                <c:pt idx="324">
                  <c:v>29.4</c:v>
                </c:pt>
                <c:pt idx="325">
                  <c:v>32.799999999999997</c:v>
                </c:pt>
                <c:pt idx="326">
                  <c:v>25.6</c:v>
                </c:pt>
                <c:pt idx="327">
                  <c:v>15.2</c:v>
                </c:pt>
                <c:pt idx="328">
                  <c:v>60.6</c:v>
                </c:pt>
                <c:pt idx="329">
                  <c:v>15</c:v>
                </c:pt>
                <c:pt idx="330">
                  <c:v>43</c:v>
                </c:pt>
                <c:pt idx="331">
                  <c:v>15</c:v>
                </c:pt>
                <c:pt idx="332">
                  <c:v>0</c:v>
                </c:pt>
                <c:pt idx="333">
                  <c:v>0</c:v>
                </c:pt>
                <c:pt idx="334">
                  <c:v>0</c:v>
                </c:pt>
                <c:pt idx="335">
                  <c:v>0</c:v>
                </c:pt>
                <c:pt idx="336">
                  <c:v>0</c:v>
                </c:pt>
                <c:pt idx="337">
                  <c:v>0</c:v>
                </c:pt>
                <c:pt idx="338">
                  <c:v>1.2</c:v>
                </c:pt>
                <c:pt idx="339">
                  <c:v>45.4</c:v>
                </c:pt>
                <c:pt idx="340">
                  <c:v>0.8</c:v>
                </c:pt>
                <c:pt idx="341">
                  <c:v>15.2</c:v>
                </c:pt>
                <c:pt idx="342">
                  <c:v>48.6</c:v>
                </c:pt>
                <c:pt idx="343">
                  <c:v>34.200000000000003</c:v>
                </c:pt>
                <c:pt idx="344">
                  <c:v>4.4000000000000004</c:v>
                </c:pt>
                <c:pt idx="345">
                  <c:v>17.8</c:v>
                </c:pt>
                <c:pt idx="346">
                  <c:v>1.4</c:v>
                </c:pt>
                <c:pt idx="347">
                  <c:v>1</c:v>
                </c:pt>
                <c:pt idx="348">
                  <c:v>0</c:v>
                </c:pt>
                <c:pt idx="349">
                  <c:v>9</c:v>
                </c:pt>
                <c:pt idx="350">
                  <c:v>20.2</c:v>
                </c:pt>
                <c:pt idx="351">
                  <c:v>0.8</c:v>
                </c:pt>
                <c:pt idx="352">
                  <c:v>24.6</c:v>
                </c:pt>
                <c:pt idx="353">
                  <c:v>0</c:v>
                </c:pt>
                <c:pt idx="354">
                  <c:v>0</c:v>
                </c:pt>
                <c:pt idx="355">
                  <c:v>8.8000000000000007</c:v>
                </c:pt>
                <c:pt idx="356">
                  <c:v>11.6</c:v>
                </c:pt>
                <c:pt idx="357">
                  <c:v>10</c:v>
                </c:pt>
                <c:pt idx="358">
                  <c:v>2.2000000000000002</c:v>
                </c:pt>
                <c:pt idx="359">
                  <c:v>0.6</c:v>
                </c:pt>
                <c:pt idx="360">
                  <c:v>10.199999999999999</c:v>
                </c:pt>
                <c:pt idx="361">
                  <c:v>5.4</c:v>
                </c:pt>
                <c:pt idx="362">
                  <c:v>0</c:v>
                </c:pt>
                <c:pt idx="363">
                  <c:v>0</c:v>
                </c:pt>
                <c:pt idx="364">
                  <c:v>0</c:v>
                </c:pt>
                <c:pt idx="365">
                  <c:v>0</c:v>
                </c:pt>
              </c:numCache>
            </c:numRef>
          </c:val>
          <c:smooth val="0"/>
          <c:extLst>
            <c:ext xmlns:c16="http://schemas.microsoft.com/office/drawing/2014/chart" uri="{C3380CC4-5D6E-409C-BE32-E72D297353CC}">
              <c16:uniqueId val="{00000000-32DE-451C-AB20-67EDC79EA4A5}"/>
            </c:ext>
          </c:extLst>
        </c:ser>
        <c:ser>
          <c:idx val="1"/>
          <c:order val="1"/>
          <c:tx>
            <c:strRef>
              <c:f>'Studio Rain System'!$L$21</c:f>
              <c:strCache>
                <c:ptCount val="1"/>
                <c:pt idx="0">
                  <c:v>V_water [m^3]</c:v>
                </c:pt>
              </c:strCache>
            </c:strRef>
          </c:tx>
          <c:spPr>
            <a:ln w="28575" cap="rnd">
              <a:solidFill>
                <a:schemeClr val="accent2"/>
              </a:solidFill>
              <a:round/>
            </a:ln>
            <a:effectLst/>
          </c:spPr>
          <c:marker>
            <c:symbol val="none"/>
          </c:marker>
          <c:val>
            <c:numRef>
              <c:f>'Studio Rain System'!$L$22:$L$387</c:f>
              <c:numCache>
                <c:formatCode>General</c:formatCode>
                <c:ptCount val="366"/>
                <c:pt idx="1">
                  <c:v>20.68</c:v>
                </c:pt>
                <c:pt idx="2">
                  <c:v>20</c:v>
                </c:pt>
                <c:pt idx="3">
                  <c:v>20</c:v>
                </c:pt>
                <c:pt idx="4">
                  <c:v>20</c:v>
                </c:pt>
                <c:pt idx="5">
                  <c:v>20</c:v>
                </c:pt>
                <c:pt idx="6">
                  <c:v>20</c:v>
                </c:pt>
                <c:pt idx="7">
                  <c:v>20</c:v>
                </c:pt>
                <c:pt idx="8">
                  <c:v>20</c:v>
                </c:pt>
                <c:pt idx="9">
                  <c:v>20</c:v>
                </c:pt>
                <c:pt idx="10">
                  <c:v>20</c:v>
                </c:pt>
                <c:pt idx="11">
                  <c:v>20</c:v>
                </c:pt>
                <c:pt idx="12">
                  <c:v>20</c:v>
                </c:pt>
                <c:pt idx="13">
                  <c:v>20</c:v>
                </c:pt>
                <c:pt idx="14">
                  <c:v>20</c:v>
                </c:pt>
                <c:pt idx="15">
                  <c:v>20</c:v>
                </c:pt>
                <c:pt idx="16">
                  <c:v>20</c:v>
                </c:pt>
                <c:pt idx="17">
                  <c:v>20</c:v>
                </c:pt>
                <c:pt idx="18">
                  <c:v>20</c:v>
                </c:pt>
                <c:pt idx="19">
                  <c:v>20</c:v>
                </c:pt>
                <c:pt idx="20">
                  <c:v>20</c:v>
                </c:pt>
                <c:pt idx="21">
                  <c:v>20</c:v>
                </c:pt>
                <c:pt idx="22">
                  <c:v>20</c:v>
                </c:pt>
                <c:pt idx="23">
                  <c:v>20</c:v>
                </c:pt>
                <c:pt idx="24">
                  <c:v>20</c:v>
                </c:pt>
                <c:pt idx="25">
                  <c:v>20</c:v>
                </c:pt>
                <c:pt idx="26">
                  <c:v>20</c:v>
                </c:pt>
                <c:pt idx="27">
                  <c:v>20</c:v>
                </c:pt>
                <c:pt idx="28">
                  <c:v>20</c:v>
                </c:pt>
                <c:pt idx="29">
                  <c:v>20</c:v>
                </c:pt>
                <c:pt idx="30">
                  <c:v>20</c:v>
                </c:pt>
                <c:pt idx="31">
                  <c:v>20</c:v>
                </c:pt>
                <c:pt idx="32">
                  <c:v>20</c:v>
                </c:pt>
                <c:pt idx="33">
                  <c:v>19.254999999999999</c:v>
                </c:pt>
                <c:pt idx="34">
                  <c:v>18.509999999999998</c:v>
                </c:pt>
                <c:pt idx="35">
                  <c:v>17.764999999999997</c:v>
                </c:pt>
                <c:pt idx="36">
                  <c:v>17.019999999999996</c:v>
                </c:pt>
                <c:pt idx="37">
                  <c:v>16.274999999999995</c:v>
                </c:pt>
                <c:pt idx="38">
                  <c:v>15.529999999999996</c:v>
                </c:pt>
                <c:pt idx="39">
                  <c:v>14.784999999999997</c:v>
                </c:pt>
                <c:pt idx="40">
                  <c:v>20</c:v>
                </c:pt>
                <c:pt idx="41">
                  <c:v>20</c:v>
                </c:pt>
                <c:pt idx="42">
                  <c:v>20</c:v>
                </c:pt>
                <c:pt idx="43">
                  <c:v>20</c:v>
                </c:pt>
                <c:pt idx="44">
                  <c:v>20</c:v>
                </c:pt>
                <c:pt idx="45">
                  <c:v>20</c:v>
                </c:pt>
                <c:pt idx="46">
                  <c:v>20</c:v>
                </c:pt>
                <c:pt idx="47">
                  <c:v>20</c:v>
                </c:pt>
                <c:pt idx="48">
                  <c:v>20</c:v>
                </c:pt>
                <c:pt idx="49">
                  <c:v>20</c:v>
                </c:pt>
                <c:pt idx="50">
                  <c:v>20</c:v>
                </c:pt>
                <c:pt idx="51">
                  <c:v>20</c:v>
                </c:pt>
                <c:pt idx="52">
                  <c:v>20</c:v>
                </c:pt>
                <c:pt idx="53">
                  <c:v>20</c:v>
                </c:pt>
                <c:pt idx="54">
                  <c:v>20</c:v>
                </c:pt>
                <c:pt idx="55">
                  <c:v>20</c:v>
                </c:pt>
                <c:pt idx="56">
                  <c:v>19.254999999999999</c:v>
                </c:pt>
                <c:pt idx="57">
                  <c:v>19.389999999999997</c:v>
                </c:pt>
                <c:pt idx="58">
                  <c:v>18.644999999999996</c:v>
                </c:pt>
                <c:pt idx="59">
                  <c:v>18.339999999999996</c:v>
                </c:pt>
                <c:pt idx="60">
                  <c:v>19.794999999999995</c:v>
                </c:pt>
                <c:pt idx="61">
                  <c:v>20</c:v>
                </c:pt>
                <c:pt idx="62">
                  <c:v>20</c:v>
                </c:pt>
                <c:pt idx="63">
                  <c:v>20</c:v>
                </c:pt>
                <c:pt idx="64">
                  <c:v>20</c:v>
                </c:pt>
                <c:pt idx="65">
                  <c:v>20</c:v>
                </c:pt>
                <c:pt idx="66">
                  <c:v>20</c:v>
                </c:pt>
                <c:pt idx="67">
                  <c:v>20</c:v>
                </c:pt>
                <c:pt idx="68">
                  <c:v>20</c:v>
                </c:pt>
                <c:pt idx="69">
                  <c:v>20</c:v>
                </c:pt>
                <c:pt idx="70">
                  <c:v>19.254999999999999</c:v>
                </c:pt>
                <c:pt idx="71">
                  <c:v>20</c:v>
                </c:pt>
                <c:pt idx="72">
                  <c:v>20</c:v>
                </c:pt>
                <c:pt idx="73">
                  <c:v>20</c:v>
                </c:pt>
                <c:pt idx="74">
                  <c:v>20</c:v>
                </c:pt>
                <c:pt idx="75">
                  <c:v>20</c:v>
                </c:pt>
                <c:pt idx="76">
                  <c:v>19.695</c:v>
                </c:pt>
                <c:pt idx="77">
                  <c:v>20</c:v>
                </c:pt>
                <c:pt idx="78">
                  <c:v>20</c:v>
                </c:pt>
                <c:pt idx="79">
                  <c:v>20</c:v>
                </c:pt>
                <c:pt idx="80">
                  <c:v>20</c:v>
                </c:pt>
                <c:pt idx="81">
                  <c:v>20</c:v>
                </c:pt>
                <c:pt idx="82">
                  <c:v>19.254999999999999</c:v>
                </c:pt>
                <c:pt idx="83">
                  <c:v>20</c:v>
                </c:pt>
                <c:pt idx="84">
                  <c:v>20</c:v>
                </c:pt>
                <c:pt idx="85">
                  <c:v>19.474999999999998</c:v>
                </c:pt>
                <c:pt idx="86">
                  <c:v>20</c:v>
                </c:pt>
                <c:pt idx="87">
                  <c:v>20</c:v>
                </c:pt>
                <c:pt idx="88">
                  <c:v>20</c:v>
                </c:pt>
                <c:pt idx="89">
                  <c:v>20</c:v>
                </c:pt>
                <c:pt idx="90">
                  <c:v>19.254999999999999</c:v>
                </c:pt>
                <c:pt idx="91">
                  <c:v>18.509999999999998</c:v>
                </c:pt>
                <c:pt idx="92">
                  <c:v>20</c:v>
                </c:pt>
                <c:pt idx="93">
                  <c:v>20</c:v>
                </c:pt>
                <c:pt idx="94">
                  <c:v>20</c:v>
                </c:pt>
                <c:pt idx="95">
                  <c:v>20</c:v>
                </c:pt>
                <c:pt idx="96">
                  <c:v>20</c:v>
                </c:pt>
                <c:pt idx="97">
                  <c:v>20</c:v>
                </c:pt>
                <c:pt idx="98">
                  <c:v>20</c:v>
                </c:pt>
                <c:pt idx="99">
                  <c:v>19.254999999999999</c:v>
                </c:pt>
                <c:pt idx="100">
                  <c:v>20</c:v>
                </c:pt>
                <c:pt idx="101">
                  <c:v>19.254999999999999</c:v>
                </c:pt>
                <c:pt idx="102">
                  <c:v>18.509999999999998</c:v>
                </c:pt>
                <c:pt idx="103">
                  <c:v>17.764999999999997</c:v>
                </c:pt>
                <c:pt idx="104">
                  <c:v>20</c:v>
                </c:pt>
                <c:pt idx="105">
                  <c:v>20</c:v>
                </c:pt>
                <c:pt idx="106">
                  <c:v>20</c:v>
                </c:pt>
                <c:pt idx="107">
                  <c:v>20</c:v>
                </c:pt>
                <c:pt idx="108">
                  <c:v>20</c:v>
                </c:pt>
                <c:pt idx="109">
                  <c:v>20</c:v>
                </c:pt>
                <c:pt idx="110">
                  <c:v>20</c:v>
                </c:pt>
                <c:pt idx="111">
                  <c:v>19.254999999999999</c:v>
                </c:pt>
                <c:pt idx="112">
                  <c:v>20</c:v>
                </c:pt>
                <c:pt idx="113">
                  <c:v>20</c:v>
                </c:pt>
                <c:pt idx="114">
                  <c:v>20</c:v>
                </c:pt>
                <c:pt idx="115">
                  <c:v>20</c:v>
                </c:pt>
                <c:pt idx="116">
                  <c:v>20</c:v>
                </c:pt>
                <c:pt idx="117">
                  <c:v>20</c:v>
                </c:pt>
                <c:pt idx="118">
                  <c:v>20</c:v>
                </c:pt>
                <c:pt idx="119">
                  <c:v>19.364999999999998</c:v>
                </c:pt>
                <c:pt idx="120">
                  <c:v>18.619999999999997</c:v>
                </c:pt>
                <c:pt idx="121">
                  <c:v>17.874999999999996</c:v>
                </c:pt>
                <c:pt idx="122">
                  <c:v>19.329999999999995</c:v>
                </c:pt>
                <c:pt idx="123">
                  <c:v>20</c:v>
                </c:pt>
                <c:pt idx="124">
                  <c:v>20</c:v>
                </c:pt>
                <c:pt idx="125">
                  <c:v>19.254999999999999</c:v>
                </c:pt>
                <c:pt idx="126">
                  <c:v>18.509999999999998</c:v>
                </c:pt>
                <c:pt idx="127">
                  <c:v>17.764999999999997</c:v>
                </c:pt>
                <c:pt idx="128">
                  <c:v>17.019999999999996</c:v>
                </c:pt>
                <c:pt idx="129">
                  <c:v>16.274999999999995</c:v>
                </c:pt>
                <c:pt idx="130">
                  <c:v>15.749999999999995</c:v>
                </c:pt>
                <c:pt idx="131">
                  <c:v>15.004999999999995</c:v>
                </c:pt>
                <c:pt idx="132">
                  <c:v>14.479999999999997</c:v>
                </c:pt>
                <c:pt idx="133">
                  <c:v>13.734999999999998</c:v>
                </c:pt>
                <c:pt idx="134">
                  <c:v>12.989999999999998</c:v>
                </c:pt>
                <c:pt idx="135">
                  <c:v>12.244999999999999</c:v>
                </c:pt>
                <c:pt idx="136">
                  <c:v>14.58</c:v>
                </c:pt>
                <c:pt idx="137">
                  <c:v>13.835000000000001</c:v>
                </c:pt>
                <c:pt idx="138">
                  <c:v>13.090000000000002</c:v>
                </c:pt>
                <c:pt idx="139">
                  <c:v>12.345000000000002</c:v>
                </c:pt>
                <c:pt idx="140">
                  <c:v>11.600000000000003</c:v>
                </c:pt>
                <c:pt idx="141">
                  <c:v>19.875000000000004</c:v>
                </c:pt>
                <c:pt idx="142">
                  <c:v>20</c:v>
                </c:pt>
                <c:pt idx="143">
                  <c:v>20</c:v>
                </c:pt>
                <c:pt idx="144">
                  <c:v>20</c:v>
                </c:pt>
                <c:pt idx="145">
                  <c:v>20</c:v>
                </c:pt>
                <c:pt idx="146">
                  <c:v>19.254999999999999</c:v>
                </c:pt>
                <c:pt idx="147">
                  <c:v>20</c:v>
                </c:pt>
                <c:pt idx="148">
                  <c:v>19.254999999999999</c:v>
                </c:pt>
                <c:pt idx="149">
                  <c:v>18.509999999999998</c:v>
                </c:pt>
                <c:pt idx="150">
                  <c:v>17.764999999999997</c:v>
                </c:pt>
                <c:pt idx="151">
                  <c:v>17.019999999999996</c:v>
                </c:pt>
                <c:pt idx="152">
                  <c:v>16.274999999999995</c:v>
                </c:pt>
                <c:pt idx="153">
                  <c:v>15.529999999999996</c:v>
                </c:pt>
                <c:pt idx="154">
                  <c:v>14.784999999999997</c:v>
                </c:pt>
                <c:pt idx="155">
                  <c:v>14.039999999999997</c:v>
                </c:pt>
                <c:pt idx="156">
                  <c:v>13.294999999999998</c:v>
                </c:pt>
                <c:pt idx="157">
                  <c:v>12.549999999999999</c:v>
                </c:pt>
                <c:pt idx="158">
                  <c:v>11.805</c:v>
                </c:pt>
                <c:pt idx="159">
                  <c:v>11.280000000000001</c:v>
                </c:pt>
                <c:pt idx="160">
                  <c:v>10.535000000000002</c:v>
                </c:pt>
                <c:pt idx="161">
                  <c:v>9.7900000000000027</c:v>
                </c:pt>
                <c:pt idx="162">
                  <c:v>9.0450000000000035</c:v>
                </c:pt>
                <c:pt idx="163">
                  <c:v>8.3000000000000043</c:v>
                </c:pt>
                <c:pt idx="164">
                  <c:v>7.5550000000000042</c:v>
                </c:pt>
                <c:pt idx="165">
                  <c:v>10.770000000000005</c:v>
                </c:pt>
                <c:pt idx="166">
                  <c:v>10.025000000000006</c:v>
                </c:pt>
                <c:pt idx="167">
                  <c:v>9.2800000000000065</c:v>
                </c:pt>
                <c:pt idx="168">
                  <c:v>8.5350000000000072</c:v>
                </c:pt>
                <c:pt idx="169">
                  <c:v>9.5500000000000078</c:v>
                </c:pt>
                <c:pt idx="170">
                  <c:v>20</c:v>
                </c:pt>
                <c:pt idx="171">
                  <c:v>20</c:v>
                </c:pt>
                <c:pt idx="172">
                  <c:v>20</c:v>
                </c:pt>
                <c:pt idx="173">
                  <c:v>19.254999999999999</c:v>
                </c:pt>
                <c:pt idx="174">
                  <c:v>20</c:v>
                </c:pt>
                <c:pt idx="175">
                  <c:v>20</c:v>
                </c:pt>
                <c:pt idx="176">
                  <c:v>19.254999999999999</c:v>
                </c:pt>
                <c:pt idx="177">
                  <c:v>20</c:v>
                </c:pt>
                <c:pt idx="178">
                  <c:v>20</c:v>
                </c:pt>
                <c:pt idx="179">
                  <c:v>20</c:v>
                </c:pt>
                <c:pt idx="180">
                  <c:v>19.914999999999999</c:v>
                </c:pt>
                <c:pt idx="181">
                  <c:v>19.169999999999998</c:v>
                </c:pt>
                <c:pt idx="182">
                  <c:v>18.424999999999997</c:v>
                </c:pt>
                <c:pt idx="183">
                  <c:v>19.659999999999997</c:v>
                </c:pt>
                <c:pt idx="184">
                  <c:v>20</c:v>
                </c:pt>
                <c:pt idx="185">
                  <c:v>20</c:v>
                </c:pt>
                <c:pt idx="186">
                  <c:v>20</c:v>
                </c:pt>
                <c:pt idx="187">
                  <c:v>20</c:v>
                </c:pt>
                <c:pt idx="188">
                  <c:v>19.254999999999999</c:v>
                </c:pt>
                <c:pt idx="189">
                  <c:v>18.509999999999998</c:v>
                </c:pt>
                <c:pt idx="190">
                  <c:v>17.764999999999997</c:v>
                </c:pt>
                <c:pt idx="191">
                  <c:v>17.019999999999996</c:v>
                </c:pt>
                <c:pt idx="192">
                  <c:v>16.274999999999995</c:v>
                </c:pt>
                <c:pt idx="193">
                  <c:v>15.529999999999996</c:v>
                </c:pt>
                <c:pt idx="194">
                  <c:v>14.784999999999997</c:v>
                </c:pt>
                <c:pt idx="195">
                  <c:v>14.039999999999997</c:v>
                </c:pt>
                <c:pt idx="196">
                  <c:v>13.294999999999998</c:v>
                </c:pt>
                <c:pt idx="197">
                  <c:v>12.549999999999999</c:v>
                </c:pt>
                <c:pt idx="198">
                  <c:v>11.805</c:v>
                </c:pt>
                <c:pt idx="199">
                  <c:v>20</c:v>
                </c:pt>
                <c:pt idx="200">
                  <c:v>20</c:v>
                </c:pt>
                <c:pt idx="201">
                  <c:v>19.254999999999999</c:v>
                </c:pt>
                <c:pt idx="202">
                  <c:v>18.509999999999998</c:v>
                </c:pt>
                <c:pt idx="203">
                  <c:v>20</c:v>
                </c:pt>
                <c:pt idx="204">
                  <c:v>20</c:v>
                </c:pt>
                <c:pt idx="205">
                  <c:v>19.914999999999999</c:v>
                </c:pt>
                <c:pt idx="206">
                  <c:v>19.169999999999998</c:v>
                </c:pt>
                <c:pt idx="207">
                  <c:v>18.424999999999997</c:v>
                </c:pt>
                <c:pt idx="208">
                  <c:v>17.679999999999996</c:v>
                </c:pt>
                <c:pt idx="209">
                  <c:v>16.934999999999995</c:v>
                </c:pt>
                <c:pt idx="210">
                  <c:v>16.189999999999994</c:v>
                </c:pt>
                <c:pt idx="211">
                  <c:v>15.444999999999995</c:v>
                </c:pt>
                <c:pt idx="212">
                  <c:v>14.699999999999996</c:v>
                </c:pt>
                <c:pt idx="213">
                  <c:v>13.954999999999997</c:v>
                </c:pt>
                <c:pt idx="214">
                  <c:v>13.209999999999997</c:v>
                </c:pt>
                <c:pt idx="215">
                  <c:v>12.464999999999998</c:v>
                </c:pt>
                <c:pt idx="216">
                  <c:v>11.719999999999999</c:v>
                </c:pt>
                <c:pt idx="217">
                  <c:v>10.975</c:v>
                </c:pt>
                <c:pt idx="218">
                  <c:v>10.23</c:v>
                </c:pt>
                <c:pt idx="219">
                  <c:v>9.4850000000000012</c:v>
                </c:pt>
                <c:pt idx="220">
                  <c:v>8.740000000000002</c:v>
                </c:pt>
                <c:pt idx="221">
                  <c:v>7.9950000000000019</c:v>
                </c:pt>
                <c:pt idx="222">
                  <c:v>7.2500000000000018</c:v>
                </c:pt>
                <c:pt idx="223">
                  <c:v>6.5050000000000017</c:v>
                </c:pt>
                <c:pt idx="224">
                  <c:v>5.7600000000000016</c:v>
                </c:pt>
                <c:pt idx="225">
                  <c:v>5.0150000000000015</c:v>
                </c:pt>
                <c:pt idx="226">
                  <c:v>4.2700000000000014</c:v>
                </c:pt>
                <c:pt idx="227">
                  <c:v>3.5250000000000012</c:v>
                </c:pt>
                <c:pt idx="228">
                  <c:v>2.7800000000000011</c:v>
                </c:pt>
                <c:pt idx="229">
                  <c:v>2.035000000000001</c:v>
                </c:pt>
                <c:pt idx="230">
                  <c:v>1.2900000000000009</c:v>
                </c:pt>
                <c:pt idx="231">
                  <c:v>0.54500000000000093</c:v>
                </c:pt>
                <c:pt idx="232">
                  <c:v>0</c:v>
                </c:pt>
                <c:pt idx="233">
                  <c:v>0</c:v>
                </c:pt>
                <c:pt idx="234">
                  <c:v>0</c:v>
                </c:pt>
                <c:pt idx="235">
                  <c:v>0</c:v>
                </c:pt>
                <c:pt idx="236">
                  <c:v>0</c:v>
                </c:pt>
                <c:pt idx="237">
                  <c:v>0</c:v>
                </c:pt>
                <c:pt idx="238">
                  <c:v>0</c:v>
                </c:pt>
                <c:pt idx="239">
                  <c:v>0</c:v>
                </c:pt>
                <c:pt idx="240">
                  <c:v>0</c:v>
                </c:pt>
                <c:pt idx="241">
                  <c:v>7.835</c:v>
                </c:pt>
                <c:pt idx="242">
                  <c:v>11.05</c:v>
                </c:pt>
                <c:pt idx="243">
                  <c:v>20</c:v>
                </c:pt>
                <c:pt idx="244">
                  <c:v>20</c:v>
                </c:pt>
                <c:pt idx="245">
                  <c:v>20</c:v>
                </c:pt>
                <c:pt idx="246">
                  <c:v>19.254999999999999</c:v>
                </c:pt>
                <c:pt idx="247">
                  <c:v>18.509999999999998</c:v>
                </c:pt>
                <c:pt idx="248">
                  <c:v>17.764999999999997</c:v>
                </c:pt>
                <c:pt idx="249">
                  <c:v>17.019999999999996</c:v>
                </c:pt>
                <c:pt idx="250">
                  <c:v>16.274999999999995</c:v>
                </c:pt>
                <c:pt idx="251">
                  <c:v>15.529999999999996</c:v>
                </c:pt>
                <c:pt idx="252">
                  <c:v>14.784999999999997</c:v>
                </c:pt>
                <c:pt idx="253">
                  <c:v>14.039999999999997</c:v>
                </c:pt>
                <c:pt idx="254">
                  <c:v>13.294999999999998</c:v>
                </c:pt>
                <c:pt idx="255">
                  <c:v>12.549999999999999</c:v>
                </c:pt>
                <c:pt idx="256">
                  <c:v>11.805</c:v>
                </c:pt>
                <c:pt idx="257">
                  <c:v>11.06</c:v>
                </c:pt>
                <c:pt idx="258">
                  <c:v>10.315000000000001</c:v>
                </c:pt>
                <c:pt idx="259">
                  <c:v>9.5700000000000021</c:v>
                </c:pt>
                <c:pt idx="260">
                  <c:v>8.8250000000000028</c:v>
                </c:pt>
                <c:pt idx="261">
                  <c:v>20</c:v>
                </c:pt>
                <c:pt idx="262">
                  <c:v>19.695</c:v>
                </c:pt>
                <c:pt idx="263">
                  <c:v>18.95</c:v>
                </c:pt>
                <c:pt idx="264">
                  <c:v>20</c:v>
                </c:pt>
                <c:pt idx="265">
                  <c:v>20</c:v>
                </c:pt>
                <c:pt idx="266">
                  <c:v>20</c:v>
                </c:pt>
                <c:pt idx="267">
                  <c:v>20</c:v>
                </c:pt>
                <c:pt idx="268">
                  <c:v>19.914999999999999</c:v>
                </c:pt>
                <c:pt idx="269">
                  <c:v>20</c:v>
                </c:pt>
                <c:pt idx="270">
                  <c:v>19.254999999999999</c:v>
                </c:pt>
                <c:pt idx="271">
                  <c:v>20</c:v>
                </c:pt>
                <c:pt idx="272">
                  <c:v>20</c:v>
                </c:pt>
                <c:pt idx="273">
                  <c:v>19.254999999999999</c:v>
                </c:pt>
                <c:pt idx="274">
                  <c:v>18.509999999999998</c:v>
                </c:pt>
                <c:pt idx="275">
                  <c:v>17.764999999999997</c:v>
                </c:pt>
                <c:pt idx="276">
                  <c:v>20</c:v>
                </c:pt>
                <c:pt idx="277">
                  <c:v>20</c:v>
                </c:pt>
                <c:pt idx="278">
                  <c:v>20</c:v>
                </c:pt>
                <c:pt idx="279">
                  <c:v>19.695</c:v>
                </c:pt>
                <c:pt idx="280">
                  <c:v>18.95</c:v>
                </c:pt>
                <c:pt idx="281">
                  <c:v>19.744999999999997</c:v>
                </c:pt>
                <c:pt idx="282">
                  <c:v>20</c:v>
                </c:pt>
                <c:pt idx="283">
                  <c:v>20</c:v>
                </c:pt>
                <c:pt idx="284">
                  <c:v>20</c:v>
                </c:pt>
                <c:pt idx="285">
                  <c:v>20</c:v>
                </c:pt>
                <c:pt idx="286">
                  <c:v>20</c:v>
                </c:pt>
                <c:pt idx="287">
                  <c:v>20</c:v>
                </c:pt>
                <c:pt idx="288">
                  <c:v>20</c:v>
                </c:pt>
                <c:pt idx="289">
                  <c:v>20</c:v>
                </c:pt>
                <c:pt idx="290">
                  <c:v>20</c:v>
                </c:pt>
                <c:pt idx="291">
                  <c:v>20</c:v>
                </c:pt>
                <c:pt idx="292">
                  <c:v>20</c:v>
                </c:pt>
                <c:pt idx="293">
                  <c:v>20</c:v>
                </c:pt>
                <c:pt idx="294">
                  <c:v>20</c:v>
                </c:pt>
                <c:pt idx="295">
                  <c:v>20</c:v>
                </c:pt>
                <c:pt idx="296">
                  <c:v>20</c:v>
                </c:pt>
                <c:pt idx="297">
                  <c:v>20</c:v>
                </c:pt>
                <c:pt idx="298">
                  <c:v>20</c:v>
                </c:pt>
                <c:pt idx="299">
                  <c:v>20</c:v>
                </c:pt>
                <c:pt idx="300">
                  <c:v>20</c:v>
                </c:pt>
                <c:pt idx="301">
                  <c:v>20</c:v>
                </c:pt>
                <c:pt idx="302">
                  <c:v>20</c:v>
                </c:pt>
                <c:pt idx="303">
                  <c:v>20</c:v>
                </c:pt>
                <c:pt idx="304">
                  <c:v>20</c:v>
                </c:pt>
                <c:pt idx="305">
                  <c:v>20</c:v>
                </c:pt>
                <c:pt idx="306">
                  <c:v>20</c:v>
                </c:pt>
                <c:pt idx="307">
                  <c:v>20</c:v>
                </c:pt>
                <c:pt idx="308">
                  <c:v>20</c:v>
                </c:pt>
                <c:pt idx="309">
                  <c:v>20</c:v>
                </c:pt>
                <c:pt idx="310">
                  <c:v>20</c:v>
                </c:pt>
                <c:pt idx="311">
                  <c:v>20</c:v>
                </c:pt>
                <c:pt idx="312">
                  <c:v>20</c:v>
                </c:pt>
                <c:pt idx="313">
                  <c:v>19.254999999999999</c:v>
                </c:pt>
                <c:pt idx="314">
                  <c:v>18.509999999999998</c:v>
                </c:pt>
                <c:pt idx="315">
                  <c:v>17.764999999999997</c:v>
                </c:pt>
                <c:pt idx="316">
                  <c:v>17.019999999999996</c:v>
                </c:pt>
                <c:pt idx="317">
                  <c:v>16.274999999999995</c:v>
                </c:pt>
                <c:pt idx="318">
                  <c:v>15.529999999999996</c:v>
                </c:pt>
                <c:pt idx="319">
                  <c:v>14.784999999999997</c:v>
                </c:pt>
                <c:pt idx="320">
                  <c:v>14.039999999999997</c:v>
                </c:pt>
                <c:pt idx="321">
                  <c:v>13.294999999999998</c:v>
                </c:pt>
                <c:pt idx="322">
                  <c:v>12.549999999999999</c:v>
                </c:pt>
                <c:pt idx="323">
                  <c:v>15.545</c:v>
                </c:pt>
                <c:pt idx="324">
                  <c:v>20</c:v>
                </c:pt>
                <c:pt idx="325">
                  <c:v>20</c:v>
                </c:pt>
                <c:pt idx="326">
                  <c:v>20</c:v>
                </c:pt>
                <c:pt idx="327">
                  <c:v>20</c:v>
                </c:pt>
                <c:pt idx="328">
                  <c:v>20</c:v>
                </c:pt>
                <c:pt idx="329">
                  <c:v>20</c:v>
                </c:pt>
                <c:pt idx="330">
                  <c:v>20</c:v>
                </c:pt>
                <c:pt idx="331">
                  <c:v>20</c:v>
                </c:pt>
                <c:pt idx="332">
                  <c:v>19.254999999999999</c:v>
                </c:pt>
                <c:pt idx="333">
                  <c:v>18.509999999999998</c:v>
                </c:pt>
                <c:pt idx="334">
                  <c:v>17.764999999999997</c:v>
                </c:pt>
                <c:pt idx="335">
                  <c:v>17.019999999999996</c:v>
                </c:pt>
                <c:pt idx="336">
                  <c:v>16.274999999999995</c:v>
                </c:pt>
                <c:pt idx="337">
                  <c:v>15.529999999999996</c:v>
                </c:pt>
                <c:pt idx="338">
                  <c:v>16.104999999999993</c:v>
                </c:pt>
                <c:pt idx="339">
                  <c:v>20</c:v>
                </c:pt>
                <c:pt idx="340">
                  <c:v>20</c:v>
                </c:pt>
                <c:pt idx="341">
                  <c:v>20</c:v>
                </c:pt>
                <c:pt idx="342">
                  <c:v>20</c:v>
                </c:pt>
                <c:pt idx="343">
                  <c:v>20</c:v>
                </c:pt>
                <c:pt idx="344">
                  <c:v>20</c:v>
                </c:pt>
                <c:pt idx="345">
                  <c:v>20</c:v>
                </c:pt>
                <c:pt idx="346">
                  <c:v>20</c:v>
                </c:pt>
                <c:pt idx="347">
                  <c:v>20</c:v>
                </c:pt>
                <c:pt idx="348">
                  <c:v>19.254999999999999</c:v>
                </c:pt>
                <c:pt idx="349">
                  <c:v>20</c:v>
                </c:pt>
                <c:pt idx="350">
                  <c:v>20</c:v>
                </c:pt>
                <c:pt idx="351">
                  <c:v>20</c:v>
                </c:pt>
                <c:pt idx="352">
                  <c:v>20</c:v>
                </c:pt>
                <c:pt idx="353">
                  <c:v>19.254999999999999</c:v>
                </c:pt>
                <c:pt idx="354">
                  <c:v>18.509999999999998</c:v>
                </c:pt>
                <c:pt idx="355">
                  <c:v>20</c:v>
                </c:pt>
                <c:pt idx="356">
                  <c:v>20</c:v>
                </c:pt>
                <c:pt idx="357">
                  <c:v>20</c:v>
                </c:pt>
                <c:pt idx="358">
                  <c:v>20</c:v>
                </c:pt>
                <c:pt idx="359">
                  <c:v>19.914999999999999</c:v>
                </c:pt>
                <c:pt idx="360">
                  <c:v>20</c:v>
                </c:pt>
                <c:pt idx="361">
                  <c:v>20</c:v>
                </c:pt>
                <c:pt idx="362">
                  <c:v>19.254999999999999</c:v>
                </c:pt>
                <c:pt idx="363">
                  <c:v>18.509999999999998</c:v>
                </c:pt>
                <c:pt idx="364">
                  <c:v>17.764999999999997</c:v>
                </c:pt>
                <c:pt idx="365">
                  <c:v>17.019999999999996</c:v>
                </c:pt>
              </c:numCache>
            </c:numRef>
          </c:val>
          <c:smooth val="0"/>
          <c:extLst>
            <c:ext xmlns:c16="http://schemas.microsoft.com/office/drawing/2014/chart" uri="{C3380CC4-5D6E-409C-BE32-E72D297353CC}">
              <c16:uniqueId val="{00000001-32DE-451C-AB20-67EDC79EA4A5}"/>
            </c:ext>
          </c:extLst>
        </c:ser>
        <c:dLbls>
          <c:showLegendKey val="0"/>
          <c:showVal val="0"/>
          <c:showCatName val="0"/>
          <c:showSerName val="0"/>
          <c:showPercent val="0"/>
          <c:showBubbleSize val="0"/>
        </c:dLbls>
        <c:smooth val="0"/>
        <c:axId val="419685120"/>
        <c:axId val="419685600"/>
      </c:lineChart>
      <c:catAx>
        <c:axId val="419685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685600"/>
        <c:crosses val="autoZero"/>
        <c:auto val="1"/>
        <c:lblAlgn val="ctr"/>
        <c:lblOffset val="100"/>
        <c:noMultiLvlLbl val="0"/>
      </c:catAx>
      <c:valAx>
        <c:axId val="4196856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Rainfall/Day</a:t>
                </a:r>
                <a:r>
                  <a:rPr lang="en-US" baseline="0"/>
                  <a:t> (mm), Tank Volume (m3)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6851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Rain Fall vs. Volume Stored (</a:t>
            </a:r>
            <a:r>
              <a:rPr lang="en-US" sz="1100" b="0" i="0" u="none" strike="noStrike" kern="1200" spc="0" baseline="0">
                <a:solidFill>
                  <a:sysClr val="windowText" lastClr="000000">
                    <a:lumMod val="65000"/>
                    <a:lumOff val="35000"/>
                  </a:sysClr>
                </a:solidFill>
              </a:rPr>
              <a:t>Station 1 - 2015)</a:t>
            </a:r>
            <a:r>
              <a:rPr lang="en-US" sz="1400" b="0" i="0" u="none" strike="noStrike" kern="1200" spc="0" baseline="0">
                <a:solidFill>
                  <a:sysClr val="windowText" lastClr="000000">
                    <a:lumMod val="65000"/>
                    <a:lumOff val="35000"/>
                  </a:sysClr>
                </a:solidFill>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'Studio Rain System'!$AI$21</c:f>
              <c:strCache>
                <c:ptCount val="1"/>
                <c:pt idx="0">
                  <c:v>Rainfall [mm]</c:v>
                </c:pt>
              </c:strCache>
            </c:strRef>
          </c:tx>
          <c:spPr>
            <a:solidFill>
              <a:schemeClr val="accent1"/>
            </a:solidFill>
            <a:ln>
              <a:noFill/>
            </a:ln>
            <a:effectLst/>
          </c:spPr>
          <c:invertIfNegative val="0"/>
          <c:val>
            <c:numRef>
              <c:f>'Studio Rain System'!$AI$22:$AI$387</c:f>
              <c:numCache>
                <c:formatCode>General</c:formatCode>
                <c:ptCount val="366"/>
                <c:pt idx="1">
                  <c:v>7.8</c:v>
                </c:pt>
                <c:pt idx="2">
                  <c:v>1</c:v>
                </c:pt>
                <c:pt idx="3">
                  <c:v>13.4</c:v>
                </c:pt>
                <c:pt idx="4">
                  <c:v>64.2</c:v>
                </c:pt>
                <c:pt idx="5">
                  <c:v>32.200000000000003</c:v>
                </c:pt>
                <c:pt idx="6">
                  <c:v>2.8</c:v>
                </c:pt>
                <c:pt idx="7">
                  <c:v>0</c:v>
                </c:pt>
                <c:pt idx="8">
                  <c:v>0</c:v>
                </c:pt>
                <c:pt idx="9">
                  <c:v>0.8</c:v>
                </c:pt>
                <c:pt idx="10">
                  <c:v>0</c:v>
                </c:pt>
                <c:pt idx="11">
                  <c:v>0</c:v>
                </c:pt>
                <c:pt idx="12">
                  <c:v>0</c:v>
                </c:pt>
                <c:pt idx="13">
                  <c:v>0</c:v>
                </c:pt>
                <c:pt idx="14">
                  <c:v>0.4</c:v>
                </c:pt>
                <c:pt idx="15">
                  <c:v>35.4</c:v>
                </c:pt>
                <c:pt idx="16">
                  <c:v>6</c:v>
                </c:pt>
                <c:pt idx="17">
                  <c:v>20.399999999999999</c:v>
                </c:pt>
                <c:pt idx="18">
                  <c:v>16.600000000000001</c:v>
                </c:pt>
                <c:pt idx="19">
                  <c:v>2.6</c:v>
                </c:pt>
                <c:pt idx="20">
                  <c:v>0.4</c:v>
                </c:pt>
                <c:pt idx="21">
                  <c:v>18.399999999999999</c:v>
                </c:pt>
                <c:pt idx="22">
                  <c:v>14</c:v>
                </c:pt>
                <c:pt idx="23">
                  <c:v>90.8</c:v>
                </c:pt>
                <c:pt idx="24">
                  <c:v>40</c:v>
                </c:pt>
                <c:pt idx="25">
                  <c:v>1.8</c:v>
                </c:pt>
                <c:pt idx="26">
                  <c:v>2.8</c:v>
                </c:pt>
                <c:pt idx="27">
                  <c:v>2.8</c:v>
                </c:pt>
                <c:pt idx="28">
                  <c:v>0</c:v>
                </c:pt>
                <c:pt idx="29">
                  <c:v>0</c:v>
                </c:pt>
                <c:pt idx="30">
                  <c:v>0.6</c:v>
                </c:pt>
                <c:pt idx="31">
                  <c:v>5.8</c:v>
                </c:pt>
                <c:pt idx="32">
                  <c:v>8</c:v>
                </c:pt>
                <c:pt idx="33">
                  <c:v>27</c:v>
                </c:pt>
                <c:pt idx="34">
                  <c:v>0.6</c:v>
                </c:pt>
                <c:pt idx="35">
                  <c:v>36</c:v>
                </c:pt>
                <c:pt idx="36">
                  <c:v>27.2</c:v>
                </c:pt>
                <c:pt idx="37">
                  <c:v>28.2</c:v>
                </c:pt>
                <c:pt idx="38">
                  <c:v>39.200000000000003</c:v>
                </c:pt>
                <c:pt idx="39">
                  <c:v>6.6</c:v>
                </c:pt>
                <c:pt idx="40">
                  <c:v>3.2</c:v>
                </c:pt>
                <c:pt idx="41">
                  <c:v>0.2</c:v>
                </c:pt>
                <c:pt idx="42">
                  <c:v>19.600000000000001</c:v>
                </c:pt>
                <c:pt idx="43">
                  <c:v>30.4</c:v>
                </c:pt>
                <c:pt idx="44">
                  <c:v>19</c:v>
                </c:pt>
                <c:pt idx="45">
                  <c:v>0.2</c:v>
                </c:pt>
                <c:pt idx="46">
                  <c:v>0</c:v>
                </c:pt>
                <c:pt idx="47">
                  <c:v>0</c:v>
                </c:pt>
                <c:pt idx="48">
                  <c:v>0</c:v>
                </c:pt>
                <c:pt idx="49">
                  <c:v>4</c:v>
                </c:pt>
                <c:pt idx="50">
                  <c:v>11</c:v>
                </c:pt>
                <c:pt idx="51">
                  <c:v>0.4</c:v>
                </c:pt>
                <c:pt idx="52">
                  <c:v>0</c:v>
                </c:pt>
                <c:pt idx="53">
                  <c:v>0</c:v>
                </c:pt>
                <c:pt idx="54">
                  <c:v>0</c:v>
                </c:pt>
                <c:pt idx="55">
                  <c:v>0.2</c:v>
                </c:pt>
                <c:pt idx="56">
                  <c:v>4.5999999999999996</c:v>
                </c:pt>
                <c:pt idx="57">
                  <c:v>8.8000000000000007</c:v>
                </c:pt>
                <c:pt idx="58">
                  <c:v>0.4</c:v>
                </c:pt>
                <c:pt idx="59">
                  <c:v>0</c:v>
                </c:pt>
                <c:pt idx="60">
                  <c:v>1.2</c:v>
                </c:pt>
                <c:pt idx="61">
                  <c:v>0</c:v>
                </c:pt>
                <c:pt idx="62">
                  <c:v>0</c:v>
                </c:pt>
                <c:pt idx="63">
                  <c:v>0.4</c:v>
                </c:pt>
                <c:pt idx="64">
                  <c:v>1.8</c:v>
                </c:pt>
                <c:pt idx="65">
                  <c:v>0.8</c:v>
                </c:pt>
                <c:pt idx="66">
                  <c:v>0</c:v>
                </c:pt>
                <c:pt idx="67">
                  <c:v>0.4</c:v>
                </c:pt>
                <c:pt idx="68">
                  <c:v>0.4</c:v>
                </c:pt>
                <c:pt idx="69">
                  <c:v>2.8</c:v>
                </c:pt>
                <c:pt idx="70">
                  <c:v>13.6</c:v>
                </c:pt>
                <c:pt idx="71">
                  <c:v>8.6</c:v>
                </c:pt>
                <c:pt idx="72">
                  <c:v>17.399999999999999</c:v>
                </c:pt>
                <c:pt idx="73">
                  <c:v>0.6</c:v>
                </c:pt>
                <c:pt idx="74">
                  <c:v>0</c:v>
                </c:pt>
                <c:pt idx="75">
                  <c:v>0</c:v>
                </c:pt>
                <c:pt idx="76">
                  <c:v>0</c:v>
                </c:pt>
                <c:pt idx="77">
                  <c:v>31</c:v>
                </c:pt>
                <c:pt idx="78">
                  <c:v>35.4</c:v>
                </c:pt>
                <c:pt idx="79">
                  <c:v>28.6</c:v>
                </c:pt>
                <c:pt idx="80">
                  <c:v>0</c:v>
                </c:pt>
                <c:pt idx="81">
                  <c:v>7</c:v>
                </c:pt>
                <c:pt idx="82">
                  <c:v>9.6</c:v>
                </c:pt>
                <c:pt idx="83">
                  <c:v>18.2</c:v>
                </c:pt>
                <c:pt idx="84">
                  <c:v>104.4</c:v>
                </c:pt>
                <c:pt idx="85">
                  <c:v>33.200000000000003</c:v>
                </c:pt>
                <c:pt idx="86">
                  <c:v>26.2</c:v>
                </c:pt>
                <c:pt idx="87">
                  <c:v>68.8</c:v>
                </c:pt>
                <c:pt idx="88">
                  <c:v>10</c:v>
                </c:pt>
                <c:pt idx="89">
                  <c:v>37.700000000000003</c:v>
                </c:pt>
                <c:pt idx="90">
                  <c:v>11.6</c:v>
                </c:pt>
                <c:pt idx="91">
                  <c:v>0</c:v>
                </c:pt>
                <c:pt idx="92">
                  <c:v>33.700000000000003</c:v>
                </c:pt>
                <c:pt idx="93">
                  <c:v>9</c:v>
                </c:pt>
                <c:pt idx="94">
                  <c:v>8.4</c:v>
                </c:pt>
                <c:pt idx="95">
                  <c:v>0.6</c:v>
                </c:pt>
                <c:pt idx="96">
                  <c:v>0</c:v>
                </c:pt>
                <c:pt idx="97">
                  <c:v>0</c:v>
                </c:pt>
                <c:pt idx="98">
                  <c:v>0</c:v>
                </c:pt>
                <c:pt idx="99">
                  <c:v>3.2</c:v>
                </c:pt>
                <c:pt idx="100">
                  <c:v>40.200000000000003</c:v>
                </c:pt>
                <c:pt idx="101">
                  <c:v>9.1999999999999993</c:v>
                </c:pt>
                <c:pt idx="102">
                  <c:v>24.4</c:v>
                </c:pt>
                <c:pt idx="103">
                  <c:v>16.2</c:v>
                </c:pt>
                <c:pt idx="104">
                  <c:v>1.5</c:v>
                </c:pt>
                <c:pt idx="105">
                  <c:v>37.200000000000003</c:v>
                </c:pt>
                <c:pt idx="106">
                  <c:v>3</c:v>
                </c:pt>
                <c:pt idx="107">
                  <c:v>0</c:v>
                </c:pt>
                <c:pt idx="108">
                  <c:v>0</c:v>
                </c:pt>
                <c:pt idx="109">
                  <c:v>0</c:v>
                </c:pt>
                <c:pt idx="110">
                  <c:v>1.1000000000000001</c:v>
                </c:pt>
                <c:pt idx="111">
                  <c:v>0.4</c:v>
                </c:pt>
                <c:pt idx="112">
                  <c:v>8.1999999999999993</c:v>
                </c:pt>
                <c:pt idx="113">
                  <c:v>8.4</c:v>
                </c:pt>
                <c:pt idx="114">
                  <c:v>1.8</c:v>
                </c:pt>
                <c:pt idx="115">
                  <c:v>0</c:v>
                </c:pt>
                <c:pt idx="116">
                  <c:v>4.2</c:v>
                </c:pt>
                <c:pt idx="117">
                  <c:v>22.4</c:v>
                </c:pt>
                <c:pt idx="118">
                  <c:v>15.4</c:v>
                </c:pt>
                <c:pt idx="119">
                  <c:v>27.6</c:v>
                </c:pt>
                <c:pt idx="120">
                  <c:v>4.8</c:v>
                </c:pt>
                <c:pt idx="121">
                  <c:v>0.8</c:v>
                </c:pt>
                <c:pt idx="122">
                  <c:v>0</c:v>
                </c:pt>
                <c:pt idx="123">
                  <c:v>0</c:v>
                </c:pt>
                <c:pt idx="124">
                  <c:v>19.8</c:v>
                </c:pt>
                <c:pt idx="125">
                  <c:v>0.4</c:v>
                </c:pt>
                <c:pt idx="126">
                  <c:v>0</c:v>
                </c:pt>
                <c:pt idx="127">
                  <c:v>0</c:v>
                </c:pt>
                <c:pt idx="128">
                  <c:v>0</c:v>
                </c:pt>
                <c:pt idx="129">
                  <c:v>0</c:v>
                </c:pt>
                <c:pt idx="130">
                  <c:v>0.4</c:v>
                </c:pt>
                <c:pt idx="131">
                  <c:v>0</c:v>
                </c:pt>
                <c:pt idx="132">
                  <c:v>0</c:v>
                </c:pt>
                <c:pt idx="133">
                  <c:v>0</c:v>
                </c:pt>
                <c:pt idx="134">
                  <c:v>0</c:v>
                </c:pt>
                <c:pt idx="135">
                  <c:v>0</c:v>
                </c:pt>
                <c:pt idx="136">
                  <c:v>0.2</c:v>
                </c:pt>
                <c:pt idx="137">
                  <c:v>0</c:v>
                </c:pt>
                <c:pt idx="138">
                  <c:v>0</c:v>
                </c:pt>
                <c:pt idx="139">
                  <c:v>0</c:v>
                </c:pt>
                <c:pt idx="140">
                  <c:v>0</c:v>
                </c:pt>
                <c:pt idx="141">
                  <c:v>0</c:v>
                </c:pt>
                <c:pt idx="142">
                  <c:v>0.2</c:v>
                </c:pt>
                <c:pt idx="143">
                  <c:v>0.2</c:v>
                </c:pt>
                <c:pt idx="144">
                  <c:v>0</c:v>
                </c:pt>
                <c:pt idx="145">
                  <c:v>0</c:v>
                </c:pt>
                <c:pt idx="146">
                  <c:v>0</c:v>
                </c:pt>
                <c:pt idx="147">
                  <c:v>0</c:v>
                </c:pt>
                <c:pt idx="148">
                  <c:v>0</c:v>
                </c:pt>
                <c:pt idx="149">
                  <c:v>0</c:v>
                </c:pt>
                <c:pt idx="150">
                  <c:v>0</c:v>
                </c:pt>
                <c:pt idx="151">
                  <c:v>0</c:v>
                </c:pt>
                <c:pt idx="152">
                  <c:v>7.4</c:v>
                </c:pt>
                <c:pt idx="153">
                  <c:v>2.8</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7</c:v>
                </c:pt>
                <c:pt idx="170">
                  <c:v>0</c:v>
                </c:pt>
                <c:pt idx="171">
                  <c:v>0</c:v>
                </c:pt>
                <c:pt idx="172">
                  <c:v>0</c:v>
                </c:pt>
                <c:pt idx="173">
                  <c:v>0</c:v>
                </c:pt>
                <c:pt idx="174">
                  <c:v>1.4</c:v>
                </c:pt>
                <c:pt idx="175">
                  <c:v>13.4</c:v>
                </c:pt>
                <c:pt idx="176">
                  <c:v>4</c:v>
                </c:pt>
                <c:pt idx="177">
                  <c:v>0</c:v>
                </c:pt>
                <c:pt idx="178">
                  <c:v>0</c:v>
                </c:pt>
                <c:pt idx="179">
                  <c:v>0</c:v>
                </c:pt>
                <c:pt idx="180">
                  <c:v>0</c:v>
                </c:pt>
                <c:pt idx="181">
                  <c:v>0</c:v>
                </c:pt>
                <c:pt idx="182">
                  <c:v>0</c:v>
                </c:pt>
                <c:pt idx="183">
                  <c:v>0</c:v>
                </c:pt>
                <c:pt idx="184">
                  <c:v>0</c:v>
                </c:pt>
                <c:pt idx="185">
                  <c:v>0</c:v>
                </c:pt>
                <c:pt idx="186">
                  <c:v>0</c:v>
                </c:pt>
                <c:pt idx="187">
                  <c:v>0</c:v>
                </c:pt>
                <c:pt idx="188">
                  <c:v>0.2</c:v>
                </c:pt>
                <c:pt idx="189">
                  <c:v>0</c:v>
                </c:pt>
                <c:pt idx="190">
                  <c:v>1</c:v>
                </c:pt>
                <c:pt idx="191">
                  <c:v>1.2</c:v>
                </c:pt>
                <c:pt idx="192">
                  <c:v>2.4</c:v>
                </c:pt>
                <c:pt idx="193">
                  <c:v>4</c:v>
                </c:pt>
                <c:pt idx="194">
                  <c:v>0</c:v>
                </c:pt>
                <c:pt idx="195">
                  <c:v>0</c:v>
                </c:pt>
                <c:pt idx="196">
                  <c:v>0</c:v>
                </c:pt>
                <c:pt idx="197">
                  <c:v>0</c:v>
                </c:pt>
                <c:pt idx="198">
                  <c:v>0</c:v>
                </c:pt>
                <c:pt idx="199">
                  <c:v>0</c:v>
                </c:pt>
                <c:pt idx="200">
                  <c:v>0</c:v>
                </c:pt>
                <c:pt idx="201">
                  <c:v>0.6</c:v>
                </c:pt>
                <c:pt idx="202">
                  <c:v>0</c:v>
                </c:pt>
                <c:pt idx="203">
                  <c:v>0</c:v>
                </c:pt>
                <c:pt idx="204">
                  <c:v>8.4</c:v>
                </c:pt>
                <c:pt idx="205">
                  <c:v>4</c:v>
                </c:pt>
                <c:pt idx="206">
                  <c:v>4.2</c:v>
                </c:pt>
                <c:pt idx="207">
                  <c:v>0</c:v>
                </c:pt>
                <c:pt idx="208">
                  <c:v>0</c:v>
                </c:pt>
                <c:pt idx="209">
                  <c:v>0</c:v>
                </c:pt>
                <c:pt idx="210">
                  <c:v>0</c:v>
                </c:pt>
                <c:pt idx="211">
                  <c:v>0</c:v>
                </c:pt>
                <c:pt idx="212">
                  <c:v>0</c:v>
                </c:pt>
                <c:pt idx="213">
                  <c:v>0</c:v>
                </c:pt>
                <c:pt idx="214">
                  <c:v>0</c:v>
                </c:pt>
                <c:pt idx="215">
                  <c:v>0</c:v>
                </c:pt>
                <c:pt idx="216">
                  <c:v>0</c:v>
                </c:pt>
                <c:pt idx="217">
                  <c:v>0</c:v>
                </c:pt>
                <c:pt idx="218">
                  <c:v>3.2</c:v>
                </c:pt>
                <c:pt idx="219">
                  <c:v>14.6</c:v>
                </c:pt>
                <c:pt idx="220">
                  <c:v>24.4</c:v>
                </c:pt>
                <c:pt idx="221">
                  <c:v>1.8</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2.8</c:v>
                </c:pt>
                <c:pt idx="240">
                  <c:v>10.4</c:v>
                </c:pt>
                <c:pt idx="241">
                  <c:v>33.4</c:v>
                </c:pt>
                <c:pt idx="242">
                  <c:v>26</c:v>
                </c:pt>
                <c:pt idx="243">
                  <c:v>6</c:v>
                </c:pt>
                <c:pt idx="244">
                  <c:v>15.8</c:v>
                </c:pt>
                <c:pt idx="245">
                  <c:v>0.8</c:v>
                </c:pt>
                <c:pt idx="246">
                  <c:v>2.4</c:v>
                </c:pt>
                <c:pt idx="247">
                  <c:v>0</c:v>
                </c:pt>
                <c:pt idx="248">
                  <c:v>1.6</c:v>
                </c:pt>
                <c:pt idx="249">
                  <c:v>0</c:v>
                </c:pt>
                <c:pt idx="250">
                  <c:v>29.6</c:v>
                </c:pt>
                <c:pt idx="251">
                  <c:v>13</c:v>
                </c:pt>
                <c:pt idx="252">
                  <c:v>1.4</c:v>
                </c:pt>
                <c:pt idx="253">
                  <c:v>0</c:v>
                </c:pt>
                <c:pt idx="254">
                  <c:v>0</c:v>
                </c:pt>
                <c:pt idx="255">
                  <c:v>0</c:v>
                </c:pt>
                <c:pt idx="256">
                  <c:v>0</c:v>
                </c:pt>
                <c:pt idx="257">
                  <c:v>0</c:v>
                </c:pt>
                <c:pt idx="258">
                  <c:v>2</c:v>
                </c:pt>
                <c:pt idx="259">
                  <c:v>4</c:v>
                </c:pt>
                <c:pt idx="260">
                  <c:v>2.8</c:v>
                </c:pt>
                <c:pt idx="261">
                  <c:v>46.4</c:v>
                </c:pt>
                <c:pt idx="262">
                  <c:v>86.8</c:v>
                </c:pt>
                <c:pt idx="263">
                  <c:v>1.4</c:v>
                </c:pt>
                <c:pt idx="264">
                  <c:v>4.2</c:v>
                </c:pt>
                <c:pt idx="265">
                  <c:v>39.799999999999997</c:v>
                </c:pt>
                <c:pt idx="266">
                  <c:v>29.8</c:v>
                </c:pt>
                <c:pt idx="267">
                  <c:v>11.8</c:v>
                </c:pt>
                <c:pt idx="268">
                  <c:v>1.6</c:v>
                </c:pt>
                <c:pt idx="269">
                  <c:v>0</c:v>
                </c:pt>
                <c:pt idx="270">
                  <c:v>0</c:v>
                </c:pt>
                <c:pt idx="271">
                  <c:v>0</c:v>
                </c:pt>
                <c:pt idx="272">
                  <c:v>0</c:v>
                </c:pt>
                <c:pt idx="273">
                  <c:v>0</c:v>
                </c:pt>
                <c:pt idx="274">
                  <c:v>0</c:v>
                </c:pt>
                <c:pt idx="275">
                  <c:v>0</c:v>
                </c:pt>
                <c:pt idx="276">
                  <c:v>0</c:v>
                </c:pt>
                <c:pt idx="277">
                  <c:v>0</c:v>
                </c:pt>
                <c:pt idx="278">
                  <c:v>0</c:v>
                </c:pt>
                <c:pt idx="279">
                  <c:v>4</c:v>
                </c:pt>
                <c:pt idx="280">
                  <c:v>15.6</c:v>
                </c:pt>
                <c:pt idx="281">
                  <c:v>9.1999999999999993</c:v>
                </c:pt>
                <c:pt idx="282">
                  <c:v>26.4</c:v>
                </c:pt>
                <c:pt idx="283">
                  <c:v>27</c:v>
                </c:pt>
                <c:pt idx="284">
                  <c:v>37.6</c:v>
                </c:pt>
                <c:pt idx="285">
                  <c:v>0.8</c:v>
                </c:pt>
                <c:pt idx="286">
                  <c:v>0.6</c:v>
                </c:pt>
                <c:pt idx="287">
                  <c:v>0</c:v>
                </c:pt>
                <c:pt idx="288">
                  <c:v>0</c:v>
                </c:pt>
                <c:pt idx="289">
                  <c:v>14.2</c:v>
                </c:pt>
                <c:pt idx="290">
                  <c:v>6.4</c:v>
                </c:pt>
                <c:pt idx="291">
                  <c:v>23.4</c:v>
                </c:pt>
                <c:pt idx="292">
                  <c:v>0.6</c:v>
                </c:pt>
                <c:pt idx="293">
                  <c:v>10.199999999999999</c:v>
                </c:pt>
                <c:pt idx="294">
                  <c:v>4</c:v>
                </c:pt>
                <c:pt idx="295">
                  <c:v>9.8000000000000007</c:v>
                </c:pt>
                <c:pt idx="296">
                  <c:v>0</c:v>
                </c:pt>
                <c:pt idx="297">
                  <c:v>5.8</c:v>
                </c:pt>
                <c:pt idx="298">
                  <c:v>4</c:v>
                </c:pt>
                <c:pt idx="299">
                  <c:v>0</c:v>
                </c:pt>
                <c:pt idx="300">
                  <c:v>6.8</c:v>
                </c:pt>
                <c:pt idx="301">
                  <c:v>39</c:v>
                </c:pt>
                <c:pt idx="302">
                  <c:v>40.6</c:v>
                </c:pt>
                <c:pt idx="303">
                  <c:v>35.4</c:v>
                </c:pt>
                <c:pt idx="304">
                  <c:v>21.2</c:v>
                </c:pt>
                <c:pt idx="305">
                  <c:v>1.2</c:v>
                </c:pt>
                <c:pt idx="306">
                  <c:v>0</c:v>
                </c:pt>
                <c:pt idx="307">
                  <c:v>0</c:v>
                </c:pt>
                <c:pt idx="308">
                  <c:v>3.4</c:v>
                </c:pt>
                <c:pt idx="309">
                  <c:v>6</c:v>
                </c:pt>
                <c:pt idx="310">
                  <c:v>44.2</c:v>
                </c:pt>
                <c:pt idx="311">
                  <c:v>2.2000000000000002</c:v>
                </c:pt>
                <c:pt idx="312">
                  <c:v>1.6</c:v>
                </c:pt>
                <c:pt idx="313">
                  <c:v>0</c:v>
                </c:pt>
                <c:pt idx="314">
                  <c:v>20.5</c:v>
                </c:pt>
                <c:pt idx="315">
                  <c:v>18.8</c:v>
                </c:pt>
                <c:pt idx="316">
                  <c:v>59</c:v>
                </c:pt>
                <c:pt idx="317">
                  <c:v>11.4</c:v>
                </c:pt>
                <c:pt idx="318">
                  <c:v>0.6</c:v>
                </c:pt>
                <c:pt idx="319">
                  <c:v>6</c:v>
                </c:pt>
                <c:pt idx="320">
                  <c:v>55.4</c:v>
                </c:pt>
                <c:pt idx="321">
                  <c:v>6.2</c:v>
                </c:pt>
                <c:pt idx="322">
                  <c:v>0</c:v>
                </c:pt>
                <c:pt idx="323">
                  <c:v>0</c:v>
                </c:pt>
                <c:pt idx="324">
                  <c:v>0</c:v>
                </c:pt>
                <c:pt idx="325">
                  <c:v>0</c:v>
                </c:pt>
                <c:pt idx="326">
                  <c:v>0</c:v>
                </c:pt>
                <c:pt idx="327">
                  <c:v>0</c:v>
                </c:pt>
                <c:pt idx="328">
                  <c:v>0</c:v>
                </c:pt>
                <c:pt idx="329">
                  <c:v>0</c:v>
                </c:pt>
                <c:pt idx="330">
                  <c:v>0</c:v>
                </c:pt>
                <c:pt idx="331">
                  <c:v>0</c:v>
                </c:pt>
                <c:pt idx="332">
                  <c:v>0</c:v>
                </c:pt>
                <c:pt idx="333">
                  <c:v>0</c:v>
                </c:pt>
                <c:pt idx="334">
                  <c:v>13</c:v>
                </c:pt>
                <c:pt idx="335">
                  <c:v>34.6</c:v>
                </c:pt>
                <c:pt idx="336">
                  <c:v>27.4</c:v>
                </c:pt>
                <c:pt idx="337">
                  <c:v>32.6</c:v>
                </c:pt>
                <c:pt idx="338">
                  <c:v>27.2</c:v>
                </c:pt>
                <c:pt idx="339">
                  <c:v>33.799999999999997</c:v>
                </c:pt>
                <c:pt idx="340">
                  <c:v>22.4</c:v>
                </c:pt>
                <c:pt idx="341">
                  <c:v>37.200000000000003</c:v>
                </c:pt>
                <c:pt idx="342">
                  <c:v>27</c:v>
                </c:pt>
                <c:pt idx="343">
                  <c:v>4.8</c:v>
                </c:pt>
                <c:pt idx="344">
                  <c:v>12.2</c:v>
                </c:pt>
                <c:pt idx="345">
                  <c:v>3.4</c:v>
                </c:pt>
                <c:pt idx="346">
                  <c:v>23.8</c:v>
                </c:pt>
                <c:pt idx="347">
                  <c:v>0</c:v>
                </c:pt>
                <c:pt idx="348">
                  <c:v>2.4</c:v>
                </c:pt>
                <c:pt idx="349">
                  <c:v>3</c:v>
                </c:pt>
                <c:pt idx="350">
                  <c:v>2.2000000000000002</c:v>
                </c:pt>
                <c:pt idx="351">
                  <c:v>21.8</c:v>
                </c:pt>
                <c:pt idx="352">
                  <c:v>25.5</c:v>
                </c:pt>
                <c:pt idx="353">
                  <c:v>31.8</c:v>
                </c:pt>
                <c:pt idx="354">
                  <c:v>22.6</c:v>
                </c:pt>
                <c:pt idx="355">
                  <c:v>9</c:v>
                </c:pt>
                <c:pt idx="356">
                  <c:v>35.799999999999997</c:v>
                </c:pt>
                <c:pt idx="357">
                  <c:v>9.4</c:v>
                </c:pt>
                <c:pt idx="358">
                  <c:v>0</c:v>
                </c:pt>
                <c:pt idx="359">
                  <c:v>0</c:v>
                </c:pt>
                <c:pt idx="360">
                  <c:v>26.2</c:v>
                </c:pt>
                <c:pt idx="361">
                  <c:v>1.6</c:v>
                </c:pt>
                <c:pt idx="362">
                  <c:v>0.2</c:v>
                </c:pt>
                <c:pt idx="363">
                  <c:v>0</c:v>
                </c:pt>
                <c:pt idx="364">
                  <c:v>0</c:v>
                </c:pt>
                <c:pt idx="365">
                  <c:v>0</c:v>
                </c:pt>
              </c:numCache>
            </c:numRef>
          </c:val>
          <c:extLst>
            <c:ext xmlns:c16="http://schemas.microsoft.com/office/drawing/2014/chart" uri="{C3380CC4-5D6E-409C-BE32-E72D297353CC}">
              <c16:uniqueId val="{00000000-C4AB-4218-BC55-CF25BD220BF1}"/>
            </c:ext>
          </c:extLst>
        </c:ser>
        <c:dLbls>
          <c:showLegendKey val="0"/>
          <c:showVal val="0"/>
          <c:showCatName val="0"/>
          <c:showSerName val="0"/>
          <c:showPercent val="0"/>
          <c:showBubbleSize val="0"/>
        </c:dLbls>
        <c:gapWidth val="219"/>
        <c:overlap val="-27"/>
        <c:axId val="604361264"/>
        <c:axId val="604362704"/>
      </c:barChart>
      <c:lineChart>
        <c:grouping val="standard"/>
        <c:varyColors val="0"/>
        <c:ser>
          <c:idx val="1"/>
          <c:order val="1"/>
          <c:tx>
            <c:strRef>
              <c:f>'Studio Rain System'!$AK$21</c:f>
              <c:strCache>
                <c:ptCount val="1"/>
                <c:pt idx="0">
                  <c:v>V_water [m^3]</c:v>
                </c:pt>
              </c:strCache>
            </c:strRef>
          </c:tx>
          <c:spPr>
            <a:ln w="28575" cap="rnd">
              <a:solidFill>
                <a:schemeClr val="accent2"/>
              </a:solidFill>
              <a:round/>
            </a:ln>
            <a:effectLst/>
          </c:spPr>
          <c:marker>
            <c:symbol val="none"/>
          </c:marker>
          <c:val>
            <c:numRef>
              <c:f>'Studio Rain System'!$AK$22:$AK$387</c:f>
              <c:numCache>
                <c:formatCode>General</c:formatCode>
                <c:ptCount val="366"/>
                <c:pt idx="1">
                  <c:v>7.835</c:v>
                </c:pt>
                <c:pt idx="2">
                  <c:v>8.1900000000000013</c:v>
                </c:pt>
                <c:pt idx="3">
                  <c:v>20</c:v>
                </c:pt>
                <c:pt idx="4">
                  <c:v>20</c:v>
                </c:pt>
                <c:pt idx="5">
                  <c:v>20</c:v>
                </c:pt>
                <c:pt idx="6">
                  <c:v>20</c:v>
                </c:pt>
                <c:pt idx="7">
                  <c:v>19.254999999999999</c:v>
                </c:pt>
                <c:pt idx="8">
                  <c:v>18.509999999999998</c:v>
                </c:pt>
                <c:pt idx="9">
                  <c:v>18.644999999999996</c:v>
                </c:pt>
                <c:pt idx="10">
                  <c:v>17.899999999999995</c:v>
                </c:pt>
                <c:pt idx="11">
                  <c:v>17.154999999999994</c:v>
                </c:pt>
                <c:pt idx="12">
                  <c:v>16.409999999999993</c:v>
                </c:pt>
                <c:pt idx="13">
                  <c:v>15.664999999999994</c:v>
                </c:pt>
                <c:pt idx="14">
                  <c:v>15.359999999999994</c:v>
                </c:pt>
                <c:pt idx="15">
                  <c:v>20</c:v>
                </c:pt>
                <c:pt idx="16">
                  <c:v>20</c:v>
                </c:pt>
                <c:pt idx="17">
                  <c:v>20</c:v>
                </c:pt>
                <c:pt idx="18">
                  <c:v>20</c:v>
                </c:pt>
                <c:pt idx="19">
                  <c:v>20</c:v>
                </c:pt>
                <c:pt idx="20">
                  <c:v>19.695</c:v>
                </c:pt>
                <c:pt idx="21">
                  <c:v>20</c:v>
                </c:pt>
                <c:pt idx="22">
                  <c:v>20</c:v>
                </c:pt>
                <c:pt idx="23">
                  <c:v>20</c:v>
                </c:pt>
                <c:pt idx="24">
                  <c:v>20</c:v>
                </c:pt>
                <c:pt idx="25">
                  <c:v>20</c:v>
                </c:pt>
                <c:pt idx="26">
                  <c:v>20</c:v>
                </c:pt>
                <c:pt idx="27">
                  <c:v>20</c:v>
                </c:pt>
                <c:pt idx="28">
                  <c:v>19.254999999999999</c:v>
                </c:pt>
                <c:pt idx="29">
                  <c:v>18.509999999999998</c:v>
                </c:pt>
                <c:pt idx="30">
                  <c:v>18.424999999999997</c:v>
                </c:pt>
                <c:pt idx="31">
                  <c:v>20</c:v>
                </c:pt>
                <c:pt idx="32">
                  <c:v>20</c:v>
                </c:pt>
                <c:pt idx="33">
                  <c:v>20</c:v>
                </c:pt>
                <c:pt idx="34">
                  <c:v>19.914999999999999</c:v>
                </c:pt>
                <c:pt idx="35">
                  <c:v>20</c:v>
                </c:pt>
                <c:pt idx="36">
                  <c:v>20</c:v>
                </c:pt>
                <c:pt idx="37">
                  <c:v>20</c:v>
                </c:pt>
                <c:pt idx="38">
                  <c:v>20</c:v>
                </c:pt>
                <c:pt idx="39">
                  <c:v>20</c:v>
                </c:pt>
                <c:pt idx="40">
                  <c:v>20</c:v>
                </c:pt>
                <c:pt idx="41">
                  <c:v>19.474999999999998</c:v>
                </c:pt>
                <c:pt idx="42">
                  <c:v>20</c:v>
                </c:pt>
                <c:pt idx="43">
                  <c:v>20</c:v>
                </c:pt>
                <c:pt idx="44">
                  <c:v>20</c:v>
                </c:pt>
                <c:pt idx="45">
                  <c:v>19.474999999999998</c:v>
                </c:pt>
                <c:pt idx="46">
                  <c:v>18.729999999999997</c:v>
                </c:pt>
                <c:pt idx="47">
                  <c:v>17.984999999999996</c:v>
                </c:pt>
                <c:pt idx="48">
                  <c:v>17.239999999999995</c:v>
                </c:pt>
                <c:pt idx="49">
                  <c:v>20</c:v>
                </c:pt>
                <c:pt idx="50">
                  <c:v>20</c:v>
                </c:pt>
                <c:pt idx="51">
                  <c:v>19.695</c:v>
                </c:pt>
                <c:pt idx="52">
                  <c:v>18.95</c:v>
                </c:pt>
                <c:pt idx="53">
                  <c:v>18.204999999999998</c:v>
                </c:pt>
                <c:pt idx="54">
                  <c:v>17.459999999999997</c:v>
                </c:pt>
                <c:pt idx="55">
                  <c:v>16.934999999999995</c:v>
                </c:pt>
                <c:pt idx="56">
                  <c:v>20</c:v>
                </c:pt>
                <c:pt idx="57">
                  <c:v>20</c:v>
                </c:pt>
                <c:pt idx="58">
                  <c:v>19.695</c:v>
                </c:pt>
                <c:pt idx="59">
                  <c:v>18.95</c:v>
                </c:pt>
                <c:pt idx="60">
                  <c:v>19.524999999999999</c:v>
                </c:pt>
                <c:pt idx="61">
                  <c:v>18.779999999999998</c:v>
                </c:pt>
                <c:pt idx="62">
                  <c:v>18.034999999999997</c:v>
                </c:pt>
                <c:pt idx="63">
                  <c:v>17.729999999999997</c:v>
                </c:pt>
                <c:pt idx="64">
                  <c:v>18.964999999999996</c:v>
                </c:pt>
                <c:pt idx="65">
                  <c:v>19.099999999999994</c:v>
                </c:pt>
                <c:pt idx="66">
                  <c:v>18.354999999999993</c:v>
                </c:pt>
                <c:pt idx="67">
                  <c:v>18.049999999999994</c:v>
                </c:pt>
                <c:pt idx="68">
                  <c:v>17.744999999999994</c:v>
                </c:pt>
                <c:pt idx="69">
                  <c:v>20</c:v>
                </c:pt>
                <c:pt idx="70">
                  <c:v>20</c:v>
                </c:pt>
                <c:pt idx="71">
                  <c:v>20</c:v>
                </c:pt>
                <c:pt idx="72">
                  <c:v>20</c:v>
                </c:pt>
                <c:pt idx="73">
                  <c:v>19.914999999999999</c:v>
                </c:pt>
                <c:pt idx="74">
                  <c:v>19.169999999999998</c:v>
                </c:pt>
                <c:pt idx="75">
                  <c:v>18.424999999999997</c:v>
                </c:pt>
                <c:pt idx="76">
                  <c:v>17.679999999999996</c:v>
                </c:pt>
                <c:pt idx="77">
                  <c:v>20</c:v>
                </c:pt>
                <c:pt idx="78">
                  <c:v>20</c:v>
                </c:pt>
                <c:pt idx="79">
                  <c:v>20</c:v>
                </c:pt>
                <c:pt idx="80">
                  <c:v>19.254999999999999</c:v>
                </c:pt>
                <c:pt idx="81">
                  <c:v>20</c:v>
                </c:pt>
                <c:pt idx="82">
                  <c:v>20</c:v>
                </c:pt>
                <c:pt idx="83">
                  <c:v>20</c:v>
                </c:pt>
                <c:pt idx="84">
                  <c:v>20</c:v>
                </c:pt>
                <c:pt idx="85">
                  <c:v>20</c:v>
                </c:pt>
                <c:pt idx="86">
                  <c:v>20</c:v>
                </c:pt>
                <c:pt idx="87">
                  <c:v>20</c:v>
                </c:pt>
                <c:pt idx="88">
                  <c:v>20</c:v>
                </c:pt>
                <c:pt idx="89">
                  <c:v>20</c:v>
                </c:pt>
                <c:pt idx="90">
                  <c:v>20</c:v>
                </c:pt>
                <c:pt idx="91">
                  <c:v>19.254999999999999</c:v>
                </c:pt>
                <c:pt idx="92">
                  <c:v>20</c:v>
                </c:pt>
                <c:pt idx="93">
                  <c:v>20</c:v>
                </c:pt>
                <c:pt idx="94">
                  <c:v>20</c:v>
                </c:pt>
                <c:pt idx="95">
                  <c:v>19.914999999999999</c:v>
                </c:pt>
                <c:pt idx="96">
                  <c:v>19.169999999999998</c:v>
                </c:pt>
                <c:pt idx="97">
                  <c:v>18.424999999999997</c:v>
                </c:pt>
                <c:pt idx="98">
                  <c:v>17.679999999999996</c:v>
                </c:pt>
                <c:pt idx="99">
                  <c:v>20</c:v>
                </c:pt>
                <c:pt idx="100">
                  <c:v>20</c:v>
                </c:pt>
                <c:pt idx="101">
                  <c:v>20</c:v>
                </c:pt>
                <c:pt idx="102">
                  <c:v>20</c:v>
                </c:pt>
                <c:pt idx="103">
                  <c:v>20</c:v>
                </c:pt>
                <c:pt idx="104">
                  <c:v>20</c:v>
                </c:pt>
                <c:pt idx="105">
                  <c:v>20</c:v>
                </c:pt>
                <c:pt idx="106">
                  <c:v>20</c:v>
                </c:pt>
                <c:pt idx="107">
                  <c:v>19.254999999999999</c:v>
                </c:pt>
                <c:pt idx="108">
                  <c:v>18.509999999999998</c:v>
                </c:pt>
                <c:pt idx="109">
                  <c:v>17.764999999999997</c:v>
                </c:pt>
                <c:pt idx="110">
                  <c:v>18.229999999999997</c:v>
                </c:pt>
                <c:pt idx="111">
                  <c:v>17.924999999999997</c:v>
                </c:pt>
                <c:pt idx="112">
                  <c:v>20</c:v>
                </c:pt>
                <c:pt idx="113">
                  <c:v>20</c:v>
                </c:pt>
                <c:pt idx="114">
                  <c:v>20</c:v>
                </c:pt>
                <c:pt idx="115">
                  <c:v>19.254999999999999</c:v>
                </c:pt>
                <c:pt idx="116">
                  <c:v>20</c:v>
                </c:pt>
                <c:pt idx="117">
                  <c:v>20</c:v>
                </c:pt>
                <c:pt idx="118">
                  <c:v>20</c:v>
                </c:pt>
                <c:pt idx="119">
                  <c:v>20</c:v>
                </c:pt>
                <c:pt idx="120">
                  <c:v>20</c:v>
                </c:pt>
                <c:pt idx="121">
                  <c:v>20</c:v>
                </c:pt>
                <c:pt idx="122">
                  <c:v>19.254999999999999</c:v>
                </c:pt>
                <c:pt idx="123">
                  <c:v>18.509999999999998</c:v>
                </c:pt>
                <c:pt idx="124">
                  <c:v>20</c:v>
                </c:pt>
                <c:pt idx="125">
                  <c:v>19.695</c:v>
                </c:pt>
                <c:pt idx="126">
                  <c:v>18.95</c:v>
                </c:pt>
                <c:pt idx="127">
                  <c:v>18.204999999999998</c:v>
                </c:pt>
                <c:pt idx="128">
                  <c:v>17.459999999999997</c:v>
                </c:pt>
                <c:pt idx="129">
                  <c:v>16.714999999999996</c:v>
                </c:pt>
                <c:pt idx="130">
                  <c:v>16.409999999999997</c:v>
                </c:pt>
                <c:pt idx="131">
                  <c:v>15.664999999999997</c:v>
                </c:pt>
                <c:pt idx="132">
                  <c:v>14.919999999999998</c:v>
                </c:pt>
                <c:pt idx="133">
                  <c:v>14.174999999999999</c:v>
                </c:pt>
                <c:pt idx="134">
                  <c:v>13.43</c:v>
                </c:pt>
                <c:pt idx="135">
                  <c:v>12.685</c:v>
                </c:pt>
                <c:pt idx="136">
                  <c:v>12.160000000000002</c:v>
                </c:pt>
                <c:pt idx="137">
                  <c:v>11.415000000000003</c:v>
                </c:pt>
                <c:pt idx="138">
                  <c:v>10.670000000000003</c:v>
                </c:pt>
                <c:pt idx="139">
                  <c:v>9.9250000000000043</c:v>
                </c:pt>
                <c:pt idx="140">
                  <c:v>9.180000000000005</c:v>
                </c:pt>
                <c:pt idx="141">
                  <c:v>8.4350000000000058</c:v>
                </c:pt>
                <c:pt idx="142">
                  <c:v>7.9100000000000064</c:v>
                </c:pt>
                <c:pt idx="143">
                  <c:v>7.385000000000006</c:v>
                </c:pt>
                <c:pt idx="144">
                  <c:v>6.6400000000000059</c:v>
                </c:pt>
                <c:pt idx="145">
                  <c:v>5.8950000000000058</c:v>
                </c:pt>
                <c:pt idx="146">
                  <c:v>5.1500000000000057</c:v>
                </c:pt>
                <c:pt idx="147">
                  <c:v>4.4050000000000056</c:v>
                </c:pt>
                <c:pt idx="148">
                  <c:v>3.6600000000000055</c:v>
                </c:pt>
                <c:pt idx="149">
                  <c:v>2.9150000000000054</c:v>
                </c:pt>
                <c:pt idx="150">
                  <c:v>2.1700000000000053</c:v>
                </c:pt>
                <c:pt idx="151">
                  <c:v>1.4250000000000052</c:v>
                </c:pt>
                <c:pt idx="152">
                  <c:v>8.8200000000000056</c:v>
                </c:pt>
                <c:pt idx="153">
                  <c:v>11.155000000000006</c:v>
                </c:pt>
                <c:pt idx="154">
                  <c:v>10.410000000000007</c:v>
                </c:pt>
                <c:pt idx="155">
                  <c:v>9.665000000000008</c:v>
                </c:pt>
                <c:pt idx="156">
                  <c:v>8.9200000000000088</c:v>
                </c:pt>
                <c:pt idx="157">
                  <c:v>8.1750000000000096</c:v>
                </c:pt>
                <c:pt idx="158">
                  <c:v>7.4300000000000095</c:v>
                </c:pt>
                <c:pt idx="159">
                  <c:v>6.6850000000000094</c:v>
                </c:pt>
                <c:pt idx="160">
                  <c:v>5.9400000000000093</c:v>
                </c:pt>
                <c:pt idx="161">
                  <c:v>5.1950000000000092</c:v>
                </c:pt>
                <c:pt idx="162">
                  <c:v>4.4500000000000091</c:v>
                </c:pt>
                <c:pt idx="163">
                  <c:v>3.705000000000009</c:v>
                </c:pt>
                <c:pt idx="164">
                  <c:v>2.9600000000000088</c:v>
                </c:pt>
                <c:pt idx="165">
                  <c:v>2.2150000000000087</c:v>
                </c:pt>
                <c:pt idx="166">
                  <c:v>1.4700000000000086</c:v>
                </c:pt>
                <c:pt idx="167">
                  <c:v>0.72500000000000864</c:v>
                </c:pt>
                <c:pt idx="168">
                  <c:v>0</c:v>
                </c:pt>
                <c:pt idx="169">
                  <c:v>6.9550000000000001</c:v>
                </c:pt>
                <c:pt idx="170">
                  <c:v>6.21</c:v>
                </c:pt>
                <c:pt idx="171">
                  <c:v>5.4649999999999999</c:v>
                </c:pt>
                <c:pt idx="172">
                  <c:v>4.72</c:v>
                </c:pt>
                <c:pt idx="173">
                  <c:v>3.9749999999999996</c:v>
                </c:pt>
                <c:pt idx="174">
                  <c:v>4.7699999999999996</c:v>
                </c:pt>
                <c:pt idx="175">
                  <c:v>18.764999999999997</c:v>
                </c:pt>
                <c:pt idx="176">
                  <c:v>20</c:v>
                </c:pt>
                <c:pt idx="177">
                  <c:v>19.254999999999999</c:v>
                </c:pt>
                <c:pt idx="178">
                  <c:v>18.509999999999998</c:v>
                </c:pt>
                <c:pt idx="179">
                  <c:v>17.764999999999997</c:v>
                </c:pt>
                <c:pt idx="180">
                  <c:v>17.019999999999996</c:v>
                </c:pt>
                <c:pt idx="181">
                  <c:v>16.274999999999995</c:v>
                </c:pt>
                <c:pt idx="182">
                  <c:v>15.529999999999996</c:v>
                </c:pt>
                <c:pt idx="183">
                  <c:v>14.784999999999997</c:v>
                </c:pt>
                <c:pt idx="184">
                  <c:v>14.039999999999997</c:v>
                </c:pt>
                <c:pt idx="185">
                  <c:v>13.294999999999998</c:v>
                </c:pt>
                <c:pt idx="186">
                  <c:v>12.549999999999999</c:v>
                </c:pt>
                <c:pt idx="187">
                  <c:v>11.805</c:v>
                </c:pt>
                <c:pt idx="188">
                  <c:v>11.280000000000001</c:v>
                </c:pt>
                <c:pt idx="189">
                  <c:v>10.535000000000002</c:v>
                </c:pt>
                <c:pt idx="190">
                  <c:v>10.890000000000002</c:v>
                </c:pt>
                <c:pt idx="191">
                  <c:v>11.465000000000003</c:v>
                </c:pt>
                <c:pt idx="192">
                  <c:v>13.360000000000005</c:v>
                </c:pt>
                <c:pt idx="193">
                  <c:v>17.015000000000004</c:v>
                </c:pt>
                <c:pt idx="194">
                  <c:v>16.270000000000003</c:v>
                </c:pt>
                <c:pt idx="195">
                  <c:v>15.525000000000004</c:v>
                </c:pt>
                <c:pt idx="196">
                  <c:v>14.780000000000005</c:v>
                </c:pt>
                <c:pt idx="197">
                  <c:v>14.035000000000005</c:v>
                </c:pt>
                <c:pt idx="198">
                  <c:v>13.290000000000006</c:v>
                </c:pt>
                <c:pt idx="199">
                  <c:v>12.545000000000007</c:v>
                </c:pt>
                <c:pt idx="200">
                  <c:v>11.800000000000008</c:v>
                </c:pt>
                <c:pt idx="201">
                  <c:v>11.715000000000009</c:v>
                </c:pt>
                <c:pt idx="202">
                  <c:v>10.97000000000001</c:v>
                </c:pt>
                <c:pt idx="203">
                  <c:v>10.22500000000001</c:v>
                </c:pt>
                <c:pt idx="204">
                  <c:v>18.72000000000001</c:v>
                </c:pt>
                <c:pt idx="205">
                  <c:v>20</c:v>
                </c:pt>
                <c:pt idx="206">
                  <c:v>20</c:v>
                </c:pt>
                <c:pt idx="207">
                  <c:v>19.254999999999999</c:v>
                </c:pt>
                <c:pt idx="208">
                  <c:v>18.509999999999998</c:v>
                </c:pt>
                <c:pt idx="209">
                  <c:v>17.764999999999997</c:v>
                </c:pt>
                <c:pt idx="210">
                  <c:v>17.019999999999996</c:v>
                </c:pt>
                <c:pt idx="211">
                  <c:v>16.274999999999995</c:v>
                </c:pt>
                <c:pt idx="212">
                  <c:v>15.529999999999996</c:v>
                </c:pt>
                <c:pt idx="213">
                  <c:v>14.784999999999997</c:v>
                </c:pt>
                <c:pt idx="214">
                  <c:v>14.039999999999997</c:v>
                </c:pt>
                <c:pt idx="215">
                  <c:v>13.294999999999998</c:v>
                </c:pt>
                <c:pt idx="216">
                  <c:v>12.549999999999999</c:v>
                </c:pt>
                <c:pt idx="217">
                  <c:v>11.805</c:v>
                </c:pt>
                <c:pt idx="218">
                  <c:v>14.58</c:v>
                </c:pt>
                <c:pt idx="219">
                  <c:v>20</c:v>
                </c:pt>
                <c:pt idx="220">
                  <c:v>20</c:v>
                </c:pt>
                <c:pt idx="221">
                  <c:v>20</c:v>
                </c:pt>
                <c:pt idx="222">
                  <c:v>19.254999999999999</c:v>
                </c:pt>
                <c:pt idx="223">
                  <c:v>18.509999999999998</c:v>
                </c:pt>
                <c:pt idx="224">
                  <c:v>17.764999999999997</c:v>
                </c:pt>
                <c:pt idx="225">
                  <c:v>17.019999999999996</c:v>
                </c:pt>
                <c:pt idx="226">
                  <c:v>16.274999999999995</c:v>
                </c:pt>
                <c:pt idx="227">
                  <c:v>15.529999999999996</c:v>
                </c:pt>
                <c:pt idx="228">
                  <c:v>14.784999999999997</c:v>
                </c:pt>
                <c:pt idx="229">
                  <c:v>14.039999999999997</c:v>
                </c:pt>
                <c:pt idx="230">
                  <c:v>13.294999999999998</c:v>
                </c:pt>
                <c:pt idx="231">
                  <c:v>12.549999999999999</c:v>
                </c:pt>
                <c:pt idx="232">
                  <c:v>11.805</c:v>
                </c:pt>
                <c:pt idx="233">
                  <c:v>11.06</c:v>
                </c:pt>
                <c:pt idx="234">
                  <c:v>10.315000000000001</c:v>
                </c:pt>
                <c:pt idx="235">
                  <c:v>9.5700000000000021</c:v>
                </c:pt>
                <c:pt idx="236">
                  <c:v>8.8250000000000028</c:v>
                </c:pt>
                <c:pt idx="237">
                  <c:v>8.0800000000000036</c:v>
                </c:pt>
                <c:pt idx="238">
                  <c:v>7.3350000000000035</c:v>
                </c:pt>
                <c:pt idx="239">
                  <c:v>9.6700000000000035</c:v>
                </c:pt>
                <c:pt idx="240">
                  <c:v>20</c:v>
                </c:pt>
                <c:pt idx="241">
                  <c:v>20</c:v>
                </c:pt>
                <c:pt idx="242">
                  <c:v>20</c:v>
                </c:pt>
                <c:pt idx="243">
                  <c:v>20</c:v>
                </c:pt>
                <c:pt idx="244">
                  <c:v>20</c:v>
                </c:pt>
                <c:pt idx="245">
                  <c:v>20</c:v>
                </c:pt>
                <c:pt idx="246">
                  <c:v>20</c:v>
                </c:pt>
                <c:pt idx="247">
                  <c:v>19.254999999999999</c:v>
                </c:pt>
                <c:pt idx="248">
                  <c:v>20</c:v>
                </c:pt>
                <c:pt idx="249">
                  <c:v>19.254999999999999</c:v>
                </c:pt>
                <c:pt idx="250">
                  <c:v>20</c:v>
                </c:pt>
                <c:pt idx="251">
                  <c:v>20</c:v>
                </c:pt>
                <c:pt idx="252">
                  <c:v>20</c:v>
                </c:pt>
                <c:pt idx="253">
                  <c:v>19.254999999999999</c:v>
                </c:pt>
                <c:pt idx="254">
                  <c:v>18.509999999999998</c:v>
                </c:pt>
                <c:pt idx="255">
                  <c:v>17.764999999999997</c:v>
                </c:pt>
                <c:pt idx="256">
                  <c:v>17.019999999999996</c:v>
                </c:pt>
                <c:pt idx="257">
                  <c:v>16.274999999999995</c:v>
                </c:pt>
                <c:pt idx="258">
                  <c:v>17.729999999999993</c:v>
                </c:pt>
                <c:pt idx="259">
                  <c:v>20</c:v>
                </c:pt>
                <c:pt idx="260">
                  <c:v>20</c:v>
                </c:pt>
                <c:pt idx="261">
                  <c:v>20</c:v>
                </c:pt>
                <c:pt idx="262">
                  <c:v>20</c:v>
                </c:pt>
                <c:pt idx="263">
                  <c:v>20</c:v>
                </c:pt>
                <c:pt idx="264">
                  <c:v>20</c:v>
                </c:pt>
                <c:pt idx="265">
                  <c:v>20</c:v>
                </c:pt>
                <c:pt idx="266">
                  <c:v>20</c:v>
                </c:pt>
                <c:pt idx="267">
                  <c:v>20</c:v>
                </c:pt>
                <c:pt idx="268">
                  <c:v>20</c:v>
                </c:pt>
                <c:pt idx="269">
                  <c:v>19.254999999999999</c:v>
                </c:pt>
                <c:pt idx="270">
                  <c:v>18.509999999999998</c:v>
                </c:pt>
                <c:pt idx="271">
                  <c:v>17.764999999999997</c:v>
                </c:pt>
                <c:pt idx="272">
                  <c:v>17.019999999999996</c:v>
                </c:pt>
                <c:pt idx="273">
                  <c:v>16.274999999999995</c:v>
                </c:pt>
                <c:pt idx="274">
                  <c:v>15.529999999999996</c:v>
                </c:pt>
                <c:pt idx="275">
                  <c:v>14.784999999999997</c:v>
                </c:pt>
                <c:pt idx="276">
                  <c:v>14.039999999999997</c:v>
                </c:pt>
                <c:pt idx="277">
                  <c:v>13.294999999999998</c:v>
                </c:pt>
                <c:pt idx="278">
                  <c:v>12.549999999999999</c:v>
                </c:pt>
                <c:pt idx="279">
                  <c:v>16.204999999999998</c:v>
                </c:pt>
                <c:pt idx="280">
                  <c:v>20</c:v>
                </c:pt>
                <c:pt idx="281">
                  <c:v>20</c:v>
                </c:pt>
                <c:pt idx="282">
                  <c:v>20</c:v>
                </c:pt>
                <c:pt idx="283">
                  <c:v>20</c:v>
                </c:pt>
                <c:pt idx="284">
                  <c:v>20</c:v>
                </c:pt>
                <c:pt idx="285">
                  <c:v>20</c:v>
                </c:pt>
                <c:pt idx="286">
                  <c:v>19.914999999999999</c:v>
                </c:pt>
                <c:pt idx="287">
                  <c:v>19.169999999999998</c:v>
                </c:pt>
                <c:pt idx="288">
                  <c:v>18.424999999999997</c:v>
                </c:pt>
                <c:pt idx="289">
                  <c:v>20</c:v>
                </c:pt>
                <c:pt idx="290">
                  <c:v>20</c:v>
                </c:pt>
                <c:pt idx="291">
                  <c:v>20</c:v>
                </c:pt>
                <c:pt idx="292">
                  <c:v>19.914999999999999</c:v>
                </c:pt>
                <c:pt idx="293">
                  <c:v>20</c:v>
                </c:pt>
                <c:pt idx="294">
                  <c:v>20</c:v>
                </c:pt>
                <c:pt idx="295">
                  <c:v>20</c:v>
                </c:pt>
                <c:pt idx="296">
                  <c:v>19.254999999999999</c:v>
                </c:pt>
                <c:pt idx="297">
                  <c:v>20</c:v>
                </c:pt>
                <c:pt idx="298">
                  <c:v>20</c:v>
                </c:pt>
                <c:pt idx="299">
                  <c:v>19.254999999999999</c:v>
                </c:pt>
                <c:pt idx="300">
                  <c:v>20</c:v>
                </c:pt>
                <c:pt idx="301">
                  <c:v>20</c:v>
                </c:pt>
                <c:pt idx="302">
                  <c:v>20</c:v>
                </c:pt>
                <c:pt idx="303">
                  <c:v>20</c:v>
                </c:pt>
                <c:pt idx="304">
                  <c:v>20</c:v>
                </c:pt>
                <c:pt idx="305">
                  <c:v>20</c:v>
                </c:pt>
                <c:pt idx="306">
                  <c:v>19.254999999999999</c:v>
                </c:pt>
                <c:pt idx="307">
                  <c:v>18.509999999999998</c:v>
                </c:pt>
                <c:pt idx="308">
                  <c:v>20</c:v>
                </c:pt>
                <c:pt idx="309">
                  <c:v>20</c:v>
                </c:pt>
                <c:pt idx="310">
                  <c:v>20</c:v>
                </c:pt>
                <c:pt idx="311">
                  <c:v>20</c:v>
                </c:pt>
                <c:pt idx="312">
                  <c:v>20</c:v>
                </c:pt>
                <c:pt idx="313">
                  <c:v>19.254999999999999</c:v>
                </c:pt>
                <c:pt idx="314">
                  <c:v>20</c:v>
                </c:pt>
                <c:pt idx="315">
                  <c:v>20</c:v>
                </c:pt>
                <c:pt idx="316">
                  <c:v>20</c:v>
                </c:pt>
                <c:pt idx="317">
                  <c:v>20</c:v>
                </c:pt>
                <c:pt idx="318">
                  <c:v>19.914999999999999</c:v>
                </c:pt>
                <c:pt idx="319">
                  <c:v>20</c:v>
                </c:pt>
                <c:pt idx="320">
                  <c:v>20</c:v>
                </c:pt>
                <c:pt idx="321">
                  <c:v>20</c:v>
                </c:pt>
                <c:pt idx="322">
                  <c:v>19.254999999999999</c:v>
                </c:pt>
                <c:pt idx="323">
                  <c:v>18.509999999999998</c:v>
                </c:pt>
                <c:pt idx="324">
                  <c:v>17.764999999999997</c:v>
                </c:pt>
                <c:pt idx="325">
                  <c:v>17.019999999999996</c:v>
                </c:pt>
                <c:pt idx="326">
                  <c:v>16.274999999999995</c:v>
                </c:pt>
                <c:pt idx="327">
                  <c:v>15.529999999999996</c:v>
                </c:pt>
                <c:pt idx="328">
                  <c:v>14.784999999999997</c:v>
                </c:pt>
                <c:pt idx="329">
                  <c:v>14.039999999999997</c:v>
                </c:pt>
                <c:pt idx="330">
                  <c:v>13.294999999999998</c:v>
                </c:pt>
                <c:pt idx="331">
                  <c:v>12.549999999999999</c:v>
                </c:pt>
                <c:pt idx="332">
                  <c:v>11.805</c:v>
                </c:pt>
                <c:pt idx="333">
                  <c:v>11.06</c:v>
                </c:pt>
                <c:pt idx="334">
                  <c:v>20</c:v>
                </c:pt>
                <c:pt idx="335">
                  <c:v>20</c:v>
                </c:pt>
                <c:pt idx="336">
                  <c:v>20</c:v>
                </c:pt>
                <c:pt idx="337">
                  <c:v>20</c:v>
                </c:pt>
                <c:pt idx="338">
                  <c:v>20</c:v>
                </c:pt>
                <c:pt idx="339">
                  <c:v>20</c:v>
                </c:pt>
                <c:pt idx="340">
                  <c:v>20</c:v>
                </c:pt>
                <c:pt idx="341">
                  <c:v>20</c:v>
                </c:pt>
                <c:pt idx="342">
                  <c:v>20</c:v>
                </c:pt>
                <c:pt idx="343">
                  <c:v>20</c:v>
                </c:pt>
                <c:pt idx="344">
                  <c:v>20</c:v>
                </c:pt>
                <c:pt idx="345">
                  <c:v>20</c:v>
                </c:pt>
                <c:pt idx="346">
                  <c:v>20</c:v>
                </c:pt>
                <c:pt idx="347">
                  <c:v>19.254999999999999</c:v>
                </c:pt>
                <c:pt idx="348">
                  <c:v>20</c:v>
                </c:pt>
                <c:pt idx="349">
                  <c:v>20</c:v>
                </c:pt>
                <c:pt idx="350">
                  <c:v>20</c:v>
                </c:pt>
                <c:pt idx="351">
                  <c:v>20</c:v>
                </c:pt>
                <c:pt idx="352">
                  <c:v>20</c:v>
                </c:pt>
                <c:pt idx="353">
                  <c:v>20</c:v>
                </c:pt>
                <c:pt idx="354">
                  <c:v>20</c:v>
                </c:pt>
                <c:pt idx="355">
                  <c:v>20</c:v>
                </c:pt>
                <c:pt idx="356">
                  <c:v>20</c:v>
                </c:pt>
                <c:pt idx="357">
                  <c:v>20</c:v>
                </c:pt>
                <c:pt idx="358">
                  <c:v>19.254999999999999</c:v>
                </c:pt>
                <c:pt idx="359">
                  <c:v>18.509999999999998</c:v>
                </c:pt>
                <c:pt idx="360">
                  <c:v>20</c:v>
                </c:pt>
                <c:pt idx="361">
                  <c:v>20</c:v>
                </c:pt>
                <c:pt idx="362">
                  <c:v>19.474999999999998</c:v>
                </c:pt>
                <c:pt idx="363">
                  <c:v>18.729999999999997</c:v>
                </c:pt>
                <c:pt idx="364">
                  <c:v>17.984999999999996</c:v>
                </c:pt>
                <c:pt idx="365">
                  <c:v>17.239999999999995</c:v>
                </c:pt>
              </c:numCache>
            </c:numRef>
          </c:val>
          <c:smooth val="0"/>
          <c:extLst>
            <c:ext xmlns:c16="http://schemas.microsoft.com/office/drawing/2014/chart" uri="{C3380CC4-5D6E-409C-BE32-E72D297353CC}">
              <c16:uniqueId val="{00000001-C4AB-4218-BC55-CF25BD220BF1}"/>
            </c:ext>
          </c:extLst>
        </c:ser>
        <c:dLbls>
          <c:showLegendKey val="0"/>
          <c:showVal val="0"/>
          <c:showCatName val="0"/>
          <c:showSerName val="0"/>
          <c:showPercent val="0"/>
          <c:showBubbleSize val="0"/>
        </c:dLbls>
        <c:marker val="1"/>
        <c:smooth val="0"/>
        <c:axId val="604361264"/>
        <c:axId val="604362704"/>
      </c:lineChart>
      <c:catAx>
        <c:axId val="604361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362704"/>
        <c:crosses val="autoZero"/>
        <c:auto val="1"/>
        <c:lblAlgn val="ctr"/>
        <c:lblOffset val="100"/>
        <c:noMultiLvlLbl val="0"/>
      </c:catAx>
      <c:valAx>
        <c:axId val="6043627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Rainfall/Day (mm), Tank Volume (m3)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3612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'Studio Rain System'!$AU$21</c:f>
              <c:strCache>
                <c:ptCount val="1"/>
                <c:pt idx="0">
                  <c:v>Rainfall [mm]</c:v>
                </c:pt>
              </c:strCache>
            </c:strRef>
          </c:tx>
          <c:spPr>
            <a:solidFill>
              <a:schemeClr val="accent1"/>
            </a:solidFill>
            <a:ln>
              <a:noFill/>
            </a:ln>
            <a:effectLst/>
          </c:spPr>
          <c:invertIfNegative val="0"/>
          <c:val>
            <c:numRef>
              <c:f>'Studio Rain System'!$AU$22:$AU$387</c:f>
              <c:numCache>
                <c:formatCode>General</c:formatCode>
                <c:ptCount val="366"/>
                <c:pt idx="1">
                  <c:v>18.8</c:v>
                </c:pt>
                <c:pt idx="2">
                  <c:v>19.8</c:v>
                </c:pt>
                <c:pt idx="3">
                  <c:v>0</c:v>
                </c:pt>
                <c:pt idx="4">
                  <c:v>0</c:v>
                </c:pt>
                <c:pt idx="5">
                  <c:v>0</c:v>
                </c:pt>
                <c:pt idx="6">
                  <c:v>5</c:v>
                </c:pt>
                <c:pt idx="7">
                  <c:v>20.399999999999999</c:v>
                </c:pt>
                <c:pt idx="8">
                  <c:v>24.8</c:v>
                </c:pt>
                <c:pt idx="9">
                  <c:v>34</c:v>
                </c:pt>
                <c:pt idx="10">
                  <c:v>44.6</c:v>
                </c:pt>
                <c:pt idx="11">
                  <c:v>14.4</c:v>
                </c:pt>
                <c:pt idx="12">
                  <c:v>50.2</c:v>
                </c:pt>
                <c:pt idx="13">
                  <c:v>9.6</c:v>
                </c:pt>
                <c:pt idx="14">
                  <c:v>5.8</c:v>
                </c:pt>
                <c:pt idx="15">
                  <c:v>1.6</c:v>
                </c:pt>
                <c:pt idx="16">
                  <c:v>0.8</c:v>
                </c:pt>
                <c:pt idx="17">
                  <c:v>0</c:v>
                </c:pt>
                <c:pt idx="18">
                  <c:v>2.6</c:v>
                </c:pt>
                <c:pt idx="19">
                  <c:v>1</c:v>
                </c:pt>
                <c:pt idx="20">
                  <c:v>0.6</c:v>
                </c:pt>
                <c:pt idx="21">
                  <c:v>0.8</c:v>
                </c:pt>
                <c:pt idx="22">
                  <c:v>0.6</c:v>
                </c:pt>
                <c:pt idx="23">
                  <c:v>0</c:v>
                </c:pt>
                <c:pt idx="24">
                  <c:v>0</c:v>
                </c:pt>
                <c:pt idx="25">
                  <c:v>0</c:v>
                </c:pt>
                <c:pt idx="26">
                  <c:v>0</c:v>
                </c:pt>
                <c:pt idx="27">
                  <c:v>17.600000000000001</c:v>
                </c:pt>
                <c:pt idx="28">
                  <c:v>0</c:v>
                </c:pt>
                <c:pt idx="29">
                  <c:v>0</c:v>
                </c:pt>
                <c:pt idx="30">
                  <c:v>0</c:v>
                </c:pt>
                <c:pt idx="31">
                  <c:v>2.6</c:v>
                </c:pt>
                <c:pt idx="32">
                  <c:v>2.6</c:v>
                </c:pt>
                <c:pt idx="33">
                  <c:v>0</c:v>
                </c:pt>
                <c:pt idx="34">
                  <c:v>0</c:v>
                </c:pt>
                <c:pt idx="35">
                  <c:v>0</c:v>
                </c:pt>
                <c:pt idx="36">
                  <c:v>0</c:v>
                </c:pt>
                <c:pt idx="37">
                  <c:v>0</c:v>
                </c:pt>
                <c:pt idx="38">
                  <c:v>0</c:v>
                </c:pt>
                <c:pt idx="39">
                  <c:v>0</c:v>
                </c:pt>
                <c:pt idx="40">
                  <c:v>12.2</c:v>
                </c:pt>
                <c:pt idx="41">
                  <c:v>13.4</c:v>
                </c:pt>
                <c:pt idx="42">
                  <c:v>46.6</c:v>
                </c:pt>
                <c:pt idx="43">
                  <c:v>16.8</c:v>
                </c:pt>
                <c:pt idx="44">
                  <c:v>15.6</c:v>
                </c:pt>
                <c:pt idx="45">
                  <c:v>3</c:v>
                </c:pt>
                <c:pt idx="46">
                  <c:v>11.6</c:v>
                </c:pt>
                <c:pt idx="47">
                  <c:v>19</c:v>
                </c:pt>
                <c:pt idx="48">
                  <c:v>9.1999999999999993</c:v>
                </c:pt>
                <c:pt idx="49">
                  <c:v>12.6</c:v>
                </c:pt>
                <c:pt idx="50">
                  <c:v>21.8</c:v>
                </c:pt>
                <c:pt idx="51">
                  <c:v>2.4</c:v>
                </c:pt>
                <c:pt idx="52">
                  <c:v>0.8</c:v>
                </c:pt>
                <c:pt idx="53">
                  <c:v>4.8</c:v>
                </c:pt>
                <c:pt idx="54">
                  <c:v>14.6</c:v>
                </c:pt>
                <c:pt idx="55">
                  <c:v>6.8</c:v>
                </c:pt>
                <c:pt idx="56">
                  <c:v>0</c:v>
                </c:pt>
                <c:pt idx="57">
                  <c:v>0.8</c:v>
                </c:pt>
                <c:pt idx="58">
                  <c:v>0</c:v>
                </c:pt>
                <c:pt idx="59">
                  <c:v>0.4</c:v>
                </c:pt>
                <c:pt idx="60">
                  <c:v>2</c:v>
                </c:pt>
                <c:pt idx="61">
                  <c:v>19</c:v>
                </c:pt>
                <c:pt idx="62">
                  <c:v>1</c:v>
                </c:pt>
                <c:pt idx="63">
                  <c:v>2.4</c:v>
                </c:pt>
                <c:pt idx="64">
                  <c:v>23.8</c:v>
                </c:pt>
                <c:pt idx="65">
                  <c:v>8.6</c:v>
                </c:pt>
                <c:pt idx="66">
                  <c:v>34</c:v>
                </c:pt>
                <c:pt idx="67">
                  <c:v>52.4</c:v>
                </c:pt>
                <c:pt idx="68">
                  <c:v>10.6</c:v>
                </c:pt>
                <c:pt idx="69">
                  <c:v>2.4</c:v>
                </c:pt>
                <c:pt idx="70">
                  <c:v>0</c:v>
                </c:pt>
                <c:pt idx="71">
                  <c:v>2.8</c:v>
                </c:pt>
                <c:pt idx="72">
                  <c:v>20.2</c:v>
                </c:pt>
                <c:pt idx="73">
                  <c:v>13.8</c:v>
                </c:pt>
                <c:pt idx="74">
                  <c:v>22.8</c:v>
                </c:pt>
                <c:pt idx="75">
                  <c:v>5.4</c:v>
                </c:pt>
                <c:pt idx="76">
                  <c:v>0.4</c:v>
                </c:pt>
                <c:pt idx="77">
                  <c:v>31</c:v>
                </c:pt>
                <c:pt idx="78">
                  <c:v>1.6</c:v>
                </c:pt>
                <c:pt idx="79">
                  <c:v>1.6</c:v>
                </c:pt>
                <c:pt idx="80">
                  <c:v>7.6</c:v>
                </c:pt>
                <c:pt idx="81">
                  <c:v>2.6</c:v>
                </c:pt>
                <c:pt idx="82">
                  <c:v>0</c:v>
                </c:pt>
                <c:pt idx="83">
                  <c:v>4</c:v>
                </c:pt>
                <c:pt idx="84">
                  <c:v>31</c:v>
                </c:pt>
                <c:pt idx="85">
                  <c:v>0.2</c:v>
                </c:pt>
                <c:pt idx="86">
                  <c:v>4.4000000000000004</c:v>
                </c:pt>
                <c:pt idx="87">
                  <c:v>23.6</c:v>
                </c:pt>
                <c:pt idx="88">
                  <c:v>41.6</c:v>
                </c:pt>
                <c:pt idx="89">
                  <c:v>3</c:v>
                </c:pt>
                <c:pt idx="90">
                  <c:v>0</c:v>
                </c:pt>
                <c:pt idx="91">
                  <c:v>0</c:v>
                </c:pt>
                <c:pt idx="92">
                  <c:v>5.6</c:v>
                </c:pt>
                <c:pt idx="93">
                  <c:v>20.399999999999999</c:v>
                </c:pt>
                <c:pt idx="94">
                  <c:v>2.6</c:v>
                </c:pt>
                <c:pt idx="95">
                  <c:v>15.9</c:v>
                </c:pt>
                <c:pt idx="96">
                  <c:v>9.4</c:v>
                </c:pt>
                <c:pt idx="97">
                  <c:v>13.6</c:v>
                </c:pt>
                <c:pt idx="98">
                  <c:v>5.6</c:v>
                </c:pt>
                <c:pt idx="99">
                  <c:v>0</c:v>
                </c:pt>
                <c:pt idx="100">
                  <c:v>16.600000000000001</c:v>
                </c:pt>
                <c:pt idx="101">
                  <c:v>0</c:v>
                </c:pt>
                <c:pt idx="102">
                  <c:v>0</c:v>
                </c:pt>
                <c:pt idx="103">
                  <c:v>0</c:v>
                </c:pt>
                <c:pt idx="104">
                  <c:v>14.8</c:v>
                </c:pt>
                <c:pt idx="105">
                  <c:v>20.8</c:v>
                </c:pt>
                <c:pt idx="106">
                  <c:v>37.4</c:v>
                </c:pt>
                <c:pt idx="107">
                  <c:v>9.8000000000000007</c:v>
                </c:pt>
                <c:pt idx="108">
                  <c:v>1.9</c:v>
                </c:pt>
                <c:pt idx="109">
                  <c:v>21</c:v>
                </c:pt>
                <c:pt idx="110">
                  <c:v>30</c:v>
                </c:pt>
                <c:pt idx="111">
                  <c:v>0</c:v>
                </c:pt>
                <c:pt idx="112">
                  <c:v>4.4000000000000004</c:v>
                </c:pt>
                <c:pt idx="113">
                  <c:v>12.8</c:v>
                </c:pt>
                <c:pt idx="114">
                  <c:v>26</c:v>
                </c:pt>
                <c:pt idx="115">
                  <c:v>1.8</c:v>
                </c:pt>
                <c:pt idx="116">
                  <c:v>35</c:v>
                </c:pt>
                <c:pt idx="117">
                  <c:v>7.2</c:v>
                </c:pt>
                <c:pt idx="118">
                  <c:v>0.8</c:v>
                </c:pt>
                <c:pt idx="119">
                  <c:v>0.1</c:v>
                </c:pt>
                <c:pt idx="120">
                  <c:v>0</c:v>
                </c:pt>
                <c:pt idx="121">
                  <c:v>0</c:v>
                </c:pt>
                <c:pt idx="122">
                  <c:v>2</c:v>
                </c:pt>
                <c:pt idx="123">
                  <c:v>4.5999999999999996</c:v>
                </c:pt>
                <c:pt idx="124">
                  <c:v>3.8</c:v>
                </c:pt>
                <c:pt idx="125">
                  <c:v>0</c:v>
                </c:pt>
                <c:pt idx="126">
                  <c:v>0</c:v>
                </c:pt>
                <c:pt idx="127">
                  <c:v>0</c:v>
                </c:pt>
                <c:pt idx="128">
                  <c:v>0</c:v>
                </c:pt>
                <c:pt idx="129">
                  <c:v>0</c:v>
                </c:pt>
                <c:pt idx="130">
                  <c:v>0.2</c:v>
                </c:pt>
                <c:pt idx="131">
                  <c:v>0</c:v>
                </c:pt>
                <c:pt idx="132">
                  <c:v>0.2</c:v>
                </c:pt>
                <c:pt idx="133">
                  <c:v>0</c:v>
                </c:pt>
                <c:pt idx="134">
                  <c:v>0</c:v>
                </c:pt>
                <c:pt idx="135">
                  <c:v>0</c:v>
                </c:pt>
                <c:pt idx="136">
                  <c:v>2.8</c:v>
                </c:pt>
                <c:pt idx="137">
                  <c:v>0</c:v>
                </c:pt>
                <c:pt idx="138">
                  <c:v>0</c:v>
                </c:pt>
                <c:pt idx="139">
                  <c:v>0</c:v>
                </c:pt>
                <c:pt idx="140">
                  <c:v>0</c:v>
                </c:pt>
                <c:pt idx="141">
                  <c:v>8.1999999999999993</c:v>
                </c:pt>
                <c:pt idx="142">
                  <c:v>29.6</c:v>
                </c:pt>
                <c:pt idx="143">
                  <c:v>0.8</c:v>
                </c:pt>
                <c:pt idx="144">
                  <c:v>5.2</c:v>
                </c:pt>
                <c:pt idx="145">
                  <c:v>23.4</c:v>
                </c:pt>
                <c:pt idx="146">
                  <c:v>0</c:v>
                </c:pt>
                <c:pt idx="147">
                  <c:v>4.4000000000000004</c:v>
                </c:pt>
                <c:pt idx="148">
                  <c:v>0</c:v>
                </c:pt>
                <c:pt idx="149">
                  <c:v>0</c:v>
                </c:pt>
                <c:pt idx="150">
                  <c:v>0</c:v>
                </c:pt>
                <c:pt idx="151">
                  <c:v>0</c:v>
                </c:pt>
                <c:pt idx="152">
                  <c:v>0</c:v>
                </c:pt>
                <c:pt idx="153">
                  <c:v>0</c:v>
                </c:pt>
                <c:pt idx="154">
                  <c:v>0</c:v>
                </c:pt>
                <c:pt idx="155">
                  <c:v>0</c:v>
                </c:pt>
                <c:pt idx="156">
                  <c:v>0</c:v>
                </c:pt>
                <c:pt idx="157">
                  <c:v>0</c:v>
                </c:pt>
                <c:pt idx="158">
                  <c:v>0</c:v>
                </c:pt>
                <c:pt idx="159">
                  <c:v>0.2</c:v>
                </c:pt>
                <c:pt idx="160">
                  <c:v>0</c:v>
                </c:pt>
                <c:pt idx="161">
                  <c:v>0</c:v>
                </c:pt>
                <c:pt idx="162">
                  <c:v>0</c:v>
                </c:pt>
                <c:pt idx="163">
                  <c:v>0</c:v>
                </c:pt>
                <c:pt idx="164">
                  <c:v>0</c:v>
                </c:pt>
                <c:pt idx="165">
                  <c:v>3.6</c:v>
                </c:pt>
                <c:pt idx="166">
                  <c:v>0</c:v>
                </c:pt>
                <c:pt idx="167">
                  <c:v>0</c:v>
                </c:pt>
                <c:pt idx="168">
                  <c:v>0</c:v>
                </c:pt>
                <c:pt idx="169">
                  <c:v>1.6</c:v>
                </c:pt>
                <c:pt idx="170">
                  <c:v>20.8</c:v>
                </c:pt>
                <c:pt idx="171">
                  <c:v>3.2</c:v>
                </c:pt>
                <c:pt idx="172">
                  <c:v>1.2</c:v>
                </c:pt>
                <c:pt idx="173">
                  <c:v>0</c:v>
                </c:pt>
                <c:pt idx="174">
                  <c:v>15.4</c:v>
                </c:pt>
                <c:pt idx="175">
                  <c:v>1.2</c:v>
                </c:pt>
                <c:pt idx="176">
                  <c:v>0</c:v>
                </c:pt>
                <c:pt idx="177">
                  <c:v>5.8</c:v>
                </c:pt>
                <c:pt idx="178">
                  <c:v>20.399999999999999</c:v>
                </c:pt>
                <c:pt idx="179">
                  <c:v>20.399999999999999</c:v>
                </c:pt>
                <c:pt idx="180">
                  <c:v>0.6</c:v>
                </c:pt>
                <c:pt idx="181">
                  <c:v>0</c:v>
                </c:pt>
                <c:pt idx="182">
                  <c:v>0</c:v>
                </c:pt>
                <c:pt idx="183">
                  <c:v>1.8</c:v>
                </c:pt>
                <c:pt idx="184">
                  <c:v>6.2</c:v>
                </c:pt>
                <c:pt idx="185">
                  <c:v>9.4</c:v>
                </c:pt>
                <c:pt idx="186">
                  <c:v>26.6</c:v>
                </c:pt>
                <c:pt idx="187">
                  <c:v>13.6</c:v>
                </c:pt>
                <c:pt idx="188">
                  <c:v>0</c:v>
                </c:pt>
                <c:pt idx="189">
                  <c:v>0</c:v>
                </c:pt>
                <c:pt idx="190">
                  <c:v>0</c:v>
                </c:pt>
                <c:pt idx="191">
                  <c:v>0</c:v>
                </c:pt>
                <c:pt idx="192">
                  <c:v>0</c:v>
                </c:pt>
                <c:pt idx="193">
                  <c:v>0</c:v>
                </c:pt>
                <c:pt idx="194">
                  <c:v>0</c:v>
                </c:pt>
                <c:pt idx="195">
                  <c:v>0</c:v>
                </c:pt>
                <c:pt idx="196">
                  <c:v>0</c:v>
                </c:pt>
                <c:pt idx="197">
                  <c:v>0</c:v>
                </c:pt>
                <c:pt idx="198">
                  <c:v>0</c:v>
                </c:pt>
                <c:pt idx="199">
                  <c:v>37</c:v>
                </c:pt>
                <c:pt idx="200">
                  <c:v>1.8</c:v>
                </c:pt>
                <c:pt idx="201">
                  <c:v>0</c:v>
                </c:pt>
                <c:pt idx="202">
                  <c:v>0</c:v>
                </c:pt>
                <c:pt idx="203">
                  <c:v>8</c:v>
                </c:pt>
                <c:pt idx="204">
                  <c:v>18.2</c:v>
                </c:pt>
                <c:pt idx="205">
                  <c:v>0.6</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0.4</c:v>
                </c:pt>
                <c:pt idx="241">
                  <c:v>7.8</c:v>
                </c:pt>
                <c:pt idx="242">
                  <c:v>3.6</c:v>
                </c:pt>
                <c:pt idx="243">
                  <c:v>10.6</c:v>
                </c:pt>
                <c:pt idx="244">
                  <c:v>3.2</c:v>
                </c:pt>
                <c:pt idx="245">
                  <c:v>6.2</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26.4</c:v>
                </c:pt>
                <c:pt idx="262">
                  <c:v>0.4</c:v>
                </c:pt>
                <c:pt idx="263">
                  <c:v>0</c:v>
                </c:pt>
                <c:pt idx="264">
                  <c:v>2</c:v>
                </c:pt>
                <c:pt idx="265">
                  <c:v>12.4</c:v>
                </c:pt>
                <c:pt idx="266">
                  <c:v>29.4</c:v>
                </c:pt>
                <c:pt idx="267">
                  <c:v>1.6</c:v>
                </c:pt>
                <c:pt idx="268">
                  <c:v>0.6</c:v>
                </c:pt>
                <c:pt idx="269">
                  <c:v>8.1999999999999993</c:v>
                </c:pt>
                <c:pt idx="270">
                  <c:v>0</c:v>
                </c:pt>
                <c:pt idx="271">
                  <c:v>12.4</c:v>
                </c:pt>
                <c:pt idx="272">
                  <c:v>5.6</c:v>
                </c:pt>
                <c:pt idx="273">
                  <c:v>0</c:v>
                </c:pt>
                <c:pt idx="274">
                  <c:v>0</c:v>
                </c:pt>
                <c:pt idx="275">
                  <c:v>0</c:v>
                </c:pt>
                <c:pt idx="276">
                  <c:v>57.8</c:v>
                </c:pt>
                <c:pt idx="277">
                  <c:v>6</c:v>
                </c:pt>
                <c:pt idx="278">
                  <c:v>9.1999999999999993</c:v>
                </c:pt>
                <c:pt idx="279">
                  <c:v>0.4</c:v>
                </c:pt>
                <c:pt idx="280">
                  <c:v>0</c:v>
                </c:pt>
                <c:pt idx="281">
                  <c:v>1.4</c:v>
                </c:pt>
                <c:pt idx="282">
                  <c:v>1.8</c:v>
                </c:pt>
                <c:pt idx="283">
                  <c:v>17.8</c:v>
                </c:pt>
                <c:pt idx="284">
                  <c:v>15.4</c:v>
                </c:pt>
                <c:pt idx="285">
                  <c:v>33</c:v>
                </c:pt>
                <c:pt idx="286">
                  <c:v>31.4</c:v>
                </c:pt>
                <c:pt idx="287">
                  <c:v>28.4</c:v>
                </c:pt>
                <c:pt idx="288">
                  <c:v>6.4</c:v>
                </c:pt>
                <c:pt idx="289">
                  <c:v>17.2</c:v>
                </c:pt>
                <c:pt idx="290">
                  <c:v>27</c:v>
                </c:pt>
                <c:pt idx="291">
                  <c:v>16.8</c:v>
                </c:pt>
                <c:pt idx="292">
                  <c:v>46.2</c:v>
                </c:pt>
                <c:pt idx="293">
                  <c:v>10.8</c:v>
                </c:pt>
                <c:pt idx="294">
                  <c:v>40.200000000000003</c:v>
                </c:pt>
                <c:pt idx="295">
                  <c:v>21.4</c:v>
                </c:pt>
                <c:pt idx="296">
                  <c:v>9.4</c:v>
                </c:pt>
                <c:pt idx="297">
                  <c:v>1.6</c:v>
                </c:pt>
                <c:pt idx="298">
                  <c:v>21.8</c:v>
                </c:pt>
                <c:pt idx="299">
                  <c:v>2.4</c:v>
                </c:pt>
                <c:pt idx="300">
                  <c:v>33.6</c:v>
                </c:pt>
                <c:pt idx="301">
                  <c:v>24.4</c:v>
                </c:pt>
                <c:pt idx="302">
                  <c:v>7</c:v>
                </c:pt>
                <c:pt idx="303">
                  <c:v>9</c:v>
                </c:pt>
                <c:pt idx="304">
                  <c:v>15</c:v>
                </c:pt>
                <c:pt idx="305">
                  <c:v>6.4</c:v>
                </c:pt>
                <c:pt idx="306">
                  <c:v>37.6</c:v>
                </c:pt>
                <c:pt idx="307">
                  <c:v>35.200000000000003</c:v>
                </c:pt>
                <c:pt idx="308">
                  <c:v>9</c:v>
                </c:pt>
                <c:pt idx="309">
                  <c:v>4.4000000000000004</c:v>
                </c:pt>
                <c:pt idx="310">
                  <c:v>20.2</c:v>
                </c:pt>
                <c:pt idx="311">
                  <c:v>1.4</c:v>
                </c:pt>
                <c:pt idx="312">
                  <c:v>34</c:v>
                </c:pt>
                <c:pt idx="313">
                  <c:v>0</c:v>
                </c:pt>
                <c:pt idx="314">
                  <c:v>0</c:v>
                </c:pt>
                <c:pt idx="315">
                  <c:v>0</c:v>
                </c:pt>
                <c:pt idx="316">
                  <c:v>0</c:v>
                </c:pt>
                <c:pt idx="317">
                  <c:v>0</c:v>
                </c:pt>
                <c:pt idx="318">
                  <c:v>0</c:v>
                </c:pt>
                <c:pt idx="319">
                  <c:v>0</c:v>
                </c:pt>
                <c:pt idx="320">
                  <c:v>0</c:v>
                </c:pt>
                <c:pt idx="321">
                  <c:v>0</c:v>
                </c:pt>
                <c:pt idx="322">
                  <c:v>0</c:v>
                </c:pt>
                <c:pt idx="323">
                  <c:v>3.4</c:v>
                </c:pt>
                <c:pt idx="324">
                  <c:v>29.4</c:v>
                </c:pt>
                <c:pt idx="325">
                  <c:v>32.799999999999997</c:v>
                </c:pt>
                <c:pt idx="326">
                  <c:v>25.6</c:v>
                </c:pt>
                <c:pt idx="327">
                  <c:v>15.2</c:v>
                </c:pt>
                <c:pt idx="328">
                  <c:v>60.6</c:v>
                </c:pt>
                <c:pt idx="329">
                  <c:v>15</c:v>
                </c:pt>
                <c:pt idx="330">
                  <c:v>43</c:v>
                </c:pt>
                <c:pt idx="331">
                  <c:v>15</c:v>
                </c:pt>
                <c:pt idx="332">
                  <c:v>0</c:v>
                </c:pt>
                <c:pt idx="333">
                  <c:v>0</c:v>
                </c:pt>
                <c:pt idx="334">
                  <c:v>0</c:v>
                </c:pt>
                <c:pt idx="335">
                  <c:v>0</c:v>
                </c:pt>
                <c:pt idx="336">
                  <c:v>0</c:v>
                </c:pt>
                <c:pt idx="337">
                  <c:v>0</c:v>
                </c:pt>
                <c:pt idx="338">
                  <c:v>1.2</c:v>
                </c:pt>
                <c:pt idx="339">
                  <c:v>45.4</c:v>
                </c:pt>
                <c:pt idx="340">
                  <c:v>0.8</c:v>
                </c:pt>
                <c:pt idx="341">
                  <c:v>15.2</c:v>
                </c:pt>
                <c:pt idx="342">
                  <c:v>48.6</c:v>
                </c:pt>
                <c:pt idx="343">
                  <c:v>34.200000000000003</c:v>
                </c:pt>
                <c:pt idx="344">
                  <c:v>4.4000000000000004</c:v>
                </c:pt>
                <c:pt idx="345">
                  <c:v>17.8</c:v>
                </c:pt>
                <c:pt idx="346">
                  <c:v>1.4</c:v>
                </c:pt>
                <c:pt idx="347">
                  <c:v>1</c:v>
                </c:pt>
                <c:pt idx="348">
                  <c:v>0</c:v>
                </c:pt>
                <c:pt idx="349">
                  <c:v>9</c:v>
                </c:pt>
                <c:pt idx="350">
                  <c:v>20.2</c:v>
                </c:pt>
                <c:pt idx="351">
                  <c:v>0.8</c:v>
                </c:pt>
                <c:pt idx="352">
                  <c:v>24.6</c:v>
                </c:pt>
                <c:pt idx="353">
                  <c:v>0</c:v>
                </c:pt>
                <c:pt idx="354">
                  <c:v>0</c:v>
                </c:pt>
                <c:pt idx="355">
                  <c:v>8.8000000000000007</c:v>
                </c:pt>
                <c:pt idx="356">
                  <c:v>11.6</c:v>
                </c:pt>
                <c:pt idx="357">
                  <c:v>10</c:v>
                </c:pt>
                <c:pt idx="358">
                  <c:v>2.2000000000000002</c:v>
                </c:pt>
                <c:pt idx="359">
                  <c:v>0.6</c:v>
                </c:pt>
                <c:pt idx="360">
                  <c:v>10.199999999999999</c:v>
                </c:pt>
                <c:pt idx="361">
                  <c:v>5.4</c:v>
                </c:pt>
                <c:pt idx="362">
                  <c:v>0</c:v>
                </c:pt>
                <c:pt idx="363">
                  <c:v>0</c:v>
                </c:pt>
                <c:pt idx="364">
                  <c:v>0</c:v>
                </c:pt>
                <c:pt idx="365">
                  <c:v>0</c:v>
                </c:pt>
              </c:numCache>
            </c:numRef>
          </c:val>
          <c:extLst>
            <c:ext xmlns:c16="http://schemas.microsoft.com/office/drawing/2014/chart" uri="{C3380CC4-5D6E-409C-BE32-E72D297353CC}">
              <c16:uniqueId val="{00000000-2203-4CA1-867F-336457380913}"/>
            </c:ext>
          </c:extLst>
        </c:ser>
        <c:dLbls>
          <c:showLegendKey val="0"/>
          <c:showVal val="0"/>
          <c:showCatName val="0"/>
          <c:showSerName val="0"/>
          <c:showPercent val="0"/>
          <c:showBubbleSize val="0"/>
        </c:dLbls>
        <c:gapWidth val="219"/>
        <c:overlap val="-27"/>
        <c:axId val="1320110207"/>
        <c:axId val="1320107807"/>
      </c:barChart>
      <c:lineChart>
        <c:grouping val="standard"/>
        <c:varyColors val="0"/>
        <c:ser>
          <c:idx val="1"/>
          <c:order val="1"/>
          <c:tx>
            <c:strRef>
              <c:f>'Studio Rain System'!$AW$21</c:f>
              <c:strCache>
                <c:ptCount val="1"/>
                <c:pt idx="0">
                  <c:v>V_water [m^3]</c:v>
                </c:pt>
              </c:strCache>
            </c:strRef>
          </c:tx>
          <c:spPr>
            <a:ln w="28575" cap="rnd">
              <a:solidFill>
                <a:schemeClr val="accent2"/>
              </a:solidFill>
              <a:round/>
            </a:ln>
            <a:effectLst/>
          </c:spPr>
          <c:marker>
            <c:symbol val="none"/>
          </c:marker>
          <c:val>
            <c:numRef>
              <c:f>'Studio Rain System'!$AW$22:$AW$387</c:f>
              <c:numCache>
                <c:formatCode>General</c:formatCode>
                <c:ptCount val="366"/>
                <c:pt idx="1">
                  <c:v>19.934999999999999</c:v>
                </c:pt>
                <c:pt idx="2">
                  <c:v>20</c:v>
                </c:pt>
                <c:pt idx="3">
                  <c:v>19.254999999999999</c:v>
                </c:pt>
                <c:pt idx="4">
                  <c:v>18.509999999999998</c:v>
                </c:pt>
                <c:pt idx="5">
                  <c:v>17.764999999999997</c:v>
                </c:pt>
                <c:pt idx="6">
                  <c:v>20</c:v>
                </c:pt>
                <c:pt idx="7">
                  <c:v>20</c:v>
                </c:pt>
                <c:pt idx="8">
                  <c:v>20</c:v>
                </c:pt>
                <c:pt idx="9">
                  <c:v>20</c:v>
                </c:pt>
                <c:pt idx="10">
                  <c:v>20</c:v>
                </c:pt>
                <c:pt idx="11">
                  <c:v>20</c:v>
                </c:pt>
                <c:pt idx="12">
                  <c:v>20</c:v>
                </c:pt>
                <c:pt idx="13">
                  <c:v>20</c:v>
                </c:pt>
                <c:pt idx="14">
                  <c:v>20</c:v>
                </c:pt>
                <c:pt idx="15">
                  <c:v>20</c:v>
                </c:pt>
                <c:pt idx="16">
                  <c:v>20</c:v>
                </c:pt>
                <c:pt idx="17">
                  <c:v>19.254999999999999</c:v>
                </c:pt>
                <c:pt idx="18">
                  <c:v>20</c:v>
                </c:pt>
                <c:pt idx="19">
                  <c:v>20</c:v>
                </c:pt>
                <c:pt idx="20">
                  <c:v>19.914999999999999</c:v>
                </c:pt>
                <c:pt idx="21">
                  <c:v>20</c:v>
                </c:pt>
                <c:pt idx="22">
                  <c:v>19.914999999999999</c:v>
                </c:pt>
                <c:pt idx="23">
                  <c:v>19.169999999999998</c:v>
                </c:pt>
                <c:pt idx="24">
                  <c:v>18.424999999999997</c:v>
                </c:pt>
                <c:pt idx="25">
                  <c:v>17.679999999999996</c:v>
                </c:pt>
                <c:pt idx="26">
                  <c:v>16.934999999999995</c:v>
                </c:pt>
                <c:pt idx="27">
                  <c:v>20</c:v>
                </c:pt>
                <c:pt idx="28">
                  <c:v>19.254999999999999</c:v>
                </c:pt>
                <c:pt idx="29">
                  <c:v>18.509999999999998</c:v>
                </c:pt>
                <c:pt idx="30">
                  <c:v>17.764999999999997</c:v>
                </c:pt>
                <c:pt idx="31">
                  <c:v>19.879999999999995</c:v>
                </c:pt>
                <c:pt idx="32">
                  <c:v>20</c:v>
                </c:pt>
                <c:pt idx="33">
                  <c:v>19.254999999999999</c:v>
                </c:pt>
                <c:pt idx="34">
                  <c:v>18.509999999999998</c:v>
                </c:pt>
                <c:pt idx="35">
                  <c:v>17.764999999999997</c:v>
                </c:pt>
                <c:pt idx="36">
                  <c:v>17.019999999999996</c:v>
                </c:pt>
                <c:pt idx="37">
                  <c:v>16.274999999999995</c:v>
                </c:pt>
                <c:pt idx="38">
                  <c:v>15.529999999999996</c:v>
                </c:pt>
                <c:pt idx="39">
                  <c:v>14.784999999999997</c:v>
                </c:pt>
                <c:pt idx="40">
                  <c:v>20</c:v>
                </c:pt>
                <c:pt idx="41">
                  <c:v>20</c:v>
                </c:pt>
                <c:pt idx="42">
                  <c:v>20</c:v>
                </c:pt>
                <c:pt idx="43">
                  <c:v>20</c:v>
                </c:pt>
                <c:pt idx="44">
                  <c:v>20</c:v>
                </c:pt>
                <c:pt idx="45">
                  <c:v>20</c:v>
                </c:pt>
                <c:pt idx="46">
                  <c:v>20</c:v>
                </c:pt>
                <c:pt idx="47">
                  <c:v>20</c:v>
                </c:pt>
                <c:pt idx="48">
                  <c:v>20</c:v>
                </c:pt>
                <c:pt idx="49">
                  <c:v>20</c:v>
                </c:pt>
                <c:pt idx="50">
                  <c:v>20</c:v>
                </c:pt>
                <c:pt idx="51">
                  <c:v>20</c:v>
                </c:pt>
                <c:pt idx="52">
                  <c:v>20</c:v>
                </c:pt>
                <c:pt idx="53">
                  <c:v>20</c:v>
                </c:pt>
                <c:pt idx="54">
                  <c:v>20</c:v>
                </c:pt>
                <c:pt idx="55">
                  <c:v>20</c:v>
                </c:pt>
                <c:pt idx="56">
                  <c:v>19.254999999999999</c:v>
                </c:pt>
                <c:pt idx="57">
                  <c:v>19.389999999999997</c:v>
                </c:pt>
                <c:pt idx="58">
                  <c:v>18.644999999999996</c:v>
                </c:pt>
                <c:pt idx="59">
                  <c:v>18.339999999999996</c:v>
                </c:pt>
                <c:pt idx="60">
                  <c:v>19.794999999999995</c:v>
                </c:pt>
                <c:pt idx="61">
                  <c:v>20</c:v>
                </c:pt>
                <c:pt idx="62">
                  <c:v>20</c:v>
                </c:pt>
                <c:pt idx="63">
                  <c:v>20</c:v>
                </c:pt>
                <c:pt idx="64">
                  <c:v>20</c:v>
                </c:pt>
                <c:pt idx="65">
                  <c:v>20</c:v>
                </c:pt>
                <c:pt idx="66">
                  <c:v>20</c:v>
                </c:pt>
                <c:pt idx="67">
                  <c:v>20</c:v>
                </c:pt>
                <c:pt idx="68">
                  <c:v>20</c:v>
                </c:pt>
                <c:pt idx="69">
                  <c:v>20</c:v>
                </c:pt>
                <c:pt idx="70">
                  <c:v>19.254999999999999</c:v>
                </c:pt>
                <c:pt idx="71">
                  <c:v>20</c:v>
                </c:pt>
                <c:pt idx="72">
                  <c:v>20</c:v>
                </c:pt>
                <c:pt idx="73">
                  <c:v>20</c:v>
                </c:pt>
                <c:pt idx="74">
                  <c:v>20</c:v>
                </c:pt>
                <c:pt idx="75">
                  <c:v>20</c:v>
                </c:pt>
                <c:pt idx="76">
                  <c:v>19.695</c:v>
                </c:pt>
                <c:pt idx="77">
                  <c:v>20</c:v>
                </c:pt>
                <c:pt idx="78">
                  <c:v>20</c:v>
                </c:pt>
                <c:pt idx="79">
                  <c:v>20</c:v>
                </c:pt>
                <c:pt idx="80">
                  <c:v>20</c:v>
                </c:pt>
                <c:pt idx="81">
                  <c:v>20</c:v>
                </c:pt>
                <c:pt idx="82">
                  <c:v>19.254999999999999</c:v>
                </c:pt>
                <c:pt idx="83">
                  <c:v>20</c:v>
                </c:pt>
                <c:pt idx="84">
                  <c:v>20</c:v>
                </c:pt>
                <c:pt idx="85">
                  <c:v>19.474999999999998</c:v>
                </c:pt>
                <c:pt idx="86">
                  <c:v>20</c:v>
                </c:pt>
                <c:pt idx="87">
                  <c:v>20</c:v>
                </c:pt>
                <c:pt idx="88">
                  <c:v>20</c:v>
                </c:pt>
                <c:pt idx="89">
                  <c:v>20</c:v>
                </c:pt>
                <c:pt idx="90">
                  <c:v>19.254999999999999</c:v>
                </c:pt>
                <c:pt idx="91">
                  <c:v>18.509999999999998</c:v>
                </c:pt>
                <c:pt idx="92">
                  <c:v>20</c:v>
                </c:pt>
                <c:pt idx="93">
                  <c:v>20</c:v>
                </c:pt>
                <c:pt idx="94">
                  <c:v>20</c:v>
                </c:pt>
                <c:pt idx="95">
                  <c:v>20</c:v>
                </c:pt>
                <c:pt idx="96">
                  <c:v>20</c:v>
                </c:pt>
                <c:pt idx="97">
                  <c:v>20</c:v>
                </c:pt>
                <c:pt idx="98">
                  <c:v>20</c:v>
                </c:pt>
                <c:pt idx="99">
                  <c:v>19.254999999999999</c:v>
                </c:pt>
                <c:pt idx="100">
                  <c:v>20</c:v>
                </c:pt>
                <c:pt idx="101">
                  <c:v>19.254999999999999</c:v>
                </c:pt>
                <c:pt idx="102">
                  <c:v>18.509999999999998</c:v>
                </c:pt>
                <c:pt idx="103">
                  <c:v>17.764999999999997</c:v>
                </c:pt>
                <c:pt idx="104">
                  <c:v>20</c:v>
                </c:pt>
                <c:pt idx="105">
                  <c:v>20</c:v>
                </c:pt>
                <c:pt idx="106">
                  <c:v>20</c:v>
                </c:pt>
                <c:pt idx="107">
                  <c:v>20</c:v>
                </c:pt>
                <c:pt idx="108">
                  <c:v>20</c:v>
                </c:pt>
                <c:pt idx="109">
                  <c:v>20</c:v>
                </c:pt>
                <c:pt idx="110">
                  <c:v>20</c:v>
                </c:pt>
                <c:pt idx="111">
                  <c:v>19.254999999999999</c:v>
                </c:pt>
                <c:pt idx="112">
                  <c:v>20</c:v>
                </c:pt>
                <c:pt idx="113">
                  <c:v>20</c:v>
                </c:pt>
                <c:pt idx="114">
                  <c:v>20</c:v>
                </c:pt>
                <c:pt idx="115">
                  <c:v>20</c:v>
                </c:pt>
                <c:pt idx="116">
                  <c:v>20</c:v>
                </c:pt>
                <c:pt idx="117">
                  <c:v>20</c:v>
                </c:pt>
                <c:pt idx="118">
                  <c:v>20</c:v>
                </c:pt>
                <c:pt idx="119">
                  <c:v>19.364999999999998</c:v>
                </c:pt>
                <c:pt idx="120">
                  <c:v>18.619999999999997</c:v>
                </c:pt>
                <c:pt idx="121">
                  <c:v>17.874999999999996</c:v>
                </c:pt>
                <c:pt idx="122">
                  <c:v>19.329999999999995</c:v>
                </c:pt>
                <c:pt idx="123">
                  <c:v>20</c:v>
                </c:pt>
                <c:pt idx="124">
                  <c:v>20</c:v>
                </c:pt>
                <c:pt idx="125">
                  <c:v>19.254999999999999</c:v>
                </c:pt>
                <c:pt idx="126">
                  <c:v>18.509999999999998</c:v>
                </c:pt>
                <c:pt idx="127">
                  <c:v>17.764999999999997</c:v>
                </c:pt>
                <c:pt idx="128">
                  <c:v>17.019999999999996</c:v>
                </c:pt>
                <c:pt idx="129">
                  <c:v>16.274999999999995</c:v>
                </c:pt>
                <c:pt idx="130">
                  <c:v>15.749999999999995</c:v>
                </c:pt>
                <c:pt idx="131">
                  <c:v>15.004999999999995</c:v>
                </c:pt>
                <c:pt idx="132">
                  <c:v>14.479999999999997</c:v>
                </c:pt>
                <c:pt idx="133">
                  <c:v>13.734999999999998</c:v>
                </c:pt>
                <c:pt idx="134">
                  <c:v>12.989999999999998</c:v>
                </c:pt>
                <c:pt idx="135">
                  <c:v>12.244999999999999</c:v>
                </c:pt>
                <c:pt idx="136">
                  <c:v>14.58</c:v>
                </c:pt>
                <c:pt idx="137">
                  <c:v>13.835000000000001</c:v>
                </c:pt>
                <c:pt idx="138">
                  <c:v>13.090000000000002</c:v>
                </c:pt>
                <c:pt idx="139">
                  <c:v>12.345000000000002</c:v>
                </c:pt>
                <c:pt idx="140">
                  <c:v>11.600000000000003</c:v>
                </c:pt>
                <c:pt idx="141">
                  <c:v>19.875000000000004</c:v>
                </c:pt>
                <c:pt idx="142">
                  <c:v>20</c:v>
                </c:pt>
                <c:pt idx="143">
                  <c:v>20</c:v>
                </c:pt>
                <c:pt idx="144">
                  <c:v>20</c:v>
                </c:pt>
                <c:pt idx="145">
                  <c:v>20</c:v>
                </c:pt>
                <c:pt idx="146">
                  <c:v>19.254999999999999</c:v>
                </c:pt>
                <c:pt idx="147">
                  <c:v>20</c:v>
                </c:pt>
                <c:pt idx="148">
                  <c:v>19.254999999999999</c:v>
                </c:pt>
                <c:pt idx="149">
                  <c:v>18.509999999999998</c:v>
                </c:pt>
                <c:pt idx="150">
                  <c:v>17.764999999999997</c:v>
                </c:pt>
                <c:pt idx="151">
                  <c:v>17.019999999999996</c:v>
                </c:pt>
                <c:pt idx="152">
                  <c:v>16.274999999999995</c:v>
                </c:pt>
                <c:pt idx="153">
                  <c:v>15.529999999999996</c:v>
                </c:pt>
                <c:pt idx="154">
                  <c:v>14.784999999999997</c:v>
                </c:pt>
                <c:pt idx="155">
                  <c:v>14.039999999999997</c:v>
                </c:pt>
                <c:pt idx="156">
                  <c:v>13.294999999999998</c:v>
                </c:pt>
                <c:pt idx="157">
                  <c:v>12.549999999999999</c:v>
                </c:pt>
                <c:pt idx="158">
                  <c:v>11.805</c:v>
                </c:pt>
                <c:pt idx="159">
                  <c:v>11.280000000000001</c:v>
                </c:pt>
                <c:pt idx="160">
                  <c:v>10.535000000000002</c:v>
                </c:pt>
                <c:pt idx="161">
                  <c:v>9.7900000000000027</c:v>
                </c:pt>
                <c:pt idx="162">
                  <c:v>9.0450000000000035</c:v>
                </c:pt>
                <c:pt idx="163">
                  <c:v>8.3000000000000043</c:v>
                </c:pt>
                <c:pt idx="164">
                  <c:v>7.5550000000000042</c:v>
                </c:pt>
                <c:pt idx="165">
                  <c:v>10.770000000000005</c:v>
                </c:pt>
                <c:pt idx="166">
                  <c:v>10.025000000000006</c:v>
                </c:pt>
                <c:pt idx="167">
                  <c:v>9.2800000000000065</c:v>
                </c:pt>
                <c:pt idx="168">
                  <c:v>8.5350000000000072</c:v>
                </c:pt>
                <c:pt idx="169">
                  <c:v>9.5500000000000078</c:v>
                </c:pt>
                <c:pt idx="170">
                  <c:v>20</c:v>
                </c:pt>
                <c:pt idx="171">
                  <c:v>20</c:v>
                </c:pt>
                <c:pt idx="172">
                  <c:v>20</c:v>
                </c:pt>
                <c:pt idx="173">
                  <c:v>19.254999999999999</c:v>
                </c:pt>
                <c:pt idx="174">
                  <c:v>20</c:v>
                </c:pt>
                <c:pt idx="175">
                  <c:v>20</c:v>
                </c:pt>
                <c:pt idx="176">
                  <c:v>19.254999999999999</c:v>
                </c:pt>
                <c:pt idx="177">
                  <c:v>20</c:v>
                </c:pt>
                <c:pt idx="178">
                  <c:v>20</c:v>
                </c:pt>
                <c:pt idx="179">
                  <c:v>20</c:v>
                </c:pt>
                <c:pt idx="180">
                  <c:v>19.914999999999999</c:v>
                </c:pt>
                <c:pt idx="181">
                  <c:v>19.169999999999998</c:v>
                </c:pt>
                <c:pt idx="182">
                  <c:v>18.424999999999997</c:v>
                </c:pt>
                <c:pt idx="183">
                  <c:v>19.659999999999997</c:v>
                </c:pt>
                <c:pt idx="184">
                  <c:v>20</c:v>
                </c:pt>
                <c:pt idx="185">
                  <c:v>20</c:v>
                </c:pt>
                <c:pt idx="186">
                  <c:v>20</c:v>
                </c:pt>
                <c:pt idx="187">
                  <c:v>20</c:v>
                </c:pt>
                <c:pt idx="188">
                  <c:v>19.254999999999999</c:v>
                </c:pt>
                <c:pt idx="189">
                  <c:v>18.509999999999998</c:v>
                </c:pt>
                <c:pt idx="190">
                  <c:v>17.764999999999997</c:v>
                </c:pt>
                <c:pt idx="191">
                  <c:v>17.019999999999996</c:v>
                </c:pt>
                <c:pt idx="192">
                  <c:v>16.274999999999995</c:v>
                </c:pt>
                <c:pt idx="193">
                  <c:v>15.529999999999996</c:v>
                </c:pt>
                <c:pt idx="194">
                  <c:v>14.784999999999997</c:v>
                </c:pt>
                <c:pt idx="195">
                  <c:v>14.039999999999997</c:v>
                </c:pt>
                <c:pt idx="196">
                  <c:v>13.294999999999998</c:v>
                </c:pt>
                <c:pt idx="197">
                  <c:v>12.549999999999999</c:v>
                </c:pt>
                <c:pt idx="198">
                  <c:v>11.805</c:v>
                </c:pt>
                <c:pt idx="199">
                  <c:v>20</c:v>
                </c:pt>
                <c:pt idx="200">
                  <c:v>20</c:v>
                </c:pt>
                <c:pt idx="201">
                  <c:v>19.254999999999999</c:v>
                </c:pt>
                <c:pt idx="202">
                  <c:v>18.509999999999998</c:v>
                </c:pt>
                <c:pt idx="203">
                  <c:v>20</c:v>
                </c:pt>
                <c:pt idx="204">
                  <c:v>20</c:v>
                </c:pt>
                <c:pt idx="205">
                  <c:v>19.914999999999999</c:v>
                </c:pt>
                <c:pt idx="206">
                  <c:v>19.169999999999998</c:v>
                </c:pt>
                <c:pt idx="207">
                  <c:v>18.424999999999997</c:v>
                </c:pt>
                <c:pt idx="208">
                  <c:v>17.679999999999996</c:v>
                </c:pt>
                <c:pt idx="209">
                  <c:v>16.934999999999995</c:v>
                </c:pt>
                <c:pt idx="210">
                  <c:v>16.189999999999994</c:v>
                </c:pt>
                <c:pt idx="211">
                  <c:v>15.444999999999995</c:v>
                </c:pt>
                <c:pt idx="212">
                  <c:v>14.699999999999996</c:v>
                </c:pt>
                <c:pt idx="213">
                  <c:v>13.954999999999997</c:v>
                </c:pt>
                <c:pt idx="214">
                  <c:v>13.209999999999997</c:v>
                </c:pt>
                <c:pt idx="215">
                  <c:v>12.464999999999998</c:v>
                </c:pt>
                <c:pt idx="216">
                  <c:v>11.719999999999999</c:v>
                </c:pt>
                <c:pt idx="217">
                  <c:v>10.975</c:v>
                </c:pt>
                <c:pt idx="218">
                  <c:v>10.23</c:v>
                </c:pt>
                <c:pt idx="219">
                  <c:v>9.4850000000000012</c:v>
                </c:pt>
                <c:pt idx="220">
                  <c:v>8.740000000000002</c:v>
                </c:pt>
                <c:pt idx="221">
                  <c:v>7.9950000000000019</c:v>
                </c:pt>
                <c:pt idx="222">
                  <c:v>7.2500000000000018</c:v>
                </c:pt>
                <c:pt idx="223">
                  <c:v>6.5050000000000017</c:v>
                </c:pt>
                <c:pt idx="224">
                  <c:v>5.7600000000000016</c:v>
                </c:pt>
                <c:pt idx="225">
                  <c:v>5.0150000000000015</c:v>
                </c:pt>
                <c:pt idx="226">
                  <c:v>4.2700000000000014</c:v>
                </c:pt>
                <c:pt idx="227">
                  <c:v>3.5250000000000012</c:v>
                </c:pt>
                <c:pt idx="228">
                  <c:v>2.7800000000000011</c:v>
                </c:pt>
                <c:pt idx="229">
                  <c:v>2.035000000000001</c:v>
                </c:pt>
                <c:pt idx="230">
                  <c:v>1.2900000000000009</c:v>
                </c:pt>
                <c:pt idx="231">
                  <c:v>0.54500000000000093</c:v>
                </c:pt>
                <c:pt idx="232">
                  <c:v>0</c:v>
                </c:pt>
                <c:pt idx="233">
                  <c:v>0</c:v>
                </c:pt>
                <c:pt idx="234">
                  <c:v>0</c:v>
                </c:pt>
                <c:pt idx="235">
                  <c:v>0</c:v>
                </c:pt>
                <c:pt idx="236">
                  <c:v>0</c:v>
                </c:pt>
                <c:pt idx="237">
                  <c:v>0</c:v>
                </c:pt>
                <c:pt idx="238">
                  <c:v>0</c:v>
                </c:pt>
                <c:pt idx="239">
                  <c:v>0</c:v>
                </c:pt>
                <c:pt idx="240">
                  <c:v>0</c:v>
                </c:pt>
                <c:pt idx="241">
                  <c:v>7.835</c:v>
                </c:pt>
                <c:pt idx="242">
                  <c:v>11.05</c:v>
                </c:pt>
                <c:pt idx="243">
                  <c:v>20</c:v>
                </c:pt>
                <c:pt idx="244">
                  <c:v>20</c:v>
                </c:pt>
                <c:pt idx="245">
                  <c:v>20</c:v>
                </c:pt>
                <c:pt idx="246">
                  <c:v>19.254999999999999</c:v>
                </c:pt>
                <c:pt idx="247">
                  <c:v>18.509999999999998</c:v>
                </c:pt>
                <c:pt idx="248">
                  <c:v>17.764999999999997</c:v>
                </c:pt>
                <c:pt idx="249">
                  <c:v>17.019999999999996</c:v>
                </c:pt>
                <c:pt idx="250">
                  <c:v>16.274999999999995</c:v>
                </c:pt>
                <c:pt idx="251">
                  <c:v>15.529999999999996</c:v>
                </c:pt>
                <c:pt idx="252">
                  <c:v>14.784999999999997</c:v>
                </c:pt>
                <c:pt idx="253">
                  <c:v>14.039999999999997</c:v>
                </c:pt>
                <c:pt idx="254">
                  <c:v>13.294999999999998</c:v>
                </c:pt>
                <c:pt idx="255">
                  <c:v>12.549999999999999</c:v>
                </c:pt>
                <c:pt idx="256">
                  <c:v>11.805</c:v>
                </c:pt>
                <c:pt idx="257">
                  <c:v>11.06</c:v>
                </c:pt>
                <c:pt idx="258">
                  <c:v>10.315000000000001</c:v>
                </c:pt>
                <c:pt idx="259">
                  <c:v>9.5700000000000021</c:v>
                </c:pt>
                <c:pt idx="260">
                  <c:v>8.8250000000000028</c:v>
                </c:pt>
                <c:pt idx="261">
                  <c:v>20</c:v>
                </c:pt>
                <c:pt idx="262">
                  <c:v>19.695</c:v>
                </c:pt>
                <c:pt idx="263">
                  <c:v>18.95</c:v>
                </c:pt>
                <c:pt idx="264">
                  <c:v>20</c:v>
                </c:pt>
                <c:pt idx="265">
                  <c:v>20</c:v>
                </c:pt>
                <c:pt idx="266">
                  <c:v>20</c:v>
                </c:pt>
                <c:pt idx="267">
                  <c:v>20</c:v>
                </c:pt>
                <c:pt idx="268">
                  <c:v>19.914999999999999</c:v>
                </c:pt>
                <c:pt idx="269">
                  <c:v>20</c:v>
                </c:pt>
                <c:pt idx="270">
                  <c:v>19.254999999999999</c:v>
                </c:pt>
                <c:pt idx="271">
                  <c:v>20</c:v>
                </c:pt>
                <c:pt idx="272">
                  <c:v>20</c:v>
                </c:pt>
                <c:pt idx="273">
                  <c:v>19.254999999999999</c:v>
                </c:pt>
                <c:pt idx="274">
                  <c:v>18.509999999999998</c:v>
                </c:pt>
                <c:pt idx="275">
                  <c:v>17.764999999999997</c:v>
                </c:pt>
                <c:pt idx="276">
                  <c:v>20</c:v>
                </c:pt>
                <c:pt idx="277">
                  <c:v>20</c:v>
                </c:pt>
                <c:pt idx="278">
                  <c:v>20</c:v>
                </c:pt>
                <c:pt idx="279">
                  <c:v>19.695</c:v>
                </c:pt>
                <c:pt idx="280">
                  <c:v>18.95</c:v>
                </c:pt>
                <c:pt idx="281">
                  <c:v>19.744999999999997</c:v>
                </c:pt>
                <c:pt idx="282">
                  <c:v>20</c:v>
                </c:pt>
                <c:pt idx="283">
                  <c:v>20</c:v>
                </c:pt>
                <c:pt idx="284">
                  <c:v>20</c:v>
                </c:pt>
                <c:pt idx="285">
                  <c:v>20</c:v>
                </c:pt>
                <c:pt idx="286">
                  <c:v>20</c:v>
                </c:pt>
                <c:pt idx="287">
                  <c:v>20</c:v>
                </c:pt>
                <c:pt idx="288">
                  <c:v>20</c:v>
                </c:pt>
                <c:pt idx="289">
                  <c:v>20</c:v>
                </c:pt>
                <c:pt idx="290">
                  <c:v>20</c:v>
                </c:pt>
                <c:pt idx="291">
                  <c:v>20</c:v>
                </c:pt>
                <c:pt idx="292">
                  <c:v>20</c:v>
                </c:pt>
                <c:pt idx="293">
                  <c:v>20</c:v>
                </c:pt>
                <c:pt idx="294">
                  <c:v>20</c:v>
                </c:pt>
                <c:pt idx="295">
                  <c:v>20</c:v>
                </c:pt>
                <c:pt idx="296">
                  <c:v>20</c:v>
                </c:pt>
                <c:pt idx="297">
                  <c:v>20</c:v>
                </c:pt>
                <c:pt idx="298">
                  <c:v>20</c:v>
                </c:pt>
                <c:pt idx="299">
                  <c:v>20</c:v>
                </c:pt>
                <c:pt idx="300">
                  <c:v>20</c:v>
                </c:pt>
                <c:pt idx="301">
                  <c:v>20</c:v>
                </c:pt>
                <c:pt idx="302">
                  <c:v>20</c:v>
                </c:pt>
                <c:pt idx="303">
                  <c:v>20</c:v>
                </c:pt>
                <c:pt idx="304">
                  <c:v>20</c:v>
                </c:pt>
                <c:pt idx="305">
                  <c:v>20</c:v>
                </c:pt>
                <c:pt idx="306">
                  <c:v>20</c:v>
                </c:pt>
                <c:pt idx="307">
                  <c:v>20</c:v>
                </c:pt>
                <c:pt idx="308">
                  <c:v>20</c:v>
                </c:pt>
                <c:pt idx="309">
                  <c:v>20</c:v>
                </c:pt>
                <c:pt idx="310">
                  <c:v>20</c:v>
                </c:pt>
                <c:pt idx="311">
                  <c:v>20</c:v>
                </c:pt>
                <c:pt idx="312">
                  <c:v>20</c:v>
                </c:pt>
                <c:pt idx="313">
                  <c:v>19.254999999999999</c:v>
                </c:pt>
                <c:pt idx="314">
                  <c:v>18.509999999999998</c:v>
                </c:pt>
                <c:pt idx="315">
                  <c:v>17.764999999999997</c:v>
                </c:pt>
                <c:pt idx="316">
                  <c:v>17.019999999999996</c:v>
                </c:pt>
                <c:pt idx="317">
                  <c:v>16.274999999999995</c:v>
                </c:pt>
                <c:pt idx="318">
                  <c:v>15.529999999999996</c:v>
                </c:pt>
                <c:pt idx="319">
                  <c:v>14.784999999999997</c:v>
                </c:pt>
                <c:pt idx="320">
                  <c:v>14.039999999999997</c:v>
                </c:pt>
                <c:pt idx="321">
                  <c:v>13.294999999999998</c:v>
                </c:pt>
                <c:pt idx="322">
                  <c:v>12.549999999999999</c:v>
                </c:pt>
                <c:pt idx="323">
                  <c:v>15.545</c:v>
                </c:pt>
                <c:pt idx="324">
                  <c:v>20</c:v>
                </c:pt>
                <c:pt idx="325">
                  <c:v>20</c:v>
                </c:pt>
                <c:pt idx="326">
                  <c:v>20</c:v>
                </c:pt>
                <c:pt idx="327">
                  <c:v>20</c:v>
                </c:pt>
                <c:pt idx="328">
                  <c:v>20</c:v>
                </c:pt>
                <c:pt idx="329">
                  <c:v>20</c:v>
                </c:pt>
                <c:pt idx="330">
                  <c:v>20</c:v>
                </c:pt>
                <c:pt idx="331">
                  <c:v>20</c:v>
                </c:pt>
                <c:pt idx="332">
                  <c:v>19.254999999999999</c:v>
                </c:pt>
                <c:pt idx="333">
                  <c:v>18.509999999999998</c:v>
                </c:pt>
                <c:pt idx="334">
                  <c:v>17.764999999999997</c:v>
                </c:pt>
                <c:pt idx="335">
                  <c:v>17.019999999999996</c:v>
                </c:pt>
                <c:pt idx="336">
                  <c:v>16.274999999999995</c:v>
                </c:pt>
                <c:pt idx="337">
                  <c:v>15.529999999999996</c:v>
                </c:pt>
                <c:pt idx="338">
                  <c:v>16.104999999999993</c:v>
                </c:pt>
                <c:pt idx="339">
                  <c:v>20</c:v>
                </c:pt>
                <c:pt idx="340">
                  <c:v>20</c:v>
                </c:pt>
                <c:pt idx="341">
                  <c:v>20</c:v>
                </c:pt>
                <c:pt idx="342">
                  <c:v>20</c:v>
                </c:pt>
                <c:pt idx="343">
                  <c:v>20</c:v>
                </c:pt>
                <c:pt idx="344">
                  <c:v>20</c:v>
                </c:pt>
                <c:pt idx="345">
                  <c:v>20</c:v>
                </c:pt>
                <c:pt idx="346">
                  <c:v>20</c:v>
                </c:pt>
                <c:pt idx="347">
                  <c:v>20</c:v>
                </c:pt>
                <c:pt idx="348">
                  <c:v>19.254999999999999</c:v>
                </c:pt>
                <c:pt idx="349">
                  <c:v>20</c:v>
                </c:pt>
                <c:pt idx="350">
                  <c:v>20</c:v>
                </c:pt>
                <c:pt idx="351">
                  <c:v>20</c:v>
                </c:pt>
                <c:pt idx="352">
                  <c:v>20</c:v>
                </c:pt>
                <c:pt idx="353">
                  <c:v>19.254999999999999</c:v>
                </c:pt>
                <c:pt idx="354">
                  <c:v>18.509999999999998</c:v>
                </c:pt>
                <c:pt idx="355">
                  <c:v>20</c:v>
                </c:pt>
                <c:pt idx="356">
                  <c:v>20</c:v>
                </c:pt>
                <c:pt idx="357">
                  <c:v>20</c:v>
                </c:pt>
                <c:pt idx="358">
                  <c:v>20</c:v>
                </c:pt>
                <c:pt idx="359">
                  <c:v>19.914999999999999</c:v>
                </c:pt>
                <c:pt idx="360">
                  <c:v>20</c:v>
                </c:pt>
                <c:pt idx="361">
                  <c:v>20</c:v>
                </c:pt>
                <c:pt idx="362">
                  <c:v>19.254999999999999</c:v>
                </c:pt>
                <c:pt idx="363">
                  <c:v>18.509999999999998</c:v>
                </c:pt>
                <c:pt idx="364">
                  <c:v>17.764999999999997</c:v>
                </c:pt>
                <c:pt idx="365">
                  <c:v>17.019999999999996</c:v>
                </c:pt>
              </c:numCache>
            </c:numRef>
          </c:val>
          <c:smooth val="0"/>
          <c:extLst>
            <c:ext xmlns:c16="http://schemas.microsoft.com/office/drawing/2014/chart" uri="{C3380CC4-5D6E-409C-BE32-E72D297353CC}">
              <c16:uniqueId val="{00000001-2203-4CA1-867F-336457380913}"/>
            </c:ext>
          </c:extLst>
        </c:ser>
        <c:dLbls>
          <c:showLegendKey val="0"/>
          <c:showVal val="0"/>
          <c:showCatName val="0"/>
          <c:showSerName val="0"/>
          <c:showPercent val="0"/>
          <c:showBubbleSize val="0"/>
        </c:dLbls>
        <c:marker val="1"/>
        <c:smooth val="0"/>
        <c:axId val="1320110207"/>
        <c:axId val="1320107807"/>
      </c:lineChart>
      <c:catAx>
        <c:axId val="1320110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0107807"/>
        <c:crosses val="autoZero"/>
        <c:auto val="1"/>
        <c:lblAlgn val="ctr"/>
        <c:lblOffset val="100"/>
        <c:noMultiLvlLbl val="0"/>
      </c:catAx>
      <c:valAx>
        <c:axId val="1320107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01102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Pressure of water (Pa) vs. Velocity of water (m/s)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intercept val="0"/>
            <c:dispRSqr val="1"/>
            <c:dispEq val="1"/>
            <c:trendlineLbl>
              <c:layout>
                <c:manualLayout>
                  <c:x val="0.11966995590700523"/>
                  <c:y val="-0.7056552305961755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'Week 11 Prototyping'!$J$11:$J$15</c:f>
              <c:numCache>
                <c:formatCode>General</c:formatCode>
                <c:ptCount val="5"/>
                <c:pt idx="0">
                  <c:v>0.18040942893874073</c:v>
                </c:pt>
                <c:pt idx="1">
                  <c:v>0.16621926171477319</c:v>
                </c:pt>
                <c:pt idx="2">
                  <c:v>0.14878639143852326</c:v>
                </c:pt>
                <c:pt idx="3">
                  <c:v>0.1264702800829563</c:v>
                </c:pt>
                <c:pt idx="4">
                  <c:v>0.10561920736085963</c:v>
                </c:pt>
              </c:numCache>
            </c:numRef>
          </c:xVal>
          <c:yVal>
            <c:numRef>
              <c:f>'Week 11 Prototyping'!$F$11:$F$15</c:f>
              <c:numCache>
                <c:formatCode>General</c:formatCode>
                <c:ptCount val="5"/>
                <c:pt idx="0">
                  <c:v>-12753</c:v>
                </c:pt>
                <c:pt idx="1">
                  <c:v>-10791</c:v>
                </c:pt>
                <c:pt idx="2">
                  <c:v>-8927.1</c:v>
                </c:pt>
                <c:pt idx="3">
                  <c:v>-6867</c:v>
                </c:pt>
                <c:pt idx="4">
                  <c:v>-4895.1899999999996</c:v>
                </c:pt>
              </c:numCache>
            </c:numRef>
          </c:yVal>
          <c:smooth val="0"/>
          <c:extLst>
            <c:ext xmlns:c16="http://schemas.microsoft.com/office/drawing/2014/chart" uri="{C3380CC4-5D6E-409C-BE32-E72D297353CC}">
              <c16:uniqueId val="{00000000-4557-4D7D-A059-2E8159E711A2}"/>
            </c:ext>
          </c:extLst>
        </c:ser>
        <c:dLbls>
          <c:showLegendKey val="0"/>
          <c:showVal val="0"/>
          <c:showCatName val="0"/>
          <c:showSerName val="0"/>
          <c:showPercent val="0"/>
          <c:showBubbleSize val="0"/>
        </c:dLbls>
        <c:axId val="1566717959"/>
        <c:axId val="1566736903"/>
      </c:scatterChart>
      <c:valAx>
        <c:axId val="1566717959"/>
        <c:scaling>
          <c:orientation val="minMax"/>
          <c:min val="0.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Velocity (m/s)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736903"/>
        <c:crosses val="autoZero"/>
        <c:crossBetween val="midCat"/>
      </c:valAx>
      <c:valAx>
        <c:axId val="15667369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Pressure (Pa)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71795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12302121609798775"/>
                  <c:y val="-0.1768686205890930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'Week 11 Prototyping'!$N$37:$N$41</c:f>
              <c:numCache>
                <c:formatCode>General</c:formatCode>
                <c:ptCount val="5"/>
                <c:pt idx="0">
                  <c:v>0.1</c:v>
                </c:pt>
                <c:pt idx="1">
                  <c:v>0.18</c:v>
                </c:pt>
                <c:pt idx="2">
                  <c:v>0.27</c:v>
                </c:pt>
                <c:pt idx="3">
                  <c:v>0.32</c:v>
                </c:pt>
                <c:pt idx="4">
                  <c:v>0.35</c:v>
                </c:pt>
              </c:numCache>
            </c:numRef>
          </c:xVal>
          <c:yVal>
            <c:numRef>
              <c:f>'Week 11 Prototyping'!$O$37:$O$41</c:f>
              <c:numCache>
                <c:formatCode>General</c:formatCode>
                <c:ptCount val="5"/>
                <c:pt idx="0">
                  <c:v>1800</c:v>
                </c:pt>
                <c:pt idx="1">
                  <c:v>4800</c:v>
                </c:pt>
                <c:pt idx="2">
                  <c:v>7300</c:v>
                </c:pt>
                <c:pt idx="3">
                  <c:v>11800</c:v>
                </c:pt>
                <c:pt idx="4">
                  <c:v>13900</c:v>
                </c:pt>
              </c:numCache>
            </c:numRef>
          </c:yVal>
          <c:smooth val="0"/>
          <c:extLst>
            <c:ext xmlns:c16="http://schemas.microsoft.com/office/drawing/2014/chart" uri="{C3380CC4-5D6E-409C-BE32-E72D297353CC}">
              <c16:uniqueId val="{00000000-2BF6-4B19-9834-382F47874BDA}"/>
            </c:ext>
          </c:extLst>
        </c:ser>
        <c:dLbls>
          <c:showLegendKey val="0"/>
          <c:showVal val="0"/>
          <c:showCatName val="0"/>
          <c:showSerName val="0"/>
          <c:showPercent val="0"/>
          <c:showBubbleSize val="0"/>
        </c:dLbls>
        <c:axId val="1834319056"/>
        <c:axId val="1834328656"/>
      </c:scatterChart>
      <c:valAx>
        <c:axId val="18343190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328656"/>
        <c:crosses val="autoZero"/>
        <c:crossBetween val="midCat"/>
      </c:valAx>
      <c:valAx>
        <c:axId val="1834328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31905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2</xdr:col>
      <xdr:colOff>50800</xdr:colOff>
      <xdr:row>6</xdr:row>
      <xdr:rowOff>50801</xdr:rowOff>
    </xdr:from>
    <xdr:to>
      <xdr:col>2</xdr:col>
      <xdr:colOff>2984500</xdr:colOff>
      <xdr:row>6</xdr:row>
      <xdr:rowOff>614607</xdr:rowOff>
    </xdr:to>
    <xdr:pic>
      <xdr:nvPicPr>
        <xdr:cNvPr id="4" name="Picture 3">
          <a:extLst>
            <a:ext uri="{FF2B5EF4-FFF2-40B4-BE49-F238E27FC236}">
              <a16:creationId xmlns:a16="http://schemas.microsoft.com/office/drawing/2014/main" id="{0B3CB61C-93F9-48AD-129E-88B603E4F325}"/>
            </a:ext>
          </a:extLst>
        </xdr:cNvPr>
        <xdr:cNvPicPr>
          <a:picLocks noChangeAspect="1"/>
        </xdr:cNvPicPr>
      </xdr:nvPicPr>
      <xdr:blipFill>
        <a:blip xmlns:r="http://schemas.openxmlformats.org/officeDocument/2006/relationships" r:embed="rId1"/>
        <a:stretch>
          <a:fillRect/>
        </a:stretch>
      </xdr:blipFill>
      <xdr:spPr>
        <a:xfrm>
          <a:off x="4102100" y="2146301"/>
          <a:ext cx="2933700" cy="563806"/>
        </a:xfrm>
        <a:prstGeom prst="rect">
          <a:avLst/>
        </a:prstGeom>
      </xdr:spPr>
    </xdr:pic>
    <xdr:clientData/>
  </xdr:twoCellAnchor>
  <xdr:twoCellAnchor editAs="oneCell">
    <xdr:from>
      <xdr:col>2</xdr:col>
      <xdr:colOff>19050</xdr:colOff>
      <xdr:row>7</xdr:row>
      <xdr:rowOff>38100</xdr:rowOff>
    </xdr:from>
    <xdr:to>
      <xdr:col>2</xdr:col>
      <xdr:colOff>2952750</xdr:colOff>
      <xdr:row>7</xdr:row>
      <xdr:rowOff>609600</xdr:rowOff>
    </xdr:to>
    <xdr:pic>
      <xdr:nvPicPr>
        <xdr:cNvPr id="27" name="Picture 4">
          <a:extLst>
            <a:ext uri="{FF2B5EF4-FFF2-40B4-BE49-F238E27FC236}">
              <a16:creationId xmlns:a16="http://schemas.microsoft.com/office/drawing/2014/main" id="{5E497FD4-8848-5632-EB2A-DE60B2A9E1D7}"/>
            </a:ext>
            <a:ext uri="{147F2762-F138-4A5C-976F-8EAC2B608ADB}">
              <a16:predDERef xmlns:a16="http://schemas.microsoft.com/office/drawing/2014/main" pred="{0B3CB61C-93F9-48AD-129E-88B603E4F325}"/>
            </a:ext>
          </a:extLst>
        </xdr:cNvPr>
        <xdr:cNvPicPr>
          <a:picLocks noChangeAspect="1"/>
        </xdr:cNvPicPr>
      </xdr:nvPicPr>
      <xdr:blipFill>
        <a:blip xmlns:r="http://schemas.openxmlformats.org/officeDocument/2006/relationships" r:embed="rId2"/>
        <a:stretch>
          <a:fillRect/>
        </a:stretch>
      </xdr:blipFill>
      <xdr:spPr>
        <a:xfrm>
          <a:off x="3924300" y="2600325"/>
          <a:ext cx="2933700" cy="571500"/>
        </a:xfrm>
        <a:prstGeom prst="rect">
          <a:avLst/>
        </a:prstGeom>
      </xdr:spPr>
    </xdr:pic>
    <xdr:clientData/>
  </xdr:twoCellAnchor>
  <xdr:twoCellAnchor editAs="oneCell">
    <xdr:from>
      <xdr:col>2</xdr:col>
      <xdr:colOff>28576</xdr:colOff>
      <xdr:row>8</xdr:row>
      <xdr:rowOff>38101</xdr:rowOff>
    </xdr:from>
    <xdr:to>
      <xdr:col>2</xdr:col>
      <xdr:colOff>2955925</xdr:colOff>
      <xdr:row>8</xdr:row>
      <xdr:rowOff>617437</xdr:rowOff>
    </xdr:to>
    <xdr:pic>
      <xdr:nvPicPr>
        <xdr:cNvPr id="25" name="Picture 5">
          <a:extLst>
            <a:ext uri="{FF2B5EF4-FFF2-40B4-BE49-F238E27FC236}">
              <a16:creationId xmlns:a16="http://schemas.microsoft.com/office/drawing/2014/main" id="{C3F226D4-51C2-D231-53B5-5EDCD32A857C}"/>
            </a:ext>
            <a:ext uri="{147F2762-F138-4A5C-976F-8EAC2B608ADB}">
              <a16:predDERef xmlns:a16="http://schemas.microsoft.com/office/drawing/2014/main" pred="{5E497FD4-8848-5632-EB2A-DE60B2A9E1D7}"/>
            </a:ext>
          </a:extLst>
        </xdr:cNvPr>
        <xdr:cNvPicPr>
          <a:picLocks noChangeAspect="1"/>
        </xdr:cNvPicPr>
      </xdr:nvPicPr>
      <xdr:blipFill>
        <a:blip xmlns:r="http://schemas.openxmlformats.org/officeDocument/2006/relationships" r:embed="rId3"/>
        <a:stretch>
          <a:fillRect/>
        </a:stretch>
      </xdr:blipFill>
      <xdr:spPr>
        <a:xfrm>
          <a:off x="3933826" y="3524251"/>
          <a:ext cx="2927349" cy="579336"/>
        </a:xfrm>
        <a:prstGeom prst="rect">
          <a:avLst/>
        </a:prstGeom>
      </xdr:spPr>
    </xdr:pic>
    <xdr:clientData/>
  </xdr:twoCellAnchor>
  <xdr:twoCellAnchor editAs="oneCell">
    <xdr:from>
      <xdr:col>2</xdr:col>
      <xdr:colOff>19051</xdr:colOff>
      <xdr:row>9</xdr:row>
      <xdr:rowOff>25401</xdr:rowOff>
    </xdr:from>
    <xdr:to>
      <xdr:col>2</xdr:col>
      <xdr:colOff>2813050</xdr:colOff>
      <xdr:row>9</xdr:row>
      <xdr:rowOff>648677</xdr:rowOff>
    </xdr:to>
    <xdr:pic>
      <xdr:nvPicPr>
        <xdr:cNvPr id="8" name="Picture 6">
          <a:extLst>
            <a:ext uri="{FF2B5EF4-FFF2-40B4-BE49-F238E27FC236}">
              <a16:creationId xmlns:a16="http://schemas.microsoft.com/office/drawing/2014/main" id="{0E7FEE3A-C901-E7B4-D67C-4C96A7DDA0CF}"/>
            </a:ext>
            <a:ext uri="{147F2762-F138-4A5C-976F-8EAC2B608ADB}">
              <a16:predDERef xmlns:a16="http://schemas.microsoft.com/office/drawing/2014/main" pred="{C3F226D4-51C2-D231-53B5-5EDCD32A857C}"/>
            </a:ext>
          </a:extLst>
        </xdr:cNvPr>
        <xdr:cNvPicPr>
          <a:picLocks noChangeAspect="1"/>
        </xdr:cNvPicPr>
      </xdr:nvPicPr>
      <xdr:blipFill>
        <a:blip xmlns:r="http://schemas.openxmlformats.org/officeDocument/2006/relationships" r:embed="rId4"/>
        <a:stretch>
          <a:fillRect/>
        </a:stretch>
      </xdr:blipFill>
      <xdr:spPr>
        <a:xfrm>
          <a:off x="3924301" y="4197351"/>
          <a:ext cx="2793999" cy="623276"/>
        </a:xfrm>
        <a:prstGeom prst="rect">
          <a:avLst/>
        </a:prstGeom>
      </xdr:spPr>
    </xdr:pic>
    <xdr:clientData/>
  </xdr:twoCellAnchor>
  <xdr:twoCellAnchor editAs="oneCell">
    <xdr:from>
      <xdr:col>2</xdr:col>
      <xdr:colOff>31750</xdr:colOff>
      <xdr:row>10</xdr:row>
      <xdr:rowOff>63500</xdr:rowOff>
    </xdr:from>
    <xdr:to>
      <xdr:col>2</xdr:col>
      <xdr:colOff>2698750</xdr:colOff>
      <xdr:row>10</xdr:row>
      <xdr:rowOff>596900</xdr:rowOff>
    </xdr:to>
    <xdr:pic>
      <xdr:nvPicPr>
        <xdr:cNvPr id="42" name="Picture 8">
          <a:extLst>
            <a:ext uri="{FF2B5EF4-FFF2-40B4-BE49-F238E27FC236}">
              <a16:creationId xmlns:a16="http://schemas.microsoft.com/office/drawing/2014/main" id="{2718DDAE-A850-0128-C6B9-D85E1F7711BD}"/>
            </a:ext>
            <a:ext uri="{147F2762-F138-4A5C-976F-8EAC2B608ADB}">
              <a16:predDERef xmlns:a16="http://schemas.microsoft.com/office/drawing/2014/main" pred="{0E7FEE3A-C901-E7B4-D67C-4C96A7DDA0CF}"/>
            </a:ext>
          </a:extLst>
        </xdr:cNvPr>
        <xdr:cNvPicPr>
          <a:picLocks noChangeAspect="1"/>
        </xdr:cNvPicPr>
      </xdr:nvPicPr>
      <xdr:blipFill>
        <a:blip xmlns:r="http://schemas.openxmlformats.org/officeDocument/2006/relationships" r:embed="rId5"/>
        <a:stretch>
          <a:fillRect/>
        </a:stretch>
      </xdr:blipFill>
      <xdr:spPr>
        <a:xfrm>
          <a:off x="3937000" y="4921250"/>
          <a:ext cx="2667000" cy="533400"/>
        </a:xfrm>
        <a:prstGeom prst="rect">
          <a:avLst/>
        </a:prstGeom>
      </xdr:spPr>
    </xdr:pic>
    <xdr:clientData/>
  </xdr:twoCellAnchor>
  <xdr:twoCellAnchor editAs="oneCell">
    <xdr:from>
      <xdr:col>2</xdr:col>
      <xdr:colOff>38100</xdr:colOff>
      <xdr:row>11</xdr:row>
      <xdr:rowOff>76200</xdr:rowOff>
    </xdr:from>
    <xdr:to>
      <xdr:col>2</xdr:col>
      <xdr:colOff>2867025</xdr:colOff>
      <xdr:row>11</xdr:row>
      <xdr:rowOff>619125</xdr:rowOff>
    </xdr:to>
    <xdr:pic>
      <xdr:nvPicPr>
        <xdr:cNvPr id="13" name="Picture 10">
          <a:extLst>
            <a:ext uri="{FF2B5EF4-FFF2-40B4-BE49-F238E27FC236}">
              <a16:creationId xmlns:a16="http://schemas.microsoft.com/office/drawing/2014/main" id="{12D86138-FB76-B1E4-A7EE-95EB9CC0493E}"/>
            </a:ext>
            <a:ext uri="{147F2762-F138-4A5C-976F-8EAC2B608ADB}">
              <a16:predDERef xmlns:a16="http://schemas.microsoft.com/office/drawing/2014/main" pred="{2718DDAE-A850-0128-C6B9-D85E1F7711BD}"/>
            </a:ext>
          </a:extLst>
        </xdr:cNvPr>
        <xdr:cNvPicPr>
          <a:picLocks noChangeAspect="1"/>
        </xdr:cNvPicPr>
      </xdr:nvPicPr>
      <xdr:blipFill>
        <a:blip xmlns:r="http://schemas.openxmlformats.org/officeDocument/2006/relationships" r:embed="rId6"/>
        <a:stretch>
          <a:fillRect/>
        </a:stretch>
      </xdr:blipFill>
      <xdr:spPr>
        <a:xfrm>
          <a:off x="3943350" y="5619750"/>
          <a:ext cx="2828925" cy="542925"/>
        </a:xfrm>
        <a:prstGeom prst="rect">
          <a:avLst/>
        </a:prstGeom>
      </xdr:spPr>
    </xdr:pic>
    <xdr:clientData/>
  </xdr:twoCellAnchor>
  <xdr:twoCellAnchor editAs="oneCell">
    <xdr:from>
      <xdr:col>2</xdr:col>
      <xdr:colOff>19050</xdr:colOff>
      <xdr:row>12</xdr:row>
      <xdr:rowOff>66675</xdr:rowOff>
    </xdr:from>
    <xdr:to>
      <xdr:col>2</xdr:col>
      <xdr:colOff>2905125</xdr:colOff>
      <xdr:row>12</xdr:row>
      <xdr:rowOff>571500</xdr:rowOff>
    </xdr:to>
    <xdr:pic>
      <xdr:nvPicPr>
        <xdr:cNvPr id="18" name="Picture 11">
          <a:extLst>
            <a:ext uri="{FF2B5EF4-FFF2-40B4-BE49-F238E27FC236}">
              <a16:creationId xmlns:a16="http://schemas.microsoft.com/office/drawing/2014/main" id="{32582533-E351-A84B-E9B7-7D99F273D724}"/>
            </a:ext>
            <a:ext uri="{147F2762-F138-4A5C-976F-8EAC2B608ADB}">
              <a16:predDERef xmlns:a16="http://schemas.microsoft.com/office/drawing/2014/main" pred="{12D86138-FB76-B1E4-A7EE-95EB9CC0493E}"/>
            </a:ext>
          </a:extLst>
        </xdr:cNvPr>
        <xdr:cNvPicPr>
          <a:picLocks noChangeAspect="1"/>
        </xdr:cNvPicPr>
      </xdr:nvPicPr>
      <xdr:blipFill>
        <a:blip xmlns:r="http://schemas.openxmlformats.org/officeDocument/2006/relationships" r:embed="rId7"/>
        <a:stretch>
          <a:fillRect/>
        </a:stretch>
      </xdr:blipFill>
      <xdr:spPr>
        <a:xfrm>
          <a:off x="3924300" y="6296025"/>
          <a:ext cx="2886075" cy="504825"/>
        </a:xfrm>
        <a:prstGeom prst="rect">
          <a:avLst/>
        </a:prstGeom>
      </xdr:spPr>
    </xdr:pic>
    <xdr:clientData/>
  </xdr:twoCellAnchor>
  <xdr:twoCellAnchor editAs="oneCell">
    <xdr:from>
      <xdr:col>2</xdr:col>
      <xdr:colOff>38100</xdr:colOff>
      <xdr:row>13</xdr:row>
      <xdr:rowOff>66675</xdr:rowOff>
    </xdr:from>
    <xdr:to>
      <xdr:col>2</xdr:col>
      <xdr:colOff>2971800</xdr:colOff>
      <xdr:row>13</xdr:row>
      <xdr:rowOff>628650</xdr:rowOff>
    </xdr:to>
    <xdr:pic>
      <xdr:nvPicPr>
        <xdr:cNvPr id="23" name="Picture 18">
          <a:extLst>
            <a:ext uri="{FF2B5EF4-FFF2-40B4-BE49-F238E27FC236}">
              <a16:creationId xmlns:a16="http://schemas.microsoft.com/office/drawing/2014/main" id="{9210D316-3EDC-B047-A5C5-4B10086A9521}"/>
            </a:ext>
            <a:ext uri="{147F2762-F138-4A5C-976F-8EAC2B608ADB}">
              <a16:predDERef xmlns:a16="http://schemas.microsoft.com/office/drawing/2014/main" pred="{32582533-E351-A84B-E9B7-7D99F273D724}"/>
            </a:ext>
          </a:extLst>
        </xdr:cNvPr>
        <xdr:cNvPicPr>
          <a:picLocks noChangeAspect="1"/>
        </xdr:cNvPicPr>
      </xdr:nvPicPr>
      <xdr:blipFill>
        <a:blip xmlns:r="http://schemas.openxmlformats.org/officeDocument/2006/relationships" r:embed="rId8"/>
        <a:stretch>
          <a:fillRect/>
        </a:stretch>
      </xdr:blipFill>
      <xdr:spPr>
        <a:xfrm>
          <a:off x="3943350" y="6981825"/>
          <a:ext cx="2933700" cy="5619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214067</xdr:colOff>
      <xdr:row>12</xdr:row>
      <xdr:rowOff>204095</xdr:rowOff>
    </xdr:from>
    <xdr:to>
      <xdr:col>17</xdr:col>
      <xdr:colOff>306544</xdr:colOff>
      <xdr:row>28</xdr:row>
      <xdr:rowOff>23030</xdr:rowOff>
    </xdr:to>
    <xdr:graphicFrame macro="">
      <xdr:nvGraphicFramePr>
        <xdr:cNvPr id="3" name="图表 4">
          <a:extLst>
            <a:ext uri="{FF2B5EF4-FFF2-40B4-BE49-F238E27FC236}">
              <a16:creationId xmlns:a16="http://schemas.microsoft.com/office/drawing/2014/main" id="{FDFE7CB2-1A47-E6DA-0581-A5141380BD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322082</xdr:colOff>
      <xdr:row>12</xdr:row>
      <xdr:rowOff>514430</xdr:rowOff>
    </xdr:from>
    <xdr:to>
      <xdr:col>35</xdr:col>
      <xdr:colOff>539389</xdr:colOff>
      <xdr:row>24</xdr:row>
      <xdr:rowOff>55060</xdr:rowOff>
    </xdr:to>
    <xdr:graphicFrame macro="">
      <xdr:nvGraphicFramePr>
        <xdr:cNvPr id="2" name="Chart 21">
          <a:extLst>
            <a:ext uri="{FF2B5EF4-FFF2-40B4-BE49-F238E27FC236}">
              <a16:creationId xmlns:a16="http://schemas.microsoft.com/office/drawing/2014/main" id="{DFE7A772-47DA-65CA-F39D-4974E238D0E6}"/>
            </a:ext>
            <a:ext uri="{147F2762-F138-4A5C-976F-8EAC2B608ADB}">
              <a16:predDERef xmlns:a16="http://schemas.microsoft.com/office/drawing/2014/main" pred="{FDFE7CB2-1A47-E6DA-0581-A5141380BD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739775</xdr:colOff>
      <xdr:row>1</xdr:row>
      <xdr:rowOff>133350</xdr:rowOff>
    </xdr:from>
    <xdr:to>
      <xdr:col>17</xdr:col>
      <xdr:colOff>187325</xdr:colOff>
      <xdr:row>16</xdr:row>
      <xdr:rowOff>6350</xdr:rowOff>
    </xdr:to>
    <xdr:graphicFrame macro="">
      <xdr:nvGraphicFramePr>
        <xdr:cNvPr id="3" name="Chart 1">
          <a:extLst>
            <a:ext uri="{FF2B5EF4-FFF2-40B4-BE49-F238E27FC236}">
              <a16:creationId xmlns:a16="http://schemas.microsoft.com/office/drawing/2014/main" id="{79B0AA4F-8C7F-5295-42A5-5B97CE0D75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18</xdr:row>
      <xdr:rowOff>20107</xdr:rowOff>
    </xdr:from>
    <xdr:to>
      <xdr:col>6</xdr:col>
      <xdr:colOff>1606287</xdr:colOff>
      <xdr:row>38</xdr:row>
      <xdr:rowOff>152135</xdr:rowOff>
    </xdr:to>
    <xdr:graphicFrame macro="">
      <xdr:nvGraphicFramePr>
        <xdr:cNvPr id="4" name="Chart 2">
          <a:extLst>
            <a:ext uri="{FF2B5EF4-FFF2-40B4-BE49-F238E27FC236}">
              <a16:creationId xmlns:a16="http://schemas.microsoft.com/office/drawing/2014/main" id="{B27581D4-1C00-40A2-B111-59C10171D2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30</xdr:col>
      <xdr:colOff>469900</xdr:colOff>
      <xdr:row>4</xdr:row>
      <xdr:rowOff>42332</xdr:rowOff>
    </xdr:from>
    <xdr:to>
      <xdr:col>38</xdr:col>
      <xdr:colOff>372534</xdr:colOff>
      <xdr:row>18</xdr:row>
      <xdr:rowOff>33866</xdr:rowOff>
    </xdr:to>
    <xdr:graphicFrame macro="">
      <xdr:nvGraphicFramePr>
        <xdr:cNvPr id="8" name="Chart 7">
          <a:extLst>
            <a:ext uri="{FF2B5EF4-FFF2-40B4-BE49-F238E27FC236}">
              <a16:creationId xmlns:a16="http://schemas.microsoft.com/office/drawing/2014/main" id="{DC010B37-25D2-B7A6-4E5F-26CEAA714AD0}"/>
            </a:ext>
            <a:ext uri="{147F2762-F138-4A5C-976F-8EAC2B608ADB}">
              <a16:predDERef xmlns:a16="http://schemas.microsoft.com/office/drawing/2014/main" pred="{B27581D4-1C00-40A2-B111-59C10171D2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44</xdr:col>
      <xdr:colOff>288726</xdr:colOff>
      <xdr:row>4</xdr:row>
      <xdr:rowOff>86916</xdr:rowOff>
    </xdr:from>
    <xdr:to>
      <xdr:col>49</xdr:col>
      <xdr:colOff>1030883</xdr:colOff>
      <xdr:row>16</xdr:row>
      <xdr:rowOff>111522</xdr:rowOff>
    </xdr:to>
    <xdr:graphicFrame macro="">
      <xdr:nvGraphicFramePr>
        <xdr:cNvPr id="2" name="Chart 1">
          <a:extLst>
            <a:ext uri="{FF2B5EF4-FFF2-40B4-BE49-F238E27FC236}">
              <a16:creationId xmlns:a16="http://schemas.microsoft.com/office/drawing/2014/main" id="{45081128-1ABD-87D2-11A9-D441E4861B7A}"/>
            </a:ext>
            <a:ext uri="{147F2762-F138-4A5C-976F-8EAC2B608ADB}">
              <a16:predDERef xmlns:a16="http://schemas.microsoft.com/office/drawing/2014/main" pred="{DC010B37-25D2-B7A6-4E5F-26CEAA714A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14</xdr:col>
      <xdr:colOff>409575</xdr:colOff>
      <xdr:row>3</xdr:row>
      <xdr:rowOff>123825</xdr:rowOff>
    </xdr:from>
    <xdr:to>
      <xdr:col>25</xdr:col>
      <xdr:colOff>400050</xdr:colOff>
      <xdr:row>22</xdr:row>
      <xdr:rowOff>142875</xdr:rowOff>
    </xdr:to>
    <xdr:graphicFrame macro="">
      <xdr:nvGraphicFramePr>
        <xdr:cNvPr id="5" name="Chart 4">
          <a:extLst>
            <a:ext uri="{FF2B5EF4-FFF2-40B4-BE49-F238E27FC236}">
              <a16:creationId xmlns:a16="http://schemas.microsoft.com/office/drawing/2014/main" id="{58382D88-53BE-C24A-61C1-C5A162994F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555625</xdr:colOff>
      <xdr:row>41</xdr:row>
      <xdr:rowOff>6350</xdr:rowOff>
    </xdr:from>
    <xdr:to>
      <xdr:col>20</xdr:col>
      <xdr:colOff>250825</xdr:colOff>
      <xdr:row>55</xdr:row>
      <xdr:rowOff>171450</xdr:rowOff>
    </xdr:to>
    <xdr:graphicFrame macro="">
      <xdr:nvGraphicFramePr>
        <xdr:cNvPr id="19" name="Chart 1">
          <a:extLst>
            <a:ext uri="{FF2B5EF4-FFF2-40B4-BE49-F238E27FC236}">
              <a16:creationId xmlns:a16="http://schemas.microsoft.com/office/drawing/2014/main" id="{D2C21C95-DC90-1FE9-5F64-C68163BD75B2}"/>
            </a:ext>
            <a:ext uri="{147F2762-F138-4A5C-976F-8EAC2B608ADB}">
              <a16:predDERef xmlns:a16="http://schemas.microsoft.com/office/drawing/2014/main" pred="{58382D88-53BE-C24A-61C1-C5A162994F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07E3D-62B1-4661-B99A-20DF15269F33}">
  <dimension ref="A1:AF746"/>
  <sheetViews>
    <sheetView topLeftCell="C6" zoomScale="80" workbookViewId="0">
      <selection activeCell="N6" sqref="N6"/>
    </sheetView>
  </sheetViews>
  <sheetFormatPr defaultColWidth="8.7109375" defaultRowHeight="14.45"/>
  <cols>
    <col min="1" max="1" width="8.7109375" style="1"/>
    <col min="2" max="2" width="20.5703125" style="1" bestFit="1" customWidth="1"/>
    <col min="3" max="3" width="10.85546875" style="1" customWidth="1"/>
    <col min="4" max="4" width="10" style="1" customWidth="1"/>
    <col min="5" max="5" width="10.140625" style="1" bestFit="1" customWidth="1"/>
    <col min="6" max="6" width="17.140625" style="1" bestFit="1" customWidth="1"/>
    <col min="7" max="7" width="8.7109375" style="1"/>
    <col min="8" max="8" width="17.85546875" style="1" customWidth="1"/>
    <col min="9" max="9" width="12.85546875" style="1" bestFit="1" customWidth="1"/>
    <col min="10" max="10" width="14.85546875" style="1" customWidth="1"/>
    <col min="11" max="11" width="16.140625" style="1" customWidth="1"/>
    <col min="12" max="12" width="18.140625" style="1" customWidth="1"/>
    <col min="13" max="13" width="14.85546875" style="1" customWidth="1"/>
    <col min="14" max="14" width="19.140625" style="1" customWidth="1"/>
    <col min="15" max="15" width="13" style="1" customWidth="1"/>
    <col min="16" max="16" width="36.5703125" style="1" bestFit="1" customWidth="1"/>
    <col min="17" max="17" width="21.85546875" style="1" bestFit="1" customWidth="1"/>
    <col min="18" max="19" width="12.5703125" style="1" bestFit="1" customWidth="1"/>
    <col min="20" max="20" width="18.28515625" style="1" bestFit="1" customWidth="1"/>
    <col min="21" max="21" width="10.7109375" style="1" bestFit="1" customWidth="1"/>
    <col min="22" max="22" width="15.42578125" style="1" bestFit="1" customWidth="1"/>
    <col min="23" max="23" width="8.7109375" style="1"/>
    <col min="24" max="24" width="9.5703125" style="1" customWidth="1"/>
    <col min="25" max="25" width="14.7109375" style="1" customWidth="1"/>
    <col min="26" max="26" width="15.140625" style="1" customWidth="1"/>
    <col min="27" max="27" width="13.42578125" style="1" bestFit="1" customWidth="1"/>
    <col min="28" max="28" width="8.7109375" style="1"/>
    <col min="29" max="29" width="13.28515625" style="1" bestFit="1" customWidth="1"/>
    <col min="30" max="30" width="12" style="1" bestFit="1" customWidth="1"/>
    <col min="31" max="16384" width="8.7109375" style="1"/>
  </cols>
  <sheetData>
    <row r="1" spans="1:32" ht="15">
      <c r="A1" s="47" t="s">
        <v>0</v>
      </c>
      <c r="C1" s="274" t="s">
        <v>1</v>
      </c>
      <c r="D1" s="274"/>
      <c r="E1" s="274"/>
      <c r="F1" s="274"/>
      <c r="G1" s="274"/>
      <c r="H1" s="274"/>
      <c r="I1" s="274"/>
      <c r="J1" s="274"/>
      <c r="K1" s="274"/>
      <c r="L1" s="274"/>
      <c r="M1" s="274"/>
      <c r="N1" s="274"/>
      <c r="O1" s="274"/>
      <c r="P1" s="289" t="s">
        <v>2</v>
      </c>
      <c r="Q1" s="291">
        <f>'Flow Rate'!$AE$31</f>
        <v>0.30149324272141709</v>
      </c>
    </row>
    <row r="2" spans="1:32" ht="15">
      <c r="A2" s="1" t="s">
        <v>3</v>
      </c>
      <c r="C2" s="274"/>
      <c r="D2" s="274"/>
      <c r="E2" s="274"/>
      <c r="F2" s="274"/>
      <c r="G2" s="274"/>
      <c r="H2" s="274"/>
      <c r="I2" s="274"/>
      <c r="J2" s="274"/>
      <c r="K2" s="274"/>
      <c r="L2" s="274"/>
      <c r="M2" s="274"/>
      <c r="N2" s="274"/>
      <c r="O2" s="274"/>
      <c r="P2" s="290"/>
      <c r="Q2" s="292"/>
      <c r="Z2" s="273" t="s">
        <v>4</v>
      </c>
      <c r="AA2" s="280" t="s">
        <v>5</v>
      </c>
      <c r="AB2" s="281"/>
      <c r="AC2" s="286" t="s">
        <v>6</v>
      </c>
      <c r="AD2" s="286"/>
    </row>
    <row r="3" spans="1:32" ht="14.45" customHeight="1">
      <c r="C3" s="65"/>
      <c r="D3" s="65"/>
      <c r="E3" s="65"/>
      <c r="F3" s="65"/>
      <c r="G3" s="65"/>
      <c r="H3" s="65"/>
      <c r="I3" s="65"/>
      <c r="J3" s="65"/>
      <c r="K3" s="65"/>
      <c r="L3" s="65"/>
      <c r="M3" s="65"/>
      <c r="N3" s="65"/>
      <c r="O3" s="65"/>
      <c r="P3" s="290"/>
      <c r="Q3" s="292"/>
      <c r="Z3" s="273"/>
      <c r="AA3" s="280" t="s">
        <v>7</v>
      </c>
      <c r="AB3" s="281"/>
      <c r="AC3" s="275" t="s">
        <v>8</v>
      </c>
      <c r="AD3" s="288" t="s">
        <v>9</v>
      </c>
    </row>
    <row r="4" spans="1:32" ht="38.1" customHeight="1">
      <c r="B4" s="294" t="s">
        <v>10</v>
      </c>
      <c r="C4" s="295"/>
      <c r="D4" s="295"/>
      <c r="E4" s="295"/>
      <c r="F4" s="203" t="s">
        <v>11</v>
      </c>
      <c r="G4" s="240">
        <v>13743</v>
      </c>
      <c r="H4" s="202" t="s">
        <v>12</v>
      </c>
      <c r="I4" s="79">
        <f>Maintainance!M7+'Ozone-Energy'!Z5+ IF('Organized Input Output'!AA9&gt; 0, 4, 0)+'Ozone-Energy'!U4</f>
        <v>18</v>
      </c>
      <c r="J4" s="65"/>
      <c r="K4" s="229" t="s">
        <v>13</v>
      </c>
      <c r="L4" s="230">
        <f>Costs!B64</f>
        <v>54218.769217112625</v>
      </c>
      <c r="M4" s="231" t="s">
        <v>14</v>
      </c>
      <c r="N4" s="232">
        <f>'Stakeholder Satisfaction'!K15</f>
        <v>0.94014126195282044</v>
      </c>
      <c r="O4"/>
      <c r="P4" s="233" t="s">
        <v>15</v>
      </c>
      <c r="Q4" s="249">
        <f>'Flow Rate'!L31</f>
        <v>41.469023027385262</v>
      </c>
      <c r="R4"/>
      <c r="S4"/>
      <c r="T4"/>
      <c r="Z4" s="273"/>
      <c r="AA4" s="240" t="s">
        <v>16</v>
      </c>
      <c r="AB4" s="73" t="s">
        <v>9</v>
      </c>
      <c r="AC4" s="287"/>
      <c r="AD4" s="279"/>
    </row>
    <row r="5" spans="1:32" ht="15">
      <c r="L5"/>
      <c r="M5"/>
      <c r="N5"/>
      <c r="O5"/>
      <c r="P5" s="268" t="s">
        <v>17</v>
      </c>
      <c r="Q5" s="296" t="s">
        <v>18</v>
      </c>
      <c r="R5" s="275" t="s">
        <v>19</v>
      </c>
      <c r="S5" s="275" t="s">
        <v>20</v>
      </c>
      <c r="T5" s="275" t="s">
        <v>21</v>
      </c>
      <c r="U5" s="286" t="s">
        <v>22</v>
      </c>
      <c r="V5" s="286"/>
      <c r="W5" s="286"/>
      <c r="X5" s="275" t="s">
        <v>23</v>
      </c>
      <c r="Z5" s="273"/>
      <c r="AA5" s="240" t="s">
        <v>24</v>
      </c>
      <c r="AB5" s="54" t="s">
        <v>9</v>
      </c>
      <c r="AC5" s="275" t="s">
        <v>25</v>
      </c>
      <c r="AD5" s="288" t="s">
        <v>26</v>
      </c>
    </row>
    <row r="6" spans="1:32" ht="92.25" customHeight="1">
      <c r="A6" s="293" t="s">
        <v>27</v>
      </c>
      <c r="B6" s="57" t="s">
        <v>28</v>
      </c>
      <c r="C6" s="57" t="s">
        <v>29</v>
      </c>
      <c r="D6" s="58">
        <v>9.81</v>
      </c>
      <c r="E6" s="57" t="s">
        <v>30</v>
      </c>
      <c r="G6" s="298" t="s">
        <v>31</v>
      </c>
      <c r="H6" s="49" t="s">
        <v>32</v>
      </c>
      <c r="I6" s="49" t="s">
        <v>33</v>
      </c>
      <c r="J6" s="49" t="s">
        <v>34</v>
      </c>
      <c r="K6" s="116" t="s">
        <v>35</v>
      </c>
      <c r="L6" s="49" t="s">
        <v>36</v>
      </c>
      <c r="P6" s="269"/>
      <c r="Q6" s="297"/>
      <c r="R6" s="276"/>
      <c r="S6" s="276"/>
      <c r="T6" s="276"/>
      <c r="U6" s="49" t="s">
        <v>37</v>
      </c>
      <c r="V6" s="49" t="s">
        <v>38</v>
      </c>
      <c r="W6" s="49" t="s">
        <v>39</v>
      </c>
      <c r="X6" s="276"/>
      <c r="Z6" s="273"/>
      <c r="AA6" s="240" t="s">
        <v>40</v>
      </c>
      <c r="AB6" s="54" t="s">
        <v>26</v>
      </c>
      <c r="AC6" s="287"/>
      <c r="AD6" s="279"/>
    </row>
    <row r="7" spans="1:32" ht="14.45" customHeight="1">
      <c r="A7" s="293"/>
      <c r="B7" s="48" t="s">
        <v>41</v>
      </c>
      <c r="C7" s="48" t="s">
        <v>42</v>
      </c>
      <c r="D7" s="56">
        <v>0.02</v>
      </c>
      <c r="E7" s="48" t="s">
        <v>43</v>
      </c>
      <c r="G7" s="299"/>
      <c r="H7" s="245">
        <v>100</v>
      </c>
      <c r="I7" s="245">
        <v>1000</v>
      </c>
      <c r="J7" s="50">
        <f>H7+I7</f>
        <v>1100</v>
      </c>
      <c r="K7" s="117">
        <v>2500</v>
      </c>
      <c r="L7" s="50">
        <v>0</v>
      </c>
      <c r="P7" s="269"/>
      <c r="Q7" s="103" t="s">
        <v>44</v>
      </c>
      <c r="R7" s="50" t="s">
        <v>26</v>
      </c>
      <c r="S7" s="50">
        <f>0.167*$G$4</f>
        <v>2295.0810000000001</v>
      </c>
      <c r="T7" s="51">
        <f>IF($R$8 = "y", $V$7, IF($R$9 = "y", $W$7, $U$7))</f>
        <v>20000</v>
      </c>
      <c r="U7" s="50">
        <v>5000</v>
      </c>
      <c r="V7" s="50">
        <v>20000</v>
      </c>
      <c r="W7" s="50">
        <v>15000</v>
      </c>
      <c r="X7" s="277"/>
      <c r="Z7" s="283" t="s">
        <v>45</v>
      </c>
      <c r="AA7" s="282" t="s">
        <v>46</v>
      </c>
      <c r="AB7" s="282"/>
      <c r="AC7" s="282"/>
      <c r="AD7" s="282"/>
      <c r="AE7" s="271" t="s">
        <v>47</v>
      </c>
      <c r="AF7" s="272"/>
    </row>
    <row r="8" spans="1:32" ht="94.5" customHeight="1">
      <c r="A8" s="293"/>
      <c r="B8" s="48" t="s">
        <v>48</v>
      </c>
      <c r="C8" s="48" t="s">
        <v>49</v>
      </c>
      <c r="D8" s="56">
        <f>($D$7/2)^2*PI()</f>
        <v>3.1415926535897931E-4</v>
      </c>
      <c r="E8" s="48" t="s">
        <v>50</v>
      </c>
      <c r="G8" s="298" t="s">
        <v>51</v>
      </c>
      <c r="H8" s="241" t="s">
        <v>52</v>
      </c>
      <c r="I8" s="241" t="s">
        <v>53</v>
      </c>
      <c r="J8" s="241" t="s">
        <v>54</v>
      </c>
      <c r="K8" s="241" t="s">
        <v>55</v>
      </c>
      <c r="L8" s="241" t="s">
        <v>56</v>
      </c>
      <c r="M8" s="241" t="s">
        <v>57</v>
      </c>
      <c r="N8" s="241" t="s">
        <v>58</v>
      </c>
      <c r="P8" s="269"/>
      <c r="Q8" s="246" t="s">
        <v>59</v>
      </c>
      <c r="R8" s="54" t="s">
        <v>26</v>
      </c>
      <c r="S8" s="52">
        <f>IF( R8 = "y", 0.0833*$G$4, 0)</f>
        <v>1144.7918999999999</v>
      </c>
      <c r="T8" s="53">
        <f>IF($R$8 = "n", "", IF($R$9 = "y", $W$8, $U$8))</f>
        <v>20000</v>
      </c>
      <c r="U8" s="52">
        <v>10000</v>
      </c>
      <c r="V8" s="52"/>
      <c r="W8" s="52">
        <v>20000</v>
      </c>
      <c r="X8" s="278"/>
      <c r="Z8" s="284"/>
      <c r="AA8" s="247" t="s">
        <v>60</v>
      </c>
      <c r="AB8" s="247" t="s">
        <v>61</v>
      </c>
      <c r="AC8" s="247" t="s">
        <v>62</v>
      </c>
      <c r="AD8" s="247" t="s">
        <v>63</v>
      </c>
      <c r="AE8" s="247" t="s">
        <v>64</v>
      </c>
      <c r="AF8" s="247" t="s">
        <v>19</v>
      </c>
    </row>
    <row r="9" spans="1:32" ht="29.25">
      <c r="A9" s="293"/>
      <c r="B9" s="48" t="s">
        <v>65</v>
      </c>
      <c r="C9" s="48" t="s">
        <v>66</v>
      </c>
      <c r="D9" s="56">
        <v>1000</v>
      </c>
      <c r="E9" s="48" t="s">
        <v>67</v>
      </c>
      <c r="G9" s="300"/>
      <c r="H9" s="204">
        <v>20</v>
      </c>
      <c r="I9" s="204">
        <v>40</v>
      </c>
      <c r="J9" s="204">
        <v>-10</v>
      </c>
      <c r="K9" s="205">
        <f>SQRT(I9^2 +J9^2 +L9^2)</f>
        <v>41.533119314590373</v>
      </c>
      <c r="L9" s="204">
        <v>5</v>
      </c>
      <c r="M9" s="204">
        <v>21</v>
      </c>
      <c r="N9" s="205">
        <f>$L$9+$M$9</f>
        <v>26</v>
      </c>
      <c r="P9" s="269"/>
      <c r="Q9" s="246" t="s">
        <v>68</v>
      </c>
      <c r="R9" s="54" t="s">
        <v>26</v>
      </c>
      <c r="S9" s="52">
        <f>IF( R9= "y", 0.00417*$G$4, 0)</f>
        <v>57.308309999999999</v>
      </c>
      <c r="T9" s="53">
        <f>IF($R$9 = "n", "", $U$9)</f>
        <v>20000</v>
      </c>
      <c r="U9" s="52">
        <v>20000</v>
      </c>
      <c r="V9" s="52"/>
      <c r="W9" s="52"/>
      <c r="X9" s="279"/>
      <c r="Z9" s="284"/>
      <c r="AA9" s="136">
        <v>80</v>
      </c>
      <c r="AB9" s="135">
        <f>IF($AA$9=260,0.17,IF($AA$9=80,0.15,IF($AA$9=306,0.16,0)))</f>
        <v>0.15</v>
      </c>
      <c r="AC9" s="136">
        <v>5</v>
      </c>
      <c r="AD9" s="135">
        <f>$AC$9*1.6</f>
        <v>8</v>
      </c>
      <c r="AE9" s="247" t="s">
        <v>69</v>
      </c>
      <c r="AF9" s="136" t="s">
        <v>9</v>
      </c>
    </row>
    <row r="10" spans="1:32" ht="68.25" customHeight="1">
      <c r="A10" s="293"/>
      <c r="B10" s="48" t="s">
        <v>70</v>
      </c>
      <c r="C10" s="48" t="s">
        <v>71</v>
      </c>
      <c r="D10" s="56">
        <v>0.05</v>
      </c>
      <c r="E10" s="48"/>
      <c r="G10" s="298" t="s">
        <v>72</v>
      </c>
      <c r="H10" s="242" t="s">
        <v>73</v>
      </c>
      <c r="I10" s="242" t="s">
        <v>74</v>
      </c>
      <c r="J10" s="242" t="s">
        <v>75</v>
      </c>
      <c r="K10" s="242" t="s">
        <v>76</v>
      </c>
      <c r="L10" s="242" t="s">
        <v>49</v>
      </c>
      <c r="M10" s="242" t="s">
        <v>77</v>
      </c>
      <c r="N10" s="242" t="s">
        <v>78</v>
      </c>
      <c r="P10" s="270"/>
      <c r="Q10" s="240" t="s">
        <v>79</v>
      </c>
      <c r="R10" s="54"/>
      <c r="S10" s="52">
        <f>SUM($S$7:$S$9)</f>
        <v>3497.1812100000002</v>
      </c>
      <c r="U10" s="104"/>
      <c r="V10" s="104"/>
      <c r="W10" s="104"/>
      <c r="X10" s="59"/>
      <c r="Z10" s="284"/>
      <c r="AA10" s="247" t="s">
        <v>80</v>
      </c>
      <c r="AB10" s="135" t="str">
        <f>IF(AA9 &gt; 0, "y", "n")</f>
        <v>y</v>
      </c>
      <c r="AC10" s="135">
        <f>IF(AB10 = "y", 1, 0)</f>
        <v>1</v>
      </c>
      <c r="AD10"/>
      <c r="AE10"/>
      <c r="AF10"/>
    </row>
    <row r="11" spans="1:32" ht="29.25">
      <c r="A11" s="293"/>
      <c r="B11" s="48" t="s">
        <v>81</v>
      </c>
      <c r="C11" s="48" t="s">
        <v>82</v>
      </c>
      <c r="D11" s="56">
        <v>10</v>
      </c>
      <c r="E11" s="48"/>
      <c r="G11" s="299"/>
      <c r="H11" s="245">
        <v>3</v>
      </c>
      <c r="I11" s="50">
        <f>IF($H$11=1,-0.0172,IF($H$11=2,-0.0039,IF($H$11=3,-0.0151,0)))</f>
        <v>-1.5100000000000001E-2</v>
      </c>
      <c r="J11" s="50">
        <f>IF($H$11=1,-0.3605,IF($H$11=2,-0.096,IF($H$11=3,-0.5516,0)))</f>
        <v>-0.55159999999999998</v>
      </c>
      <c r="K11" s="50">
        <f>IF($H$11=1,150.9,IF($H$11=2,237.86,IF($H$11=3,356.8,0)))</f>
        <v>356.8</v>
      </c>
      <c r="L11" s="50">
        <f>IF($H$11=1,0.7,IF($H$11=2,0.094,IF($H$11=3,0.72,0)))</f>
        <v>0.72</v>
      </c>
      <c r="M11" s="50">
        <f>IF($H$11=1,0.39,IF($H$11=2,0.85,IF($H$11=3,0.55,0)))</f>
        <v>0.55000000000000004</v>
      </c>
      <c r="N11" s="50">
        <f>IF($H$11 = 1, 83.7, IF($H$11 = 2, 245.7, IF($H$11 = 3, 136.5, 0)))</f>
        <v>136.5</v>
      </c>
      <c r="Z11" s="285"/>
      <c r="AA11" s="247" t="s">
        <v>83</v>
      </c>
      <c r="AB11" s="135" t="s">
        <v>26</v>
      </c>
      <c r="AC11" s="136">
        <v>1</v>
      </c>
      <c r="AD11"/>
      <c r="AE11"/>
      <c r="AF11"/>
    </row>
    <row r="12" spans="1:32" ht="29.25">
      <c r="A12" s="293"/>
      <c r="B12" s="48" t="s">
        <v>84</v>
      </c>
      <c r="C12" s="48" t="s">
        <v>82</v>
      </c>
      <c r="D12" s="56">
        <v>10</v>
      </c>
      <c r="E12" s="48"/>
      <c r="Z12"/>
      <c r="AD12"/>
      <c r="AE12"/>
      <c r="AF12"/>
    </row>
    <row r="13" spans="1:32" ht="57.75">
      <c r="A13" s="293"/>
      <c r="B13" s="48" t="s">
        <v>85</v>
      </c>
      <c r="C13" s="48" t="s">
        <v>86</v>
      </c>
      <c r="D13" s="56">
        <f>'Flow Rate'!$F$18</f>
        <v>255060</v>
      </c>
      <c r="E13" s="358" t="s">
        <v>87</v>
      </c>
      <c r="F13" s="48"/>
      <c r="G13" s="48" t="s">
        <v>88</v>
      </c>
      <c r="H13" s="48" t="s">
        <v>89</v>
      </c>
      <c r="I13" s="48" t="s">
        <v>90</v>
      </c>
      <c r="J13" s="1" t="s">
        <v>91</v>
      </c>
    </row>
    <row r="14" spans="1:32" ht="15">
      <c r="A14" s="293"/>
      <c r="B14" s="48" t="s">
        <v>92</v>
      </c>
      <c r="C14" s="48" t="s">
        <v>93</v>
      </c>
      <c r="D14" s="55">
        <v>745</v>
      </c>
      <c r="E14" s="358" t="s">
        <v>94</v>
      </c>
      <c r="F14" s="48" t="s">
        <v>95</v>
      </c>
      <c r="G14" s="55">
        <v>0.2</v>
      </c>
      <c r="H14" s="56">
        <f>(G14*D14)</f>
        <v>149</v>
      </c>
      <c r="I14" s="56">
        <f>H14/1000</f>
        <v>0.14899999999999999</v>
      </c>
      <c r="L14"/>
      <c r="M14"/>
      <c r="N14"/>
      <c r="O14"/>
    </row>
    <row r="15" spans="1:32">
      <c r="L15"/>
      <c r="M15"/>
      <c r="N15"/>
      <c r="O15"/>
    </row>
    <row r="16" spans="1:32" ht="66">
      <c r="A16" s="243" t="s">
        <v>96</v>
      </c>
      <c r="B16" s="241" t="s">
        <v>97</v>
      </c>
      <c r="C16" s="241" t="s">
        <v>98</v>
      </c>
      <c r="D16" s="241" t="s">
        <v>99</v>
      </c>
      <c r="E16" s="265" t="s">
        <v>100</v>
      </c>
      <c r="F16" s="266" t="s">
        <v>101</v>
      </c>
      <c r="G16" s="267" t="s">
        <v>102</v>
      </c>
      <c r="H16" s="9" t="s">
        <v>103</v>
      </c>
      <c r="I16" s="9" t="s">
        <v>104</v>
      </c>
      <c r="J16" s="9" t="s">
        <v>104</v>
      </c>
      <c r="K16" s="157" t="s">
        <v>105</v>
      </c>
      <c r="L16" s="157" t="s">
        <v>105</v>
      </c>
      <c r="M16" s="157" t="s">
        <v>106</v>
      </c>
      <c r="N16" s="157" t="s">
        <v>106</v>
      </c>
      <c r="O16" s="194" t="s">
        <v>107</v>
      </c>
      <c r="P16" s="194" t="s">
        <v>107</v>
      </c>
      <c r="Q16" s="210" t="s">
        <v>108</v>
      </c>
      <c r="R16" s="196" t="s">
        <v>109</v>
      </c>
      <c r="S16" s="197" t="s">
        <v>110</v>
      </c>
      <c r="T16" s="197" t="s">
        <v>111</v>
      </c>
      <c r="U16" s="197" t="s">
        <v>112</v>
      </c>
      <c r="V16" s="197"/>
      <c r="W16" s="198" t="s">
        <v>113</v>
      </c>
      <c r="X16" s="198" t="s">
        <v>114</v>
      </c>
      <c r="Y16" s="199" t="s">
        <v>115</v>
      </c>
      <c r="Z16" s="198" t="s">
        <v>116</v>
      </c>
      <c r="AA16" s="43"/>
    </row>
    <row r="17" spans="1:27">
      <c r="A17" s="244"/>
      <c r="B17" s="248"/>
      <c r="C17" s="54" t="s">
        <v>117</v>
      </c>
      <c r="D17" s="54" t="s">
        <v>117</v>
      </c>
      <c r="E17" s="265"/>
      <c r="F17" s="266"/>
      <c r="G17" s="267"/>
      <c r="H17" s="9" t="s">
        <v>118</v>
      </c>
      <c r="I17" s="9" t="s">
        <v>119</v>
      </c>
      <c r="J17" s="9" t="s">
        <v>120</v>
      </c>
      <c r="K17" s="157" t="s">
        <v>121</v>
      </c>
      <c r="L17" s="157" t="s">
        <v>122</v>
      </c>
      <c r="M17" s="157" t="s">
        <v>119</v>
      </c>
      <c r="N17" s="157" t="s">
        <v>120</v>
      </c>
      <c r="O17" s="194" t="s">
        <v>123</v>
      </c>
      <c r="P17" s="194" t="s">
        <v>120</v>
      </c>
      <c r="Q17" s="195" t="s">
        <v>120</v>
      </c>
      <c r="R17" s="196" t="s">
        <v>124</v>
      </c>
      <c r="S17" s="196" t="s">
        <v>124</v>
      </c>
      <c r="T17" s="196" t="s">
        <v>125</v>
      </c>
      <c r="U17" s="196"/>
      <c r="V17" s="196"/>
      <c r="W17" s="199" t="s">
        <v>121</v>
      </c>
      <c r="X17" s="199" t="s">
        <v>126</v>
      </c>
      <c r="Y17" s="200" t="s">
        <v>126</v>
      </c>
      <c r="Z17" s="200" t="s">
        <v>117</v>
      </c>
      <c r="AA17" s="43"/>
    </row>
    <row r="18" spans="1:27" ht="15">
      <c r="B18" s="59"/>
      <c r="C18">
        <v>1</v>
      </c>
      <c r="D18" s="359">
        <v>18.8</v>
      </c>
      <c r="E18" s="211">
        <f t="shared" ref="E18:E81" si="0">(D18/1000)*$J$7</f>
        <v>20.68</v>
      </c>
      <c r="F18" s="211">
        <f>'Studio Rain System'!L23</f>
        <v>20.68</v>
      </c>
      <c r="G18" s="211">
        <f>'Studio Rain System'!M23</f>
        <v>0</v>
      </c>
      <c r="H18" s="206">
        <f>'Flow Rate'!$W$27</f>
        <v>464206.53322409093</v>
      </c>
      <c r="I18" s="178">
        <f>'Ozone-Energy'!H11</f>
        <v>3710582.8571428573</v>
      </c>
      <c r="J18" s="128">
        <f>I18 * 10^(-6)</f>
        <v>3.7105828571428572</v>
      </c>
      <c r="K18" s="193">
        <f>'Ozone-Energy'!J11</f>
        <v>103400</v>
      </c>
      <c r="L18" s="43">
        <f t="shared" ref="L18:L81" si="1">K18/1000</f>
        <v>103.4</v>
      </c>
      <c r="M18" s="43">
        <f>'Ozone-Energy'!L11</f>
        <v>0</v>
      </c>
      <c r="N18" s="179">
        <f>'Ozone-Energy'!M11</f>
        <v>0</v>
      </c>
      <c r="O18" s="43">
        <f>'Ozone-Energy'!N11</f>
        <v>1200</v>
      </c>
      <c r="P18" s="180">
        <f xml:space="preserve"> O18 * 3600 / 1000000</f>
        <v>4.32</v>
      </c>
      <c r="Q18" s="181">
        <f t="shared" ref="Q18:Q57" si="2">J18 + N18 + P18</f>
        <v>8.030582857142857</v>
      </c>
      <c r="R18" s="43">
        <f>'Ozone-Energy'!Q11</f>
        <v>0</v>
      </c>
      <c r="S18" s="43">
        <f>'Ozone-Energy'!R11</f>
        <v>0</v>
      </c>
      <c r="T18" s="43">
        <f>'Ozone-Energy'!S11</f>
        <v>0</v>
      </c>
      <c r="U18" s="43"/>
      <c r="V18" s="43"/>
      <c r="W18">
        <f>'Ozone-Energy'!V11</f>
        <v>0</v>
      </c>
      <c r="X18">
        <f>'Ozone-Energy'!W11</f>
        <v>0</v>
      </c>
      <c r="Y18">
        <f>'Ozone-Energy'!X11</f>
        <v>0</v>
      </c>
      <c r="Z18">
        <f>'Ozone-Energy'!Y11</f>
        <v>0</v>
      </c>
      <c r="AA18" s="43"/>
    </row>
    <row r="19" spans="1:27" ht="15">
      <c r="C19">
        <v>2</v>
      </c>
      <c r="D19" s="359">
        <v>19.8</v>
      </c>
      <c r="E19" s="211">
        <f t="shared" si="0"/>
        <v>21.78</v>
      </c>
      <c r="F19" s="211">
        <f>'Studio Rain System'!L24</f>
        <v>20</v>
      </c>
      <c r="G19" s="211">
        <f>'Studio Rain System'!M24</f>
        <v>0</v>
      </c>
      <c r="H19" s="206">
        <f>'Flow Rate'!$W$27</f>
        <v>464206.53322409093</v>
      </c>
      <c r="I19" s="178">
        <f>'Ozone-Energy'!H12</f>
        <v>3907954.2857142859</v>
      </c>
      <c r="J19" s="128">
        <f t="shared" ref="J19:J82" si="3">I19 * 10^(-6)</f>
        <v>3.9079542857142857</v>
      </c>
      <c r="K19" s="193">
        <f>'Ozone-Energy'!J12</f>
        <v>108900</v>
      </c>
      <c r="L19" s="43">
        <f t="shared" si="1"/>
        <v>108.9</v>
      </c>
      <c r="M19" s="43">
        <f>'Ozone-Energy'!L12</f>
        <v>0</v>
      </c>
      <c r="N19" s="179">
        <f>'Ozone-Energy'!M12</f>
        <v>0</v>
      </c>
      <c r="O19" s="43">
        <f>'Ozone-Energy'!N12</f>
        <v>1200</v>
      </c>
      <c r="P19" s="180">
        <f t="shared" ref="P19:P27" si="4">O19 * 3600 / 1000000</f>
        <v>4.32</v>
      </c>
      <c r="Q19" s="181">
        <f t="shared" si="2"/>
        <v>8.2279542857142864</v>
      </c>
      <c r="R19" s="43">
        <f>'Ozone-Energy'!Q12</f>
        <v>0</v>
      </c>
      <c r="S19" s="43">
        <f>'Ozone-Energy'!R12</f>
        <v>0</v>
      </c>
      <c r="T19" s="43">
        <f>'Ozone-Energy'!S12</f>
        <v>0</v>
      </c>
      <c r="U19" s="43"/>
      <c r="V19" s="43"/>
      <c r="W19">
        <f>'Ozone-Energy'!V12</f>
        <v>0</v>
      </c>
      <c r="X19">
        <f>'Ozone-Energy'!W12</f>
        <v>0</v>
      </c>
      <c r="Y19">
        <f>'Ozone-Energy'!X12</f>
        <v>0</v>
      </c>
      <c r="Z19">
        <f>'Ozone-Energy'!Y12</f>
        <v>0</v>
      </c>
      <c r="AA19" s="43"/>
    </row>
    <row r="20" spans="1:27" ht="15">
      <c r="C20">
        <v>3</v>
      </c>
      <c r="D20" s="359">
        <v>0</v>
      </c>
      <c r="E20" s="211">
        <f t="shared" si="0"/>
        <v>0</v>
      </c>
      <c r="F20" s="211">
        <f>'Studio Rain System'!L25</f>
        <v>20</v>
      </c>
      <c r="G20" s="211">
        <f>'Studio Rain System'!M25</f>
        <v>0</v>
      </c>
      <c r="H20" s="206">
        <f>'Flow Rate'!$W$27</f>
        <v>464206.53322409093</v>
      </c>
      <c r="I20" s="178">
        <f>'Ozone-Energy'!H13</f>
        <v>0</v>
      </c>
      <c r="J20" s="128">
        <f t="shared" si="3"/>
        <v>0</v>
      </c>
      <c r="K20" s="193">
        <f>'Ozone-Energy'!J13</f>
        <v>0</v>
      </c>
      <c r="L20" s="43">
        <f t="shared" si="1"/>
        <v>0</v>
      </c>
      <c r="M20" s="43">
        <f>'Ozone-Energy'!L13</f>
        <v>0</v>
      </c>
      <c r="N20" s="179">
        <f>'Ozone-Energy'!M13</f>
        <v>0</v>
      </c>
      <c r="O20" s="43">
        <f>'Ozone-Energy'!N13</f>
        <v>1200</v>
      </c>
      <c r="P20" s="180">
        <f t="shared" si="4"/>
        <v>4.32</v>
      </c>
      <c r="Q20" s="181">
        <f t="shared" si="2"/>
        <v>4.32</v>
      </c>
      <c r="R20" s="43">
        <f>'Ozone-Energy'!Q13</f>
        <v>0</v>
      </c>
      <c r="S20" s="43">
        <f>'Ozone-Energy'!R13</f>
        <v>0</v>
      </c>
      <c r="T20" s="43">
        <f>'Ozone-Energy'!S13</f>
        <v>0</v>
      </c>
      <c r="U20" s="43"/>
      <c r="V20" s="43"/>
      <c r="W20">
        <f>'Ozone-Energy'!V13</f>
        <v>0</v>
      </c>
      <c r="X20">
        <f>'Ozone-Energy'!W13</f>
        <v>0</v>
      </c>
      <c r="Y20">
        <f>'Ozone-Energy'!X13</f>
        <v>0</v>
      </c>
      <c r="Z20">
        <f>'Ozone-Energy'!Y13</f>
        <v>0</v>
      </c>
      <c r="AA20" s="43"/>
    </row>
    <row r="21" spans="1:27" ht="15">
      <c r="C21">
        <v>4</v>
      </c>
      <c r="D21" s="359">
        <v>0</v>
      </c>
      <c r="E21" s="211">
        <f t="shared" si="0"/>
        <v>0</v>
      </c>
      <c r="F21" s="211">
        <f>'Studio Rain System'!L26</f>
        <v>20</v>
      </c>
      <c r="G21" s="211">
        <f>'Studio Rain System'!M26</f>
        <v>0</v>
      </c>
      <c r="H21" s="206">
        <f>'Flow Rate'!$W$27</f>
        <v>464206.53322409093</v>
      </c>
      <c r="I21" s="178">
        <f>'Ozone-Energy'!H14</f>
        <v>0</v>
      </c>
      <c r="J21" s="128">
        <f t="shared" si="3"/>
        <v>0</v>
      </c>
      <c r="K21" s="193">
        <f>'Ozone-Energy'!J14</f>
        <v>0</v>
      </c>
      <c r="L21" s="43">
        <f t="shared" si="1"/>
        <v>0</v>
      </c>
      <c r="M21" s="43">
        <f>'Ozone-Energy'!L14</f>
        <v>0</v>
      </c>
      <c r="N21" s="179">
        <f>'Ozone-Energy'!M14</f>
        <v>0</v>
      </c>
      <c r="O21" s="43">
        <f>'Ozone-Energy'!N14</f>
        <v>1200</v>
      </c>
      <c r="P21" s="180">
        <f t="shared" si="4"/>
        <v>4.32</v>
      </c>
      <c r="Q21" s="181">
        <f t="shared" si="2"/>
        <v>4.32</v>
      </c>
      <c r="R21" s="43">
        <f>'Ozone-Energy'!Q14</f>
        <v>0</v>
      </c>
      <c r="S21" s="43">
        <f>'Ozone-Energy'!R14</f>
        <v>0</v>
      </c>
      <c r="T21" s="43">
        <f>'Ozone-Energy'!S14</f>
        <v>0</v>
      </c>
      <c r="U21" s="43"/>
      <c r="V21" s="43"/>
      <c r="W21">
        <f>'Ozone-Energy'!V14</f>
        <v>0</v>
      </c>
      <c r="X21">
        <f>'Ozone-Energy'!W14</f>
        <v>0</v>
      </c>
      <c r="Y21">
        <f>'Ozone-Energy'!X14</f>
        <v>0</v>
      </c>
      <c r="Z21">
        <f>'Ozone-Energy'!Y14</f>
        <v>0</v>
      </c>
      <c r="AA21" s="43"/>
    </row>
    <row r="22" spans="1:27" ht="15">
      <c r="C22">
        <v>5</v>
      </c>
      <c r="D22" s="359">
        <v>0</v>
      </c>
      <c r="E22" s="211">
        <f t="shared" si="0"/>
        <v>0</v>
      </c>
      <c r="F22" s="211">
        <f>'Studio Rain System'!L27</f>
        <v>20</v>
      </c>
      <c r="G22" s="211">
        <f>'Studio Rain System'!M27</f>
        <v>0</v>
      </c>
      <c r="H22" s="206">
        <f>'Flow Rate'!$W$27</f>
        <v>464206.53322409093</v>
      </c>
      <c r="I22" s="178">
        <f>'Ozone-Energy'!H15</f>
        <v>0</v>
      </c>
      <c r="J22" s="128">
        <f t="shared" si="3"/>
        <v>0</v>
      </c>
      <c r="K22" s="193">
        <f>'Ozone-Energy'!J15</f>
        <v>0</v>
      </c>
      <c r="L22" s="43">
        <f t="shared" si="1"/>
        <v>0</v>
      </c>
      <c r="M22" s="43">
        <f>'Ozone-Energy'!L15</f>
        <v>0</v>
      </c>
      <c r="N22" s="179">
        <f>'Ozone-Energy'!M15</f>
        <v>0</v>
      </c>
      <c r="O22" s="43">
        <f>'Ozone-Energy'!N15</f>
        <v>1200</v>
      </c>
      <c r="P22" s="180">
        <f t="shared" si="4"/>
        <v>4.32</v>
      </c>
      <c r="Q22" s="181">
        <f t="shared" si="2"/>
        <v>4.32</v>
      </c>
      <c r="R22" s="43">
        <f>'Ozone-Energy'!Q15</f>
        <v>0</v>
      </c>
      <c r="S22" s="43">
        <f>'Ozone-Energy'!R15</f>
        <v>0</v>
      </c>
      <c r="T22" s="43">
        <f>'Ozone-Energy'!S15</f>
        <v>0</v>
      </c>
      <c r="U22" s="43"/>
      <c r="V22" s="43"/>
      <c r="W22">
        <f>'Ozone-Energy'!V15</f>
        <v>0</v>
      </c>
      <c r="X22">
        <f>'Ozone-Energy'!W15</f>
        <v>0</v>
      </c>
      <c r="Y22">
        <f>'Ozone-Energy'!X15</f>
        <v>0</v>
      </c>
      <c r="Z22">
        <f>'Ozone-Energy'!Y15</f>
        <v>0</v>
      </c>
      <c r="AA22" s="43"/>
    </row>
    <row r="23" spans="1:27" ht="15">
      <c r="C23">
        <v>6</v>
      </c>
      <c r="D23" s="359">
        <v>5</v>
      </c>
      <c r="E23" s="211">
        <f t="shared" si="0"/>
        <v>5.5</v>
      </c>
      <c r="F23" s="211">
        <f>'Studio Rain System'!L28</f>
        <v>20</v>
      </c>
      <c r="G23" s="211">
        <f>'Studio Rain System'!M28</f>
        <v>0</v>
      </c>
      <c r="H23" s="206">
        <f>'Flow Rate'!$W$27</f>
        <v>464206.53322409093</v>
      </c>
      <c r="I23" s="178">
        <f>'Ozone-Energy'!H16</f>
        <v>986857.14285714296</v>
      </c>
      <c r="J23" s="128">
        <f t="shared" si="3"/>
        <v>0.98685714285714288</v>
      </c>
      <c r="K23" s="193">
        <f>'Ozone-Energy'!J16</f>
        <v>27500</v>
      </c>
      <c r="L23" s="43">
        <f t="shared" si="1"/>
        <v>27.5</v>
      </c>
      <c r="M23" s="43">
        <f>'Ozone-Energy'!L16</f>
        <v>0</v>
      </c>
      <c r="N23" s="179">
        <f>'Ozone-Energy'!M16</f>
        <v>0</v>
      </c>
      <c r="O23" s="43">
        <f>'Ozone-Energy'!N16</f>
        <v>1200</v>
      </c>
      <c r="P23" s="180">
        <f t="shared" si="4"/>
        <v>4.32</v>
      </c>
      <c r="Q23" s="181">
        <f t="shared" si="2"/>
        <v>5.3068571428571429</v>
      </c>
      <c r="R23" s="43">
        <f>'Ozone-Energy'!Q16</f>
        <v>0</v>
      </c>
      <c r="S23" s="43">
        <f>'Ozone-Energy'!R16</f>
        <v>0</v>
      </c>
      <c r="T23" s="43">
        <f>'Ozone-Energy'!S16</f>
        <v>0</v>
      </c>
      <c r="U23" s="43"/>
      <c r="V23" s="43"/>
      <c r="W23">
        <f>'Ozone-Energy'!V16</f>
        <v>0</v>
      </c>
      <c r="X23">
        <f>'Ozone-Energy'!W16</f>
        <v>0</v>
      </c>
      <c r="Y23">
        <f>'Ozone-Energy'!X16</f>
        <v>0</v>
      </c>
      <c r="Z23">
        <f>'Ozone-Energy'!Y16</f>
        <v>0</v>
      </c>
      <c r="AA23" s="43"/>
    </row>
    <row r="24" spans="1:27" ht="24.6" customHeight="1">
      <c r="C24">
        <v>7</v>
      </c>
      <c r="D24" s="359">
        <v>20.399999999999999</v>
      </c>
      <c r="E24" s="211">
        <f t="shared" si="0"/>
        <v>22.439999999999998</v>
      </c>
      <c r="F24" s="211">
        <f>'Studio Rain System'!L29</f>
        <v>20</v>
      </c>
      <c r="G24" s="211">
        <f>'Studio Rain System'!M29</f>
        <v>0</v>
      </c>
      <c r="H24" s="206">
        <f>'Flow Rate'!$W$27</f>
        <v>464206.53322409093</v>
      </c>
      <c r="I24" s="178">
        <f>'Ozone-Energy'!H17</f>
        <v>4026377.1428571423</v>
      </c>
      <c r="J24" s="128">
        <f t="shared" si="3"/>
        <v>4.0263771428571422</v>
      </c>
      <c r="K24" s="193">
        <f>'Ozone-Energy'!J17</f>
        <v>112199.99999999997</v>
      </c>
      <c r="L24" s="43">
        <f t="shared" si="1"/>
        <v>112.19999999999997</v>
      </c>
      <c r="M24" s="43">
        <f>'Ozone-Energy'!L17</f>
        <v>0</v>
      </c>
      <c r="N24" s="179">
        <f>'Ozone-Energy'!M17</f>
        <v>0</v>
      </c>
      <c r="O24" s="43">
        <f>'Ozone-Energy'!N17</f>
        <v>1200</v>
      </c>
      <c r="P24" s="180">
        <f t="shared" si="4"/>
        <v>4.32</v>
      </c>
      <c r="Q24" s="181">
        <f t="shared" si="2"/>
        <v>8.3463771428571434</v>
      </c>
      <c r="R24" s="43">
        <f>'Ozone-Energy'!Q17</f>
        <v>0</v>
      </c>
      <c r="S24" s="43">
        <f>'Ozone-Energy'!R17</f>
        <v>0</v>
      </c>
      <c r="T24" s="43">
        <f>'Ozone-Energy'!S17</f>
        <v>0</v>
      </c>
      <c r="U24" s="43"/>
      <c r="V24" s="43"/>
      <c r="W24">
        <f>'Ozone-Energy'!V17</f>
        <v>0</v>
      </c>
      <c r="X24">
        <f>'Ozone-Energy'!W17</f>
        <v>0</v>
      </c>
      <c r="Y24">
        <f>'Ozone-Energy'!X17</f>
        <v>0</v>
      </c>
      <c r="Z24">
        <f>'Ozone-Energy'!Y17</f>
        <v>0</v>
      </c>
      <c r="AA24" s="43"/>
    </row>
    <row r="25" spans="1:27" ht="29.1" customHeight="1">
      <c r="C25">
        <v>8</v>
      </c>
      <c r="D25" s="359">
        <v>24.8</v>
      </c>
      <c r="E25" s="211">
        <f t="shared" si="0"/>
        <v>27.279999999999998</v>
      </c>
      <c r="F25" s="211">
        <f>'Studio Rain System'!L30</f>
        <v>20</v>
      </c>
      <c r="G25" s="211">
        <f>'Studio Rain System'!M30</f>
        <v>0</v>
      </c>
      <c r="H25" s="206">
        <f>'Flow Rate'!$W$27</f>
        <v>464206.53322409093</v>
      </c>
      <c r="I25" s="178">
        <f>'Ozone-Energy'!H18</f>
        <v>4894811.4285714282</v>
      </c>
      <c r="J25" s="128">
        <f t="shared" si="3"/>
        <v>4.8948114285714279</v>
      </c>
      <c r="K25" s="193">
        <f>'Ozone-Energy'!J18</f>
        <v>136399.99999999997</v>
      </c>
      <c r="L25" s="43">
        <f t="shared" si="1"/>
        <v>136.39999999999998</v>
      </c>
      <c r="M25" s="43">
        <f>'Ozone-Energy'!L18</f>
        <v>0</v>
      </c>
      <c r="N25" s="179">
        <f>'Ozone-Energy'!M18</f>
        <v>0</v>
      </c>
      <c r="O25" s="43">
        <f>'Ozone-Energy'!N18</f>
        <v>1200</v>
      </c>
      <c r="P25" s="180">
        <f t="shared" si="4"/>
        <v>4.32</v>
      </c>
      <c r="Q25" s="181">
        <f t="shared" si="2"/>
        <v>9.2148114285714282</v>
      </c>
      <c r="R25" s="43">
        <f>'Ozone-Energy'!Q18</f>
        <v>0</v>
      </c>
      <c r="S25" s="43">
        <f>'Ozone-Energy'!R18</f>
        <v>0</v>
      </c>
      <c r="T25" s="43">
        <f>'Ozone-Energy'!S18</f>
        <v>0</v>
      </c>
      <c r="U25" s="43"/>
      <c r="V25" s="43"/>
      <c r="W25">
        <f>'Ozone-Energy'!V18</f>
        <v>0</v>
      </c>
      <c r="X25">
        <f>'Ozone-Energy'!W18</f>
        <v>0</v>
      </c>
      <c r="Y25">
        <f>'Ozone-Energy'!X18</f>
        <v>0</v>
      </c>
      <c r="Z25">
        <f>'Ozone-Energy'!Y18</f>
        <v>0</v>
      </c>
      <c r="AA25" s="43"/>
    </row>
    <row r="26" spans="1:27" ht="30" customHeight="1">
      <c r="C26">
        <v>9</v>
      </c>
      <c r="D26" s="359">
        <v>34</v>
      </c>
      <c r="E26" s="211">
        <f t="shared" si="0"/>
        <v>37.400000000000006</v>
      </c>
      <c r="F26" s="211">
        <f>'Studio Rain System'!L31</f>
        <v>20</v>
      </c>
      <c r="G26" s="211">
        <f>'Studio Rain System'!M31</f>
        <v>0</v>
      </c>
      <c r="H26" s="206">
        <f>'Flow Rate'!$W$27</f>
        <v>464206.53322409093</v>
      </c>
      <c r="I26" s="178">
        <f>'Ozone-Energy'!H19</f>
        <v>6710628.5714285728</v>
      </c>
      <c r="J26" s="128">
        <f t="shared" si="3"/>
        <v>6.7106285714285727</v>
      </c>
      <c r="K26" s="193">
        <f>'Ozone-Energy'!J19</f>
        <v>187000.00000000006</v>
      </c>
      <c r="L26" s="43">
        <f t="shared" si="1"/>
        <v>187.00000000000006</v>
      </c>
      <c r="M26" s="43">
        <f>'Ozone-Energy'!L19</f>
        <v>0</v>
      </c>
      <c r="N26" s="179">
        <f>'Ozone-Energy'!M19</f>
        <v>0</v>
      </c>
      <c r="O26" s="43">
        <f>'Ozone-Energy'!N19</f>
        <v>1200</v>
      </c>
      <c r="P26" s="180">
        <f t="shared" si="4"/>
        <v>4.32</v>
      </c>
      <c r="Q26" s="181">
        <f t="shared" si="2"/>
        <v>11.030628571428572</v>
      </c>
      <c r="R26" s="43">
        <f>'Ozone-Energy'!Q19</f>
        <v>0</v>
      </c>
      <c r="S26" s="43">
        <f>'Ozone-Energy'!R19</f>
        <v>0</v>
      </c>
      <c r="T26" s="43">
        <f>'Ozone-Energy'!S19</f>
        <v>0</v>
      </c>
      <c r="U26" s="43"/>
      <c r="V26" s="43"/>
      <c r="W26">
        <f>'Ozone-Energy'!V19</f>
        <v>0</v>
      </c>
      <c r="X26">
        <f>'Ozone-Energy'!W19</f>
        <v>0</v>
      </c>
      <c r="Y26">
        <f>'Ozone-Energy'!X19</f>
        <v>0</v>
      </c>
      <c r="Z26">
        <f>'Ozone-Energy'!Y19</f>
        <v>0</v>
      </c>
      <c r="AA26" s="43"/>
    </row>
    <row r="27" spans="1:27" ht="15">
      <c r="C27">
        <v>10</v>
      </c>
      <c r="D27" s="359">
        <v>44.6</v>
      </c>
      <c r="E27" s="211">
        <f t="shared" si="0"/>
        <v>49.06</v>
      </c>
      <c r="F27" s="211">
        <f>'Studio Rain System'!L32</f>
        <v>20</v>
      </c>
      <c r="G27" s="211">
        <f>'Studio Rain System'!M32</f>
        <v>0</v>
      </c>
      <c r="H27" s="206">
        <f>'Flow Rate'!$W$27</f>
        <v>464206.53322409093</v>
      </c>
      <c r="I27" s="178">
        <f>'Ozone-Energy'!H20</f>
        <v>8802765.7142857146</v>
      </c>
      <c r="J27" s="128">
        <f t="shared" si="3"/>
        <v>8.8027657142857141</v>
      </c>
      <c r="K27" s="193">
        <f>'Ozone-Energy'!J20</f>
        <v>245300</v>
      </c>
      <c r="L27" s="43">
        <f t="shared" si="1"/>
        <v>245.3</v>
      </c>
      <c r="M27" s="43">
        <f>'Ozone-Energy'!L20</f>
        <v>0</v>
      </c>
      <c r="N27" s="179">
        <f>'Ozone-Energy'!M20</f>
        <v>0</v>
      </c>
      <c r="O27" s="43">
        <f>'Ozone-Energy'!N20</f>
        <v>1200</v>
      </c>
      <c r="P27" s="180">
        <f t="shared" si="4"/>
        <v>4.32</v>
      </c>
      <c r="Q27" s="181">
        <f t="shared" si="2"/>
        <v>13.122765714285714</v>
      </c>
      <c r="R27" s="43">
        <f>'Ozone-Energy'!Q20</f>
        <v>0</v>
      </c>
      <c r="S27" s="43">
        <f>'Ozone-Energy'!R20</f>
        <v>0</v>
      </c>
      <c r="T27" s="43">
        <f>'Ozone-Energy'!S20</f>
        <v>0</v>
      </c>
      <c r="U27" s="43"/>
      <c r="V27" s="43"/>
      <c r="W27">
        <f>'Ozone-Energy'!V20</f>
        <v>0</v>
      </c>
      <c r="X27">
        <f>'Ozone-Energy'!W20</f>
        <v>0</v>
      </c>
      <c r="Y27">
        <f>'Ozone-Energy'!X20</f>
        <v>0</v>
      </c>
      <c r="Z27">
        <f>'Ozone-Energy'!Y20</f>
        <v>0</v>
      </c>
      <c r="AA27" s="43"/>
    </row>
    <row r="28" spans="1:27" ht="15">
      <c r="C28">
        <v>11</v>
      </c>
      <c r="D28" s="359">
        <v>14.4</v>
      </c>
      <c r="E28" s="211">
        <f t="shared" si="0"/>
        <v>15.84</v>
      </c>
      <c r="F28" s="211">
        <f>'Studio Rain System'!L33</f>
        <v>20</v>
      </c>
      <c r="G28" s="211">
        <f>'Studio Rain System'!M33</f>
        <v>0</v>
      </c>
      <c r="H28" s="206">
        <f>'Flow Rate'!$W$27</f>
        <v>464206.53322409093</v>
      </c>
      <c r="I28" s="178">
        <f>'Ozone-Energy'!H21</f>
        <v>2842148.5714285718</v>
      </c>
      <c r="J28" s="128">
        <f t="shared" si="3"/>
        <v>2.8421485714285719</v>
      </c>
      <c r="K28" s="193">
        <f>'Ozone-Energy'!J21</f>
        <v>79200</v>
      </c>
      <c r="L28" s="43">
        <f t="shared" si="1"/>
        <v>79.2</v>
      </c>
      <c r="M28" s="43">
        <f>'Ozone-Energy'!L21</f>
        <v>0</v>
      </c>
      <c r="N28" s="179">
        <f>'Ozone-Energy'!M21</f>
        <v>0</v>
      </c>
      <c r="O28" s="43">
        <f>'Ozone-Energy'!N21</f>
        <v>1200</v>
      </c>
      <c r="P28" s="180">
        <f xml:space="preserve"> O28 * 3600 / 1000000</f>
        <v>4.32</v>
      </c>
      <c r="Q28" s="181">
        <f t="shared" si="2"/>
        <v>7.1621485714285722</v>
      </c>
      <c r="R28" s="43">
        <f>'Ozone-Energy'!Q21</f>
        <v>0</v>
      </c>
      <c r="S28" s="43">
        <f>'Ozone-Energy'!R21</f>
        <v>0</v>
      </c>
      <c r="T28" s="43">
        <f>'Ozone-Energy'!S21</f>
        <v>0</v>
      </c>
      <c r="U28" s="43"/>
      <c r="V28" s="43"/>
      <c r="W28">
        <f>'Ozone-Energy'!V21</f>
        <v>0</v>
      </c>
      <c r="X28">
        <f>'Ozone-Energy'!W21</f>
        <v>0</v>
      </c>
      <c r="Y28">
        <f>'Ozone-Energy'!X21</f>
        <v>0</v>
      </c>
      <c r="Z28">
        <f>'Ozone-Energy'!Y21</f>
        <v>0</v>
      </c>
      <c r="AA28" s="43"/>
    </row>
    <row r="29" spans="1:27" ht="15">
      <c r="C29">
        <v>12</v>
      </c>
      <c r="D29" s="359">
        <v>50.2</v>
      </c>
      <c r="E29" s="211">
        <f t="shared" si="0"/>
        <v>55.22</v>
      </c>
      <c r="F29" s="211">
        <f>'Studio Rain System'!L34</f>
        <v>20</v>
      </c>
      <c r="G29" s="211">
        <f>'Studio Rain System'!M34</f>
        <v>0</v>
      </c>
      <c r="H29" s="206">
        <f>'Flow Rate'!$W$27</f>
        <v>464206.53322409093</v>
      </c>
      <c r="I29" s="178">
        <f>'Ozone-Energy'!H22</f>
        <v>9908045.7142857146</v>
      </c>
      <c r="J29" s="128">
        <f t="shared" si="3"/>
        <v>9.9080457142857146</v>
      </c>
      <c r="K29" s="193">
        <f>'Ozone-Energy'!J22</f>
        <v>276100</v>
      </c>
      <c r="L29" s="43">
        <f t="shared" si="1"/>
        <v>276.10000000000002</v>
      </c>
      <c r="M29" s="43">
        <f>'Ozone-Energy'!L22</f>
        <v>0</v>
      </c>
      <c r="N29" s="179">
        <f>'Ozone-Energy'!M22</f>
        <v>0</v>
      </c>
      <c r="O29" s="43">
        <f>'Ozone-Energy'!N22</f>
        <v>1200</v>
      </c>
      <c r="P29" s="180">
        <f t="shared" ref="P29:P37" si="5">O29 * 3600 / 1000000</f>
        <v>4.32</v>
      </c>
      <c r="Q29" s="181">
        <f t="shared" si="2"/>
        <v>14.228045714285715</v>
      </c>
      <c r="R29" s="43">
        <f>'Ozone-Energy'!Q22</f>
        <v>0</v>
      </c>
      <c r="S29" s="43">
        <f>'Ozone-Energy'!R22</f>
        <v>0</v>
      </c>
      <c r="T29" s="43">
        <f>'Ozone-Energy'!S22</f>
        <v>0</v>
      </c>
      <c r="U29" s="43"/>
      <c r="V29" s="43"/>
      <c r="W29">
        <f>'Ozone-Energy'!V22</f>
        <v>0</v>
      </c>
      <c r="X29">
        <f>'Ozone-Energy'!W22</f>
        <v>0</v>
      </c>
      <c r="Y29">
        <f>'Ozone-Energy'!X22</f>
        <v>0</v>
      </c>
      <c r="Z29">
        <f>'Ozone-Energy'!Y22</f>
        <v>0</v>
      </c>
      <c r="AA29" s="43"/>
    </row>
    <row r="30" spans="1:27" ht="15">
      <c r="C30">
        <v>13</v>
      </c>
      <c r="D30" s="359">
        <v>9.6</v>
      </c>
      <c r="E30" s="211">
        <f t="shared" si="0"/>
        <v>10.559999999999999</v>
      </c>
      <c r="F30" s="211">
        <f>'Studio Rain System'!L35</f>
        <v>20</v>
      </c>
      <c r="G30" s="211">
        <f>'Studio Rain System'!M35</f>
        <v>0</v>
      </c>
      <c r="H30" s="206">
        <f>'Flow Rate'!$W$27</f>
        <v>464206.53322409093</v>
      </c>
      <c r="I30" s="178">
        <f>'Ozone-Energy'!H23</f>
        <v>1894765.7142857141</v>
      </c>
      <c r="J30" s="128">
        <f t="shared" si="3"/>
        <v>1.8947657142857139</v>
      </c>
      <c r="K30" s="193">
        <f>'Ozone-Energy'!J23</f>
        <v>52799.999999999985</v>
      </c>
      <c r="L30" s="43">
        <f t="shared" si="1"/>
        <v>52.799999999999983</v>
      </c>
      <c r="M30" s="43">
        <f>'Ozone-Energy'!L23</f>
        <v>0</v>
      </c>
      <c r="N30" s="179">
        <f>'Ozone-Energy'!M23</f>
        <v>0</v>
      </c>
      <c r="O30" s="43">
        <f>'Ozone-Energy'!N23</f>
        <v>1200</v>
      </c>
      <c r="P30" s="180">
        <f t="shared" si="5"/>
        <v>4.32</v>
      </c>
      <c r="Q30" s="181">
        <f t="shared" si="2"/>
        <v>6.214765714285714</v>
      </c>
      <c r="R30" s="43">
        <f>'Ozone-Energy'!Q23</f>
        <v>0</v>
      </c>
      <c r="S30" s="43">
        <f>'Ozone-Energy'!R23</f>
        <v>0</v>
      </c>
      <c r="T30" s="43">
        <f>'Ozone-Energy'!S23</f>
        <v>0</v>
      </c>
      <c r="U30" s="43"/>
      <c r="V30" s="43"/>
      <c r="W30">
        <f>'Ozone-Energy'!V23</f>
        <v>0</v>
      </c>
      <c r="X30">
        <f>'Ozone-Energy'!W23</f>
        <v>0</v>
      </c>
      <c r="Y30">
        <f>'Ozone-Energy'!X23</f>
        <v>0</v>
      </c>
      <c r="Z30">
        <f>'Ozone-Energy'!Y23</f>
        <v>0</v>
      </c>
      <c r="AA30" s="43"/>
    </row>
    <row r="31" spans="1:27" ht="15">
      <c r="C31">
        <v>14</v>
      </c>
      <c r="D31" s="359">
        <v>5.8</v>
      </c>
      <c r="E31" s="211">
        <f t="shared" si="0"/>
        <v>6.38</v>
      </c>
      <c r="F31" s="211">
        <f>'Studio Rain System'!L36</f>
        <v>20</v>
      </c>
      <c r="G31" s="211">
        <f>'Studio Rain System'!M36</f>
        <v>0</v>
      </c>
      <c r="H31" s="206">
        <f>'Flow Rate'!$W$27</f>
        <v>464206.53322409093</v>
      </c>
      <c r="I31" s="178">
        <f>'Ozone-Energy'!H24</f>
        <v>1144754.2857142857</v>
      </c>
      <c r="J31" s="128">
        <f t="shared" si="3"/>
        <v>1.1447542857142856</v>
      </c>
      <c r="K31" s="193">
        <f>'Ozone-Energy'!J24</f>
        <v>31900</v>
      </c>
      <c r="L31" s="43">
        <f t="shared" si="1"/>
        <v>31.9</v>
      </c>
      <c r="M31" s="43">
        <f>'Ozone-Energy'!L24</f>
        <v>0</v>
      </c>
      <c r="N31" s="179">
        <f>'Ozone-Energy'!M24</f>
        <v>0</v>
      </c>
      <c r="O31" s="43">
        <f>'Ozone-Energy'!N24</f>
        <v>1200</v>
      </c>
      <c r="P31" s="180">
        <f t="shared" si="5"/>
        <v>4.32</v>
      </c>
      <c r="Q31" s="181">
        <f t="shared" si="2"/>
        <v>5.4647542857142861</v>
      </c>
      <c r="R31" s="43">
        <f>'Ozone-Energy'!Q24</f>
        <v>0</v>
      </c>
      <c r="S31" s="43">
        <f>'Ozone-Energy'!R24</f>
        <v>0</v>
      </c>
      <c r="T31" s="43">
        <f>'Ozone-Energy'!S24</f>
        <v>0</v>
      </c>
      <c r="U31" s="43"/>
      <c r="V31" s="43"/>
      <c r="W31">
        <f>'Ozone-Energy'!V24</f>
        <v>0</v>
      </c>
      <c r="X31">
        <f>'Ozone-Energy'!W24</f>
        <v>0</v>
      </c>
      <c r="Y31">
        <f>'Ozone-Energy'!X24</f>
        <v>0</v>
      </c>
      <c r="Z31">
        <f>'Ozone-Energy'!Y24</f>
        <v>0</v>
      </c>
      <c r="AA31" s="43"/>
    </row>
    <row r="32" spans="1:27" ht="15">
      <c r="C32">
        <v>15</v>
      </c>
      <c r="D32" s="359">
        <v>1.6</v>
      </c>
      <c r="E32" s="211">
        <f t="shared" si="0"/>
        <v>1.76</v>
      </c>
      <c r="F32" s="211">
        <f>'Studio Rain System'!L37</f>
        <v>20</v>
      </c>
      <c r="G32" s="211">
        <f>'Studio Rain System'!M37</f>
        <v>0</v>
      </c>
      <c r="H32" s="206">
        <f>'Flow Rate'!$W$27</f>
        <v>464206.53322409093</v>
      </c>
      <c r="I32" s="178">
        <f>'Ozone-Energy'!H25</f>
        <v>315794.28571428574</v>
      </c>
      <c r="J32" s="128">
        <f t="shared" si="3"/>
        <v>0.31579428571428575</v>
      </c>
      <c r="K32" s="193">
        <f>'Ozone-Energy'!J25</f>
        <v>8800</v>
      </c>
      <c r="L32" s="43">
        <f t="shared" si="1"/>
        <v>8.8000000000000007</v>
      </c>
      <c r="M32" s="43">
        <f>'Ozone-Energy'!L25</f>
        <v>0</v>
      </c>
      <c r="N32" s="179">
        <f>'Ozone-Energy'!M25</f>
        <v>0</v>
      </c>
      <c r="O32" s="43">
        <f>'Ozone-Energy'!N25</f>
        <v>1200</v>
      </c>
      <c r="P32" s="180">
        <f t="shared" si="5"/>
        <v>4.32</v>
      </c>
      <c r="Q32" s="181">
        <f t="shared" si="2"/>
        <v>4.6357942857142858</v>
      </c>
      <c r="R32" s="43">
        <f>'Ozone-Energy'!Q25</f>
        <v>0</v>
      </c>
      <c r="S32" s="43">
        <f>'Ozone-Energy'!R25</f>
        <v>0</v>
      </c>
      <c r="T32" s="43">
        <f>'Ozone-Energy'!S25</f>
        <v>0</v>
      </c>
      <c r="U32" s="43"/>
      <c r="V32" s="43"/>
      <c r="W32">
        <f>'Ozone-Energy'!V25</f>
        <v>0</v>
      </c>
      <c r="X32">
        <f>'Ozone-Energy'!W25</f>
        <v>0</v>
      </c>
      <c r="Y32">
        <f>'Ozone-Energy'!X25</f>
        <v>0</v>
      </c>
      <c r="Z32">
        <f>'Ozone-Energy'!Y25</f>
        <v>0</v>
      </c>
      <c r="AA32" s="43"/>
    </row>
    <row r="33" spans="3:27" ht="15">
      <c r="C33">
        <v>16</v>
      </c>
      <c r="D33" s="359">
        <v>0.8</v>
      </c>
      <c r="E33" s="211">
        <f t="shared" si="0"/>
        <v>0.88</v>
      </c>
      <c r="F33" s="211">
        <f>'Studio Rain System'!L38</f>
        <v>20</v>
      </c>
      <c r="G33" s="211">
        <f>'Studio Rain System'!M38</f>
        <v>0</v>
      </c>
      <c r="H33" s="206">
        <f>'Flow Rate'!$W$27</f>
        <v>464206.53322409093</v>
      </c>
      <c r="I33" s="178">
        <f>'Ozone-Energy'!H26</f>
        <v>157897.14285714287</v>
      </c>
      <c r="J33" s="128">
        <f t="shared" si="3"/>
        <v>0.15789714285714287</v>
      </c>
      <c r="K33" s="193">
        <f>'Ozone-Energy'!J26</f>
        <v>4400</v>
      </c>
      <c r="L33" s="43">
        <f t="shared" si="1"/>
        <v>4.4000000000000004</v>
      </c>
      <c r="M33" s="43">
        <f>'Ozone-Energy'!L26</f>
        <v>0</v>
      </c>
      <c r="N33" s="179">
        <f>'Ozone-Energy'!M26</f>
        <v>0</v>
      </c>
      <c r="O33" s="43">
        <f>'Ozone-Energy'!N26</f>
        <v>1200</v>
      </c>
      <c r="P33" s="180">
        <f t="shared" si="5"/>
        <v>4.32</v>
      </c>
      <c r="Q33" s="181">
        <f t="shared" si="2"/>
        <v>4.4778971428571435</v>
      </c>
      <c r="R33" s="43">
        <f>'Ozone-Energy'!Q26</f>
        <v>0</v>
      </c>
      <c r="S33" s="43">
        <f>'Ozone-Energy'!R26</f>
        <v>0</v>
      </c>
      <c r="T33" s="43">
        <f>'Ozone-Energy'!S26</f>
        <v>0</v>
      </c>
      <c r="U33" s="43"/>
      <c r="V33" s="43"/>
      <c r="W33">
        <f>'Ozone-Energy'!V26</f>
        <v>0</v>
      </c>
      <c r="X33">
        <f>'Ozone-Energy'!W26</f>
        <v>0</v>
      </c>
      <c r="Y33">
        <f>'Ozone-Energy'!X26</f>
        <v>0</v>
      </c>
      <c r="Z33">
        <f>'Ozone-Energy'!Y26</f>
        <v>0</v>
      </c>
      <c r="AA33" s="43"/>
    </row>
    <row r="34" spans="3:27" ht="15">
      <c r="C34">
        <v>17</v>
      </c>
      <c r="D34" s="359">
        <v>0</v>
      </c>
      <c r="E34" s="211">
        <f t="shared" si="0"/>
        <v>0</v>
      </c>
      <c r="F34" s="211">
        <f>'Studio Rain System'!L39</f>
        <v>20</v>
      </c>
      <c r="G34" s="211">
        <f>'Studio Rain System'!M39</f>
        <v>0</v>
      </c>
      <c r="H34" s="206">
        <f>'Flow Rate'!$W$27</f>
        <v>464206.53322409093</v>
      </c>
      <c r="I34" s="178">
        <f>'Ozone-Energy'!H27</f>
        <v>0</v>
      </c>
      <c r="J34" s="128">
        <f t="shared" si="3"/>
        <v>0</v>
      </c>
      <c r="K34" s="193">
        <f>'Ozone-Energy'!J27</f>
        <v>0</v>
      </c>
      <c r="L34" s="43">
        <f t="shared" si="1"/>
        <v>0</v>
      </c>
      <c r="M34" s="43">
        <f>'Ozone-Energy'!L27</f>
        <v>0</v>
      </c>
      <c r="N34" s="179">
        <f>'Ozone-Energy'!M27</f>
        <v>0</v>
      </c>
      <c r="O34" s="43">
        <f>'Ozone-Energy'!N27</f>
        <v>1200</v>
      </c>
      <c r="P34" s="180">
        <f t="shared" si="5"/>
        <v>4.32</v>
      </c>
      <c r="Q34" s="181">
        <f t="shared" si="2"/>
        <v>4.32</v>
      </c>
      <c r="R34" s="43">
        <f>'Ozone-Energy'!Q27</f>
        <v>0</v>
      </c>
      <c r="S34" s="43">
        <f>'Ozone-Energy'!R27</f>
        <v>0</v>
      </c>
      <c r="T34" s="43">
        <f>'Ozone-Energy'!S27</f>
        <v>0</v>
      </c>
      <c r="U34" s="43"/>
      <c r="V34" s="43"/>
      <c r="W34">
        <f>'Ozone-Energy'!V27</f>
        <v>0</v>
      </c>
      <c r="X34">
        <f>'Ozone-Energy'!W27</f>
        <v>0</v>
      </c>
      <c r="Y34">
        <f>'Ozone-Energy'!X27</f>
        <v>0</v>
      </c>
      <c r="Z34">
        <f>'Ozone-Energy'!Y27</f>
        <v>0</v>
      </c>
      <c r="AA34" s="43"/>
    </row>
    <row r="35" spans="3:27" ht="15">
      <c r="C35">
        <v>18</v>
      </c>
      <c r="D35" s="359">
        <v>2.6</v>
      </c>
      <c r="E35" s="211">
        <f t="shared" si="0"/>
        <v>2.86</v>
      </c>
      <c r="F35" s="211">
        <f>'Studio Rain System'!L40</f>
        <v>20</v>
      </c>
      <c r="G35" s="211">
        <f>'Studio Rain System'!M40</f>
        <v>0</v>
      </c>
      <c r="H35" s="206">
        <f>'Flow Rate'!$W$27</f>
        <v>464206.53322409093</v>
      </c>
      <c r="I35" s="178">
        <f>'Ozone-Energy'!H28</f>
        <v>513165.71428571432</v>
      </c>
      <c r="J35" s="128">
        <f t="shared" si="3"/>
        <v>0.51316571428571434</v>
      </c>
      <c r="K35" s="193">
        <f>'Ozone-Energy'!J28</f>
        <v>14300</v>
      </c>
      <c r="L35" s="43">
        <f t="shared" si="1"/>
        <v>14.3</v>
      </c>
      <c r="M35" s="43">
        <f>'Ozone-Energy'!L28</f>
        <v>0</v>
      </c>
      <c r="N35" s="179">
        <f>'Ozone-Energy'!M28</f>
        <v>0</v>
      </c>
      <c r="O35" s="43">
        <f>'Ozone-Energy'!N28</f>
        <v>1200</v>
      </c>
      <c r="P35" s="180">
        <f t="shared" si="5"/>
        <v>4.32</v>
      </c>
      <c r="Q35" s="181">
        <f t="shared" si="2"/>
        <v>4.8331657142857143</v>
      </c>
      <c r="R35" s="43">
        <f>'Ozone-Energy'!Q28</f>
        <v>0</v>
      </c>
      <c r="S35" s="43">
        <f>'Ozone-Energy'!R28</f>
        <v>0</v>
      </c>
      <c r="T35" s="43">
        <f>'Ozone-Energy'!S28</f>
        <v>0</v>
      </c>
      <c r="U35" s="43"/>
      <c r="V35" s="43"/>
      <c r="W35">
        <f>'Ozone-Energy'!V28</f>
        <v>0</v>
      </c>
      <c r="X35">
        <f>'Ozone-Energy'!W28</f>
        <v>0</v>
      </c>
      <c r="Y35">
        <f>'Ozone-Energy'!X28</f>
        <v>0</v>
      </c>
      <c r="Z35">
        <f>'Ozone-Energy'!Y28</f>
        <v>0</v>
      </c>
      <c r="AA35" s="43"/>
    </row>
    <row r="36" spans="3:27" ht="15">
      <c r="C36">
        <v>19</v>
      </c>
      <c r="D36" s="359">
        <v>1</v>
      </c>
      <c r="E36" s="211">
        <f t="shared" si="0"/>
        <v>1.1000000000000001</v>
      </c>
      <c r="F36" s="211">
        <f>'Studio Rain System'!L41</f>
        <v>20</v>
      </c>
      <c r="G36" s="211">
        <f>'Studio Rain System'!M41</f>
        <v>0</v>
      </c>
      <c r="H36" s="206">
        <f>'Flow Rate'!$W$27</f>
        <v>464206.53322409093</v>
      </c>
      <c r="I36" s="178">
        <f>'Ozone-Energy'!H29</f>
        <v>197371.42857142858</v>
      </c>
      <c r="J36" s="128">
        <f t="shared" si="3"/>
        <v>0.19737142857142856</v>
      </c>
      <c r="K36" s="193">
        <f>'Ozone-Energy'!J29</f>
        <v>5500</v>
      </c>
      <c r="L36" s="43">
        <f t="shared" si="1"/>
        <v>5.5</v>
      </c>
      <c r="M36" s="43">
        <f>'Ozone-Energy'!L29</f>
        <v>0</v>
      </c>
      <c r="N36" s="179">
        <f>'Ozone-Energy'!M29</f>
        <v>0</v>
      </c>
      <c r="O36" s="43">
        <f>'Ozone-Energy'!N29</f>
        <v>1200</v>
      </c>
      <c r="P36" s="180">
        <f t="shared" si="5"/>
        <v>4.32</v>
      </c>
      <c r="Q36" s="181">
        <f t="shared" si="2"/>
        <v>4.5173714285714288</v>
      </c>
      <c r="R36" s="43">
        <f>'Ozone-Energy'!Q29</f>
        <v>0</v>
      </c>
      <c r="S36" s="43">
        <f>'Ozone-Energy'!R29</f>
        <v>0</v>
      </c>
      <c r="T36" s="43">
        <f>'Ozone-Energy'!S29</f>
        <v>0</v>
      </c>
      <c r="U36" s="43"/>
      <c r="V36" s="43"/>
      <c r="W36">
        <f>'Ozone-Energy'!V29</f>
        <v>0</v>
      </c>
      <c r="X36">
        <f>'Ozone-Energy'!W29</f>
        <v>0</v>
      </c>
      <c r="Y36">
        <f>'Ozone-Energy'!X29</f>
        <v>0</v>
      </c>
      <c r="Z36">
        <f>'Ozone-Energy'!Y29</f>
        <v>0</v>
      </c>
      <c r="AA36" s="43"/>
    </row>
    <row r="37" spans="3:27" ht="15">
      <c r="C37">
        <v>20</v>
      </c>
      <c r="D37" s="359">
        <v>0.6</v>
      </c>
      <c r="E37" s="211">
        <f t="shared" si="0"/>
        <v>0.65999999999999992</v>
      </c>
      <c r="F37" s="211">
        <f>'Studio Rain System'!L42</f>
        <v>20</v>
      </c>
      <c r="G37" s="211">
        <f>'Studio Rain System'!M42</f>
        <v>0</v>
      </c>
      <c r="H37" s="206">
        <f>'Flow Rate'!$W$27</f>
        <v>464206.53322409093</v>
      </c>
      <c r="I37" s="178">
        <f>'Ozone-Energy'!H30</f>
        <v>118422.85714285713</v>
      </c>
      <c r="J37" s="128">
        <f t="shared" si="3"/>
        <v>0.11842285714285712</v>
      </c>
      <c r="K37" s="193">
        <f>'Ozone-Energy'!J30</f>
        <v>3299.9999999999991</v>
      </c>
      <c r="L37" s="43">
        <f t="shared" si="1"/>
        <v>3.2999999999999989</v>
      </c>
      <c r="M37" s="43">
        <f>'Ozone-Energy'!L30</f>
        <v>0</v>
      </c>
      <c r="N37" s="179">
        <f>'Ozone-Energy'!M30</f>
        <v>0</v>
      </c>
      <c r="O37" s="43">
        <f>'Ozone-Energy'!N30</f>
        <v>1200</v>
      </c>
      <c r="P37" s="180">
        <f t="shared" si="5"/>
        <v>4.32</v>
      </c>
      <c r="Q37" s="181">
        <f t="shared" si="2"/>
        <v>4.4384228571428572</v>
      </c>
      <c r="R37" s="43">
        <f>'Ozone-Energy'!Q30</f>
        <v>0</v>
      </c>
      <c r="S37" s="43">
        <f>'Ozone-Energy'!R30</f>
        <v>0</v>
      </c>
      <c r="T37" s="43">
        <f>'Ozone-Energy'!S30</f>
        <v>0</v>
      </c>
      <c r="U37" s="43"/>
      <c r="V37" s="43"/>
      <c r="W37">
        <f>'Ozone-Energy'!V30</f>
        <v>0</v>
      </c>
      <c r="X37">
        <f>'Ozone-Energy'!W30</f>
        <v>0</v>
      </c>
      <c r="Y37">
        <f>'Ozone-Energy'!X30</f>
        <v>0</v>
      </c>
      <c r="Z37">
        <f>'Ozone-Energy'!Y30</f>
        <v>0</v>
      </c>
      <c r="AA37" s="43"/>
    </row>
    <row r="38" spans="3:27" ht="14.45" customHeight="1">
      <c r="C38">
        <v>21</v>
      </c>
      <c r="D38" s="359">
        <v>0.8</v>
      </c>
      <c r="E38" s="211">
        <f t="shared" si="0"/>
        <v>0.88</v>
      </c>
      <c r="F38" s="211">
        <f>'Studio Rain System'!L43</f>
        <v>20</v>
      </c>
      <c r="G38" s="211">
        <f>'Studio Rain System'!M43</f>
        <v>0</v>
      </c>
      <c r="H38" s="206">
        <f>'Flow Rate'!$W$27</f>
        <v>464206.53322409093</v>
      </c>
      <c r="I38" s="178">
        <f>'Ozone-Energy'!H31</f>
        <v>157897.14285714287</v>
      </c>
      <c r="J38" s="128">
        <f t="shared" si="3"/>
        <v>0.15789714285714287</v>
      </c>
      <c r="K38" s="193">
        <f>'Ozone-Energy'!J31</f>
        <v>4400</v>
      </c>
      <c r="L38" s="43">
        <f t="shared" si="1"/>
        <v>4.4000000000000004</v>
      </c>
      <c r="M38" s="43">
        <f>'Ozone-Energy'!L31</f>
        <v>0</v>
      </c>
      <c r="N38" s="179">
        <f>'Ozone-Energy'!M31</f>
        <v>0</v>
      </c>
      <c r="O38" s="43">
        <f>'Ozone-Energy'!N31</f>
        <v>1200</v>
      </c>
      <c r="P38" s="180">
        <f xml:space="preserve"> O38 * 3600 / 1000000</f>
        <v>4.32</v>
      </c>
      <c r="Q38" s="181">
        <f t="shared" si="2"/>
        <v>4.4778971428571435</v>
      </c>
      <c r="R38" s="43">
        <f>'Ozone-Energy'!Q31</f>
        <v>0</v>
      </c>
      <c r="S38" s="43">
        <f>'Ozone-Energy'!R31</f>
        <v>0</v>
      </c>
      <c r="T38" s="43">
        <f>'Ozone-Energy'!S31</f>
        <v>0</v>
      </c>
      <c r="U38" s="43"/>
      <c r="V38" s="43"/>
      <c r="W38">
        <f>'Ozone-Energy'!V31</f>
        <v>0</v>
      </c>
      <c r="X38">
        <f>'Ozone-Energy'!W31</f>
        <v>0</v>
      </c>
      <c r="Y38">
        <f>'Ozone-Energy'!X31</f>
        <v>0</v>
      </c>
      <c r="Z38">
        <f>'Ozone-Energy'!Y31</f>
        <v>0</v>
      </c>
      <c r="AA38" s="43"/>
    </row>
    <row r="39" spans="3:27" ht="15">
      <c r="C39">
        <v>22</v>
      </c>
      <c r="D39" s="359">
        <v>0.6</v>
      </c>
      <c r="E39" s="211">
        <f t="shared" si="0"/>
        <v>0.65999999999999992</v>
      </c>
      <c r="F39" s="211">
        <f>'Studio Rain System'!L44</f>
        <v>20</v>
      </c>
      <c r="G39" s="211">
        <f>'Studio Rain System'!M44</f>
        <v>0</v>
      </c>
      <c r="H39" s="206">
        <f>'Flow Rate'!$W$27</f>
        <v>464206.53322409093</v>
      </c>
      <c r="I39" s="178">
        <f>'Ozone-Energy'!H32</f>
        <v>118422.85714285713</v>
      </c>
      <c r="J39" s="128">
        <f t="shared" si="3"/>
        <v>0.11842285714285712</v>
      </c>
      <c r="K39" s="193">
        <f>'Ozone-Energy'!J32</f>
        <v>3299.9999999999991</v>
      </c>
      <c r="L39" s="43">
        <f t="shared" si="1"/>
        <v>3.2999999999999989</v>
      </c>
      <c r="M39" s="43">
        <f>'Ozone-Energy'!L32</f>
        <v>0</v>
      </c>
      <c r="N39" s="179">
        <f>'Ozone-Energy'!M32</f>
        <v>0</v>
      </c>
      <c r="O39" s="43">
        <f>'Ozone-Energy'!N32</f>
        <v>1200</v>
      </c>
      <c r="P39" s="180">
        <f t="shared" ref="P39:P47" si="6">O39 * 3600 / 1000000</f>
        <v>4.32</v>
      </c>
      <c r="Q39" s="181">
        <f t="shared" si="2"/>
        <v>4.4384228571428572</v>
      </c>
      <c r="R39" s="43">
        <f>'Ozone-Energy'!Q32</f>
        <v>0</v>
      </c>
      <c r="S39" s="43">
        <f>'Ozone-Energy'!R32</f>
        <v>0</v>
      </c>
      <c r="T39" s="43">
        <f>'Ozone-Energy'!S32</f>
        <v>0</v>
      </c>
      <c r="U39" s="43"/>
      <c r="V39" s="43"/>
      <c r="W39">
        <f>'Ozone-Energy'!V32</f>
        <v>0</v>
      </c>
      <c r="X39">
        <f>'Ozone-Energy'!W32</f>
        <v>0</v>
      </c>
      <c r="Y39">
        <f>'Ozone-Energy'!X32</f>
        <v>0</v>
      </c>
      <c r="Z39">
        <f>'Ozone-Energy'!Y32</f>
        <v>0</v>
      </c>
      <c r="AA39" s="43"/>
    </row>
    <row r="40" spans="3:27" ht="15">
      <c r="C40">
        <v>23</v>
      </c>
      <c r="D40" s="359">
        <v>0</v>
      </c>
      <c r="E40" s="211">
        <f t="shared" si="0"/>
        <v>0</v>
      </c>
      <c r="F40" s="211">
        <f>'Studio Rain System'!L45</f>
        <v>20</v>
      </c>
      <c r="G40" s="211">
        <f>'Studio Rain System'!M45</f>
        <v>0</v>
      </c>
      <c r="H40" s="206">
        <f>'Flow Rate'!$W$27</f>
        <v>464206.53322409093</v>
      </c>
      <c r="I40" s="178">
        <f>'Ozone-Energy'!H33</f>
        <v>0</v>
      </c>
      <c r="J40" s="128">
        <f t="shared" si="3"/>
        <v>0</v>
      </c>
      <c r="K40" s="193">
        <f>'Ozone-Energy'!J33</f>
        <v>0</v>
      </c>
      <c r="L40" s="43">
        <f t="shared" si="1"/>
        <v>0</v>
      </c>
      <c r="M40" s="43">
        <f>'Ozone-Energy'!L33</f>
        <v>0</v>
      </c>
      <c r="N40" s="179">
        <f>'Ozone-Energy'!M33</f>
        <v>0</v>
      </c>
      <c r="O40" s="43">
        <f>'Ozone-Energy'!N33</f>
        <v>1200</v>
      </c>
      <c r="P40" s="180">
        <f t="shared" si="6"/>
        <v>4.32</v>
      </c>
      <c r="Q40" s="181">
        <f t="shared" si="2"/>
        <v>4.32</v>
      </c>
      <c r="R40" s="43">
        <f>'Ozone-Energy'!Q33</f>
        <v>0</v>
      </c>
      <c r="S40" s="43">
        <f>'Ozone-Energy'!R33</f>
        <v>0</v>
      </c>
      <c r="T40" s="43">
        <f>'Ozone-Energy'!S33</f>
        <v>0</v>
      </c>
      <c r="U40" s="43"/>
      <c r="V40" s="43"/>
      <c r="W40">
        <f>'Ozone-Energy'!V33</f>
        <v>0</v>
      </c>
      <c r="X40">
        <f>'Ozone-Energy'!W33</f>
        <v>0</v>
      </c>
      <c r="Y40">
        <f>'Ozone-Energy'!X33</f>
        <v>0</v>
      </c>
      <c r="Z40">
        <f>'Ozone-Energy'!Y33</f>
        <v>0</v>
      </c>
      <c r="AA40" s="43"/>
    </row>
    <row r="41" spans="3:27" ht="15">
      <c r="C41">
        <v>24</v>
      </c>
      <c r="D41" s="359">
        <v>0</v>
      </c>
      <c r="E41" s="211">
        <f t="shared" si="0"/>
        <v>0</v>
      </c>
      <c r="F41" s="211">
        <f>'Studio Rain System'!L46</f>
        <v>20</v>
      </c>
      <c r="G41" s="211">
        <f>'Studio Rain System'!M46</f>
        <v>0</v>
      </c>
      <c r="H41" s="206">
        <f>'Flow Rate'!$W$27</f>
        <v>464206.53322409093</v>
      </c>
      <c r="I41" s="178">
        <f>'Ozone-Energy'!H34</f>
        <v>0</v>
      </c>
      <c r="J41" s="128">
        <f t="shared" si="3"/>
        <v>0</v>
      </c>
      <c r="K41" s="193">
        <f>'Ozone-Energy'!J34</f>
        <v>0</v>
      </c>
      <c r="L41" s="43">
        <f t="shared" si="1"/>
        <v>0</v>
      </c>
      <c r="M41" s="43">
        <f>'Ozone-Energy'!L34</f>
        <v>0</v>
      </c>
      <c r="N41" s="179">
        <f>'Ozone-Energy'!M34</f>
        <v>0</v>
      </c>
      <c r="O41" s="43">
        <f>'Ozone-Energy'!N34</f>
        <v>1200</v>
      </c>
      <c r="P41" s="180">
        <f t="shared" si="6"/>
        <v>4.32</v>
      </c>
      <c r="Q41" s="181">
        <f t="shared" si="2"/>
        <v>4.32</v>
      </c>
      <c r="R41" s="43">
        <f>'Ozone-Energy'!Q34</f>
        <v>0</v>
      </c>
      <c r="S41" s="43">
        <f>'Ozone-Energy'!R34</f>
        <v>0</v>
      </c>
      <c r="T41" s="43">
        <f>'Ozone-Energy'!S34</f>
        <v>0</v>
      </c>
      <c r="U41" s="43"/>
      <c r="V41" s="43"/>
      <c r="W41">
        <f>'Ozone-Energy'!V34</f>
        <v>0</v>
      </c>
      <c r="X41">
        <f>'Ozone-Energy'!W34</f>
        <v>0</v>
      </c>
      <c r="Y41">
        <f>'Ozone-Energy'!X34</f>
        <v>0</v>
      </c>
      <c r="Z41">
        <f>'Ozone-Energy'!Y34</f>
        <v>0</v>
      </c>
      <c r="AA41" s="43"/>
    </row>
    <row r="42" spans="3:27" ht="15">
      <c r="C42">
        <v>25</v>
      </c>
      <c r="D42" s="359">
        <v>0</v>
      </c>
      <c r="E42" s="211">
        <f t="shared" si="0"/>
        <v>0</v>
      </c>
      <c r="F42" s="211">
        <f>'Studio Rain System'!L47</f>
        <v>20</v>
      </c>
      <c r="G42" s="211">
        <f>'Studio Rain System'!M47</f>
        <v>0</v>
      </c>
      <c r="H42" s="206">
        <f>'Flow Rate'!$W$27</f>
        <v>464206.53322409093</v>
      </c>
      <c r="I42" s="178">
        <f>'Ozone-Energy'!H35</f>
        <v>0</v>
      </c>
      <c r="J42" s="128">
        <f t="shared" si="3"/>
        <v>0</v>
      </c>
      <c r="K42" s="193">
        <f>'Ozone-Energy'!J35</f>
        <v>0</v>
      </c>
      <c r="L42" s="43">
        <f t="shared" si="1"/>
        <v>0</v>
      </c>
      <c r="M42" s="43">
        <f>'Ozone-Energy'!L35</f>
        <v>0</v>
      </c>
      <c r="N42" s="179">
        <f>'Ozone-Energy'!M35</f>
        <v>0</v>
      </c>
      <c r="O42" s="43">
        <f>'Ozone-Energy'!N35</f>
        <v>1200</v>
      </c>
      <c r="P42" s="180">
        <f t="shared" si="6"/>
        <v>4.32</v>
      </c>
      <c r="Q42" s="181">
        <f t="shared" si="2"/>
        <v>4.32</v>
      </c>
      <c r="R42" s="43">
        <f>'Ozone-Energy'!Q35</f>
        <v>0</v>
      </c>
      <c r="S42" s="43">
        <f>'Ozone-Energy'!R35</f>
        <v>0</v>
      </c>
      <c r="T42" s="43">
        <f>'Ozone-Energy'!S35</f>
        <v>0</v>
      </c>
      <c r="U42" s="43"/>
      <c r="V42" s="43"/>
      <c r="W42">
        <f>'Ozone-Energy'!V35</f>
        <v>0</v>
      </c>
      <c r="X42">
        <f>'Ozone-Energy'!W35</f>
        <v>0</v>
      </c>
      <c r="Y42">
        <f>'Ozone-Energy'!X35</f>
        <v>0</v>
      </c>
      <c r="Z42">
        <f>'Ozone-Energy'!Y35</f>
        <v>0</v>
      </c>
      <c r="AA42" s="43"/>
    </row>
    <row r="43" spans="3:27" ht="15">
      <c r="C43">
        <v>26</v>
      </c>
      <c r="D43" s="359">
        <v>0</v>
      </c>
      <c r="E43" s="211">
        <f t="shared" si="0"/>
        <v>0</v>
      </c>
      <c r="F43" s="211">
        <f>'Studio Rain System'!L48</f>
        <v>20</v>
      </c>
      <c r="G43" s="211">
        <f>'Studio Rain System'!M48</f>
        <v>0</v>
      </c>
      <c r="H43" s="206">
        <f>'Flow Rate'!$W$27</f>
        <v>464206.53322409093</v>
      </c>
      <c r="I43" s="178">
        <f>'Ozone-Energy'!H36</f>
        <v>0</v>
      </c>
      <c r="J43" s="128">
        <f t="shared" si="3"/>
        <v>0</v>
      </c>
      <c r="K43" s="193">
        <f>'Ozone-Energy'!J36</f>
        <v>0</v>
      </c>
      <c r="L43" s="43">
        <f t="shared" si="1"/>
        <v>0</v>
      </c>
      <c r="M43" s="43">
        <f>'Ozone-Energy'!L36</f>
        <v>0</v>
      </c>
      <c r="N43" s="179">
        <f>'Ozone-Energy'!M36</f>
        <v>0</v>
      </c>
      <c r="O43" s="43">
        <f>'Ozone-Energy'!N36</f>
        <v>1200</v>
      </c>
      <c r="P43" s="180">
        <f t="shared" si="6"/>
        <v>4.32</v>
      </c>
      <c r="Q43" s="181">
        <f t="shared" si="2"/>
        <v>4.32</v>
      </c>
      <c r="R43" s="43">
        <f>'Ozone-Energy'!Q36</f>
        <v>0</v>
      </c>
      <c r="S43" s="43">
        <f>'Ozone-Energy'!R36</f>
        <v>0</v>
      </c>
      <c r="T43" s="43">
        <f>'Ozone-Energy'!S36</f>
        <v>0</v>
      </c>
      <c r="U43" s="43"/>
      <c r="V43" s="43"/>
      <c r="W43">
        <f>'Ozone-Energy'!V36</f>
        <v>0</v>
      </c>
      <c r="X43">
        <f>'Ozone-Energy'!W36</f>
        <v>0</v>
      </c>
      <c r="Y43">
        <f>'Ozone-Energy'!X36</f>
        <v>0</v>
      </c>
      <c r="Z43">
        <f>'Ozone-Energy'!Y36</f>
        <v>0</v>
      </c>
      <c r="AA43" s="43"/>
    </row>
    <row r="44" spans="3:27" ht="15">
      <c r="C44">
        <v>27</v>
      </c>
      <c r="D44" s="359">
        <v>17.600000000000001</v>
      </c>
      <c r="E44" s="211">
        <f t="shared" si="0"/>
        <v>19.36</v>
      </c>
      <c r="F44" s="211">
        <f>'Studio Rain System'!L49</f>
        <v>20</v>
      </c>
      <c r="G44" s="211">
        <f>'Studio Rain System'!M49</f>
        <v>0</v>
      </c>
      <c r="H44" s="206">
        <f>'Flow Rate'!$W$27</f>
        <v>464206.53322409093</v>
      </c>
      <c r="I44" s="178">
        <f>'Ozone-Energy'!H37</f>
        <v>3473737.1428571432</v>
      </c>
      <c r="J44" s="128">
        <f t="shared" si="3"/>
        <v>3.4737371428571429</v>
      </c>
      <c r="K44" s="193">
        <f>'Ozone-Energy'!J37</f>
        <v>96800</v>
      </c>
      <c r="L44" s="43">
        <f t="shared" si="1"/>
        <v>96.8</v>
      </c>
      <c r="M44" s="43">
        <f>'Ozone-Energy'!L37</f>
        <v>0</v>
      </c>
      <c r="N44" s="179">
        <f>'Ozone-Energy'!M37</f>
        <v>0</v>
      </c>
      <c r="O44" s="43">
        <f>'Ozone-Energy'!N37</f>
        <v>1200</v>
      </c>
      <c r="P44" s="180">
        <f t="shared" si="6"/>
        <v>4.32</v>
      </c>
      <c r="Q44" s="181">
        <f t="shared" si="2"/>
        <v>7.7937371428571431</v>
      </c>
      <c r="R44" s="43">
        <f>'Ozone-Energy'!Q37</f>
        <v>0</v>
      </c>
      <c r="S44" s="43">
        <f>'Ozone-Energy'!R37</f>
        <v>0</v>
      </c>
      <c r="T44" s="43">
        <f>'Ozone-Energy'!S37</f>
        <v>0</v>
      </c>
      <c r="U44" s="43"/>
      <c r="V44" s="43"/>
      <c r="W44">
        <f>'Ozone-Energy'!V37</f>
        <v>0</v>
      </c>
      <c r="X44">
        <f>'Ozone-Energy'!W37</f>
        <v>0</v>
      </c>
      <c r="Y44">
        <f>'Ozone-Energy'!X37</f>
        <v>0</v>
      </c>
      <c r="Z44">
        <f>'Ozone-Energy'!Y37</f>
        <v>0</v>
      </c>
      <c r="AA44" s="43"/>
    </row>
    <row r="45" spans="3:27" ht="15">
      <c r="C45">
        <v>28</v>
      </c>
      <c r="D45" s="359">
        <v>0</v>
      </c>
      <c r="E45" s="211">
        <f t="shared" si="0"/>
        <v>0</v>
      </c>
      <c r="F45" s="211">
        <f>'Studio Rain System'!L50</f>
        <v>20</v>
      </c>
      <c r="G45" s="211">
        <f>'Studio Rain System'!M50</f>
        <v>0</v>
      </c>
      <c r="H45" s="206">
        <f>'Flow Rate'!$W$27</f>
        <v>464206.53322409093</v>
      </c>
      <c r="I45" s="178">
        <f>'Ozone-Energy'!H38</f>
        <v>0</v>
      </c>
      <c r="J45" s="128">
        <f t="shared" si="3"/>
        <v>0</v>
      </c>
      <c r="K45" s="193">
        <f>'Ozone-Energy'!J38</f>
        <v>0</v>
      </c>
      <c r="L45" s="43">
        <f t="shared" si="1"/>
        <v>0</v>
      </c>
      <c r="M45" s="43">
        <f>'Ozone-Energy'!L38</f>
        <v>0</v>
      </c>
      <c r="N45" s="179">
        <f>'Ozone-Energy'!M38</f>
        <v>0</v>
      </c>
      <c r="O45" s="43">
        <f>'Ozone-Energy'!N38</f>
        <v>1200</v>
      </c>
      <c r="P45" s="180">
        <f t="shared" si="6"/>
        <v>4.32</v>
      </c>
      <c r="Q45" s="181">
        <f t="shared" si="2"/>
        <v>4.32</v>
      </c>
      <c r="R45" s="43">
        <f>'Ozone-Energy'!Q38</f>
        <v>0</v>
      </c>
      <c r="S45" s="43">
        <f>'Ozone-Energy'!R38</f>
        <v>0</v>
      </c>
      <c r="T45" s="43">
        <f>'Ozone-Energy'!S38</f>
        <v>0</v>
      </c>
      <c r="U45" s="43"/>
      <c r="V45" s="43"/>
      <c r="W45">
        <f>'Ozone-Energy'!V38</f>
        <v>0</v>
      </c>
      <c r="X45">
        <f>'Ozone-Energy'!W38</f>
        <v>0</v>
      </c>
      <c r="Y45">
        <f>'Ozone-Energy'!X38</f>
        <v>0</v>
      </c>
      <c r="Z45">
        <f>'Ozone-Energy'!Y38</f>
        <v>0</v>
      </c>
      <c r="AA45" s="43"/>
    </row>
    <row r="46" spans="3:27" ht="15">
      <c r="C46">
        <v>29</v>
      </c>
      <c r="D46" s="359">
        <v>0</v>
      </c>
      <c r="E46" s="211">
        <f t="shared" si="0"/>
        <v>0</v>
      </c>
      <c r="F46" s="211">
        <f>'Studio Rain System'!L51</f>
        <v>20</v>
      </c>
      <c r="G46" s="211">
        <f>'Studio Rain System'!M51</f>
        <v>0</v>
      </c>
      <c r="H46" s="206">
        <f>'Flow Rate'!$W$27</f>
        <v>464206.53322409093</v>
      </c>
      <c r="I46" s="178">
        <f>'Ozone-Energy'!H39</f>
        <v>0</v>
      </c>
      <c r="J46" s="128">
        <f t="shared" si="3"/>
        <v>0</v>
      </c>
      <c r="K46" s="193">
        <f>'Ozone-Energy'!J39</f>
        <v>0</v>
      </c>
      <c r="L46" s="43">
        <f t="shared" si="1"/>
        <v>0</v>
      </c>
      <c r="M46" s="43">
        <f>'Ozone-Energy'!L39</f>
        <v>0</v>
      </c>
      <c r="N46" s="179">
        <f>'Ozone-Energy'!M39</f>
        <v>0</v>
      </c>
      <c r="O46" s="43">
        <f>'Ozone-Energy'!N39</f>
        <v>1200</v>
      </c>
      <c r="P46" s="180">
        <f t="shared" si="6"/>
        <v>4.32</v>
      </c>
      <c r="Q46" s="181">
        <f t="shared" si="2"/>
        <v>4.32</v>
      </c>
      <c r="R46" s="43">
        <f>'Ozone-Energy'!Q39</f>
        <v>0</v>
      </c>
      <c r="S46" s="43">
        <f>'Ozone-Energy'!R39</f>
        <v>0</v>
      </c>
      <c r="T46" s="43">
        <f>'Ozone-Energy'!S39</f>
        <v>0</v>
      </c>
      <c r="U46" s="43"/>
      <c r="V46" s="43"/>
      <c r="W46">
        <f>'Ozone-Energy'!V39</f>
        <v>0</v>
      </c>
      <c r="X46">
        <f>'Ozone-Energy'!W39</f>
        <v>0</v>
      </c>
      <c r="Y46">
        <f>'Ozone-Energy'!X39</f>
        <v>0</v>
      </c>
      <c r="Z46">
        <f>'Ozone-Energy'!Y39</f>
        <v>0</v>
      </c>
      <c r="AA46" s="43"/>
    </row>
    <row r="47" spans="3:27" ht="15">
      <c r="C47">
        <v>30</v>
      </c>
      <c r="D47" s="359">
        <v>0</v>
      </c>
      <c r="E47" s="211">
        <f t="shared" si="0"/>
        <v>0</v>
      </c>
      <c r="F47" s="211">
        <f>'Studio Rain System'!L52</f>
        <v>20</v>
      </c>
      <c r="G47" s="211">
        <f>'Studio Rain System'!M52</f>
        <v>0</v>
      </c>
      <c r="H47" s="206">
        <f>'Flow Rate'!$W$27</f>
        <v>464206.53322409093</v>
      </c>
      <c r="I47" s="178">
        <f>'Ozone-Energy'!H40</f>
        <v>0</v>
      </c>
      <c r="J47" s="128">
        <f t="shared" si="3"/>
        <v>0</v>
      </c>
      <c r="K47" s="193">
        <f>'Ozone-Energy'!J40</f>
        <v>0</v>
      </c>
      <c r="L47" s="43">
        <f t="shared" si="1"/>
        <v>0</v>
      </c>
      <c r="M47" s="43">
        <f>'Ozone-Energy'!L40</f>
        <v>0</v>
      </c>
      <c r="N47" s="179">
        <f>'Ozone-Energy'!M40</f>
        <v>0</v>
      </c>
      <c r="O47" s="43">
        <f>'Ozone-Energy'!N40</f>
        <v>1200</v>
      </c>
      <c r="P47" s="180">
        <f t="shared" si="6"/>
        <v>4.32</v>
      </c>
      <c r="Q47" s="181">
        <f t="shared" si="2"/>
        <v>4.32</v>
      </c>
      <c r="R47" s="43">
        <f>'Ozone-Energy'!Q40</f>
        <v>0</v>
      </c>
      <c r="S47" s="43">
        <f>'Ozone-Energy'!R40</f>
        <v>0</v>
      </c>
      <c r="T47" s="43">
        <f>'Ozone-Energy'!S40</f>
        <v>0</v>
      </c>
      <c r="U47" s="43"/>
      <c r="V47" s="43"/>
      <c r="W47">
        <f>'Ozone-Energy'!V40</f>
        <v>0</v>
      </c>
      <c r="X47">
        <f>'Ozone-Energy'!W40</f>
        <v>0</v>
      </c>
      <c r="Y47">
        <f>'Ozone-Energy'!X40</f>
        <v>0</v>
      </c>
      <c r="Z47">
        <f>'Ozone-Energy'!Y40</f>
        <v>0</v>
      </c>
      <c r="AA47" s="43"/>
    </row>
    <row r="48" spans="3:27" ht="15">
      <c r="C48">
        <v>31</v>
      </c>
      <c r="D48" s="359">
        <v>2.6</v>
      </c>
      <c r="E48" s="211">
        <f t="shared" si="0"/>
        <v>2.86</v>
      </c>
      <c r="F48" s="211">
        <f>'Studio Rain System'!L53</f>
        <v>20</v>
      </c>
      <c r="G48" s="211">
        <f>'Studio Rain System'!M53</f>
        <v>0</v>
      </c>
      <c r="H48" s="206">
        <f>'Flow Rate'!$W$27</f>
        <v>464206.53322409093</v>
      </c>
      <c r="I48" s="178">
        <f>'Ozone-Energy'!H41</f>
        <v>513165.71428571432</v>
      </c>
      <c r="J48" s="128">
        <f t="shared" si="3"/>
        <v>0.51316571428571434</v>
      </c>
      <c r="K48" s="193">
        <f>'Ozone-Energy'!J41</f>
        <v>14300</v>
      </c>
      <c r="L48" s="43">
        <f t="shared" si="1"/>
        <v>14.3</v>
      </c>
      <c r="M48" s="43">
        <f>'Ozone-Energy'!L41</f>
        <v>0</v>
      </c>
      <c r="N48" s="179">
        <f>'Ozone-Energy'!M41</f>
        <v>0</v>
      </c>
      <c r="O48" s="43">
        <f>'Ozone-Energy'!N41</f>
        <v>1200</v>
      </c>
      <c r="P48" s="180">
        <f xml:space="preserve"> O48 * 3600 / 1000000</f>
        <v>4.32</v>
      </c>
      <c r="Q48" s="181">
        <f t="shared" si="2"/>
        <v>4.8331657142857143</v>
      </c>
      <c r="R48" s="43">
        <f>'Ozone-Energy'!Q41</f>
        <v>0</v>
      </c>
      <c r="S48" s="43">
        <f>'Ozone-Energy'!R41</f>
        <v>0</v>
      </c>
      <c r="T48" s="43">
        <f>'Ozone-Energy'!S41</f>
        <v>0</v>
      </c>
      <c r="U48" s="43"/>
      <c r="V48" s="43"/>
      <c r="W48">
        <f>'Ozone-Energy'!V41</f>
        <v>0</v>
      </c>
      <c r="X48">
        <f>'Ozone-Energy'!W41</f>
        <v>0</v>
      </c>
      <c r="Y48">
        <f>'Ozone-Energy'!X41</f>
        <v>0</v>
      </c>
      <c r="Z48">
        <f>'Ozone-Energy'!Y41</f>
        <v>0</v>
      </c>
      <c r="AA48" s="43"/>
    </row>
    <row r="49" spans="3:28" ht="15">
      <c r="C49">
        <v>32</v>
      </c>
      <c r="D49" s="359">
        <v>2.6</v>
      </c>
      <c r="E49" s="211">
        <f t="shared" si="0"/>
        <v>2.86</v>
      </c>
      <c r="F49" s="211">
        <f>'Studio Rain System'!L54</f>
        <v>20</v>
      </c>
      <c r="G49" s="211">
        <f>'Studio Rain System'!M54</f>
        <v>0.745</v>
      </c>
      <c r="H49" s="206">
        <f>'Flow Rate'!$W$27</f>
        <v>464206.53322409093</v>
      </c>
      <c r="I49" s="178">
        <f>'Ozone-Energy'!H42</f>
        <v>513165.71428571432</v>
      </c>
      <c r="J49" s="128">
        <f t="shared" si="3"/>
        <v>0.51316571428571434</v>
      </c>
      <c r="K49" s="193">
        <f>'Ozone-Energy'!J42</f>
        <v>14300</v>
      </c>
      <c r="L49" s="43">
        <f t="shared" si="1"/>
        <v>14.3</v>
      </c>
      <c r="M49" s="43">
        <f>'Ozone-Energy'!L42</f>
        <v>28600000</v>
      </c>
      <c r="N49" s="179">
        <f>'Ozone-Energy'!M42</f>
        <v>28.6</v>
      </c>
      <c r="O49" s="43">
        <f>'Ozone-Energy'!N42</f>
        <v>1200</v>
      </c>
      <c r="P49" s="180">
        <f t="shared" ref="P49:P57" si="7">O49 * 3600 / 1000000</f>
        <v>4.32</v>
      </c>
      <c r="Q49" s="181">
        <f t="shared" si="2"/>
        <v>33.433165714285721</v>
      </c>
      <c r="R49" s="43">
        <f>'Ozone-Energy'!Q42</f>
        <v>0</v>
      </c>
      <c r="S49" s="43">
        <f>'Ozone-Energy'!R42</f>
        <v>0</v>
      </c>
      <c r="T49" s="43">
        <f>'Ozone-Energy'!S42</f>
        <v>0</v>
      </c>
      <c r="U49" s="43"/>
      <c r="V49" s="43"/>
      <c r="W49">
        <f>'Ozone-Energy'!V42</f>
        <v>0</v>
      </c>
      <c r="X49">
        <f>'Ozone-Energy'!W42</f>
        <v>0</v>
      </c>
      <c r="Y49">
        <f>'Ozone-Energy'!X42</f>
        <v>0</v>
      </c>
      <c r="Z49">
        <f>'Ozone-Energy'!Y42</f>
        <v>0</v>
      </c>
      <c r="AA49" s="43"/>
    </row>
    <row r="50" spans="3:28" ht="15">
      <c r="C50">
        <v>33</v>
      </c>
      <c r="D50" s="359">
        <v>0</v>
      </c>
      <c r="E50" s="211">
        <f t="shared" si="0"/>
        <v>0</v>
      </c>
      <c r="F50" s="211">
        <f>'Studio Rain System'!L55</f>
        <v>19.254999999999999</v>
      </c>
      <c r="G50" s="211">
        <f>'Studio Rain System'!M55</f>
        <v>0.745</v>
      </c>
      <c r="H50" s="206">
        <f>'Flow Rate'!$W$27</f>
        <v>464206.53322409093</v>
      </c>
      <c r="I50" s="178">
        <f>'Ozone-Energy'!H43</f>
        <v>0</v>
      </c>
      <c r="J50" s="128">
        <f t="shared" si="3"/>
        <v>0</v>
      </c>
      <c r="K50" s="193">
        <f>'Ozone-Energy'!J43</f>
        <v>0</v>
      </c>
      <c r="L50" s="43">
        <f t="shared" si="1"/>
        <v>0</v>
      </c>
      <c r="M50" s="43">
        <f>'Ozone-Energy'!L43</f>
        <v>0</v>
      </c>
      <c r="N50" s="179">
        <f>'Ozone-Energy'!M43</f>
        <v>0</v>
      </c>
      <c r="O50" s="43">
        <f>'Ozone-Energy'!N43</f>
        <v>1200</v>
      </c>
      <c r="P50" s="180">
        <f t="shared" si="7"/>
        <v>4.32</v>
      </c>
      <c r="Q50" s="181">
        <f t="shared" si="2"/>
        <v>4.32</v>
      </c>
      <c r="R50" s="43">
        <f>'Ozone-Energy'!Q43</f>
        <v>0</v>
      </c>
      <c r="S50" s="43">
        <f>'Ozone-Energy'!R43</f>
        <v>0</v>
      </c>
      <c r="T50" s="43">
        <f>'Ozone-Energy'!S43</f>
        <v>0</v>
      </c>
      <c r="U50" s="43"/>
      <c r="V50" s="43"/>
      <c r="W50">
        <f>'Ozone-Energy'!V43</f>
        <v>0</v>
      </c>
      <c r="X50">
        <f>'Ozone-Energy'!W43</f>
        <v>0</v>
      </c>
      <c r="Y50">
        <f>'Ozone-Energy'!X43</f>
        <v>0</v>
      </c>
      <c r="Z50">
        <f>'Ozone-Energy'!Y43</f>
        <v>0</v>
      </c>
      <c r="AA50" s="43"/>
    </row>
    <row r="51" spans="3:28" ht="15">
      <c r="C51">
        <v>34</v>
      </c>
      <c r="D51" s="359">
        <v>0</v>
      </c>
      <c r="E51" s="211">
        <f t="shared" si="0"/>
        <v>0</v>
      </c>
      <c r="F51" s="211">
        <f>'Studio Rain System'!L56</f>
        <v>18.509999999999998</v>
      </c>
      <c r="G51" s="211">
        <f>'Studio Rain System'!M56</f>
        <v>0.745</v>
      </c>
      <c r="H51" s="206">
        <f>'Flow Rate'!$W$27</f>
        <v>464206.53322409093</v>
      </c>
      <c r="I51" s="178">
        <f>'Ozone-Energy'!H44</f>
        <v>0</v>
      </c>
      <c r="J51" s="128">
        <f t="shared" si="3"/>
        <v>0</v>
      </c>
      <c r="K51" s="193">
        <f>'Ozone-Energy'!J44</f>
        <v>0</v>
      </c>
      <c r="L51" s="43">
        <f t="shared" si="1"/>
        <v>0</v>
      </c>
      <c r="M51" s="43">
        <f>'Ozone-Energy'!L44</f>
        <v>0</v>
      </c>
      <c r="N51" s="179">
        <f>'Ozone-Energy'!M44</f>
        <v>0</v>
      </c>
      <c r="O51" s="43">
        <f>'Ozone-Energy'!N44</f>
        <v>1200</v>
      </c>
      <c r="P51" s="180">
        <f t="shared" si="7"/>
        <v>4.32</v>
      </c>
      <c r="Q51" s="181">
        <f t="shared" si="2"/>
        <v>4.32</v>
      </c>
      <c r="R51" s="43">
        <f>'Ozone-Energy'!Q44</f>
        <v>0</v>
      </c>
      <c r="S51" s="43">
        <f>'Ozone-Energy'!R44</f>
        <v>0</v>
      </c>
      <c r="T51" s="43">
        <f>'Ozone-Energy'!S44</f>
        <v>0</v>
      </c>
      <c r="U51" s="43"/>
      <c r="V51" s="43"/>
      <c r="W51">
        <f>'Ozone-Energy'!V44</f>
        <v>0</v>
      </c>
      <c r="X51">
        <f>'Ozone-Energy'!W44</f>
        <v>0</v>
      </c>
      <c r="Y51">
        <f>'Ozone-Energy'!X44</f>
        <v>0</v>
      </c>
      <c r="Z51">
        <f>'Ozone-Energy'!Y44</f>
        <v>0</v>
      </c>
      <c r="AA51" s="43"/>
    </row>
    <row r="52" spans="3:28" ht="15">
      <c r="C52">
        <v>35</v>
      </c>
      <c r="D52" s="359">
        <v>0</v>
      </c>
      <c r="E52" s="211">
        <f t="shared" si="0"/>
        <v>0</v>
      </c>
      <c r="F52" s="211">
        <f>'Studio Rain System'!L57</f>
        <v>17.764999999999997</v>
      </c>
      <c r="G52" s="211">
        <f>'Studio Rain System'!M57</f>
        <v>0.745</v>
      </c>
      <c r="H52" s="206">
        <f>'Flow Rate'!$W$27</f>
        <v>464206.53322409093</v>
      </c>
      <c r="I52" s="178">
        <f>'Ozone-Energy'!H45</f>
        <v>0</v>
      </c>
      <c r="J52" s="128">
        <f t="shared" si="3"/>
        <v>0</v>
      </c>
      <c r="K52" s="193">
        <f>'Ozone-Energy'!J45</f>
        <v>0</v>
      </c>
      <c r="L52" s="43">
        <f t="shared" si="1"/>
        <v>0</v>
      </c>
      <c r="M52" s="43">
        <f>'Ozone-Energy'!L45</f>
        <v>0</v>
      </c>
      <c r="N52" s="179">
        <f>'Ozone-Energy'!M45</f>
        <v>0</v>
      </c>
      <c r="O52" s="43">
        <f>'Ozone-Energy'!N45</f>
        <v>1200</v>
      </c>
      <c r="P52" s="180">
        <f t="shared" si="7"/>
        <v>4.32</v>
      </c>
      <c r="Q52" s="181">
        <f t="shared" si="2"/>
        <v>4.32</v>
      </c>
      <c r="R52" s="43">
        <f>'Ozone-Energy'!Q45</f>
        <v>0</v>
      </c>
      <c r="S52" s="43">
        <f>'Ozone-Energy'!R45</f>
        <v>0</v>
      </c>
      <c r="T52" s="43">
        <f>'Ozone-Energy'!S45</f>
        <v>0</v>
      </c>
      <c r="U52" s="43"/>
      <c r="V52" s="43"/>
      <c r="W52">
        <f>'Ozone-Energy'!V45</f>
        <v>0</v>
      </c>
      <c r="X52">
        <f>'Ozone-Energy'!W45</f>
        <v>0</v>
      </c>
      <c r="Y52">
        <f>'Ozone-Energy'!X45</f>
        <v>0</v>
      </c>
      <c r="Z52">
        <f>'Ozone-Energy'!Y45</f>
        <v>0</v>
      </c>
      <c r="AA52" s="43"/>
    </row>
    <row r="53" spans="3:28" ht="15">
      <c r="C53">
        <v>36</v>
      </c>
      <c r="D53" s="359">
        <v>0</v>
      </c>
      <c r="E53" s="211">
        <f t="shared" si="0"/>
        <v>0</v>
      </c>
      <c r="F53" s="211">
        <f>'Studio Rain System'!L58</f>
        <v>17.019999999999996</v>
      </c>
      <c r="G53" s="211">
        <f>'Studio Rain System'!M58</f>
        <v>0.745</v>
      </c>
      <c r="H53" s="206">
        <f>'Flow Rate'!$W$27</f>
        <v>464206.53322409093</v>
      </c>
      <c r="I53" s="178">
        <f>'Ozone-Energy'!H46</f>
        <v>0</v>
      </c>
      <c r="J53" s="128">
        <f t="shared" si="3"/>
        <v>0</v>
      </c>
      <c r="K53" s="193">
        <f>'Ozone-Energy'!J46</f>
        <v>0</v>
      </c>
      <c r="L53" s="43">
        <f t="shared" si="1"/>
        <v>0</v>
      </c>
      <c r="M53" s="43">
        <f>'Ozone-Energy'!L46</f>
        <v>0</v>
      </c>
      <c r="N53" s="179">
        <f>'Ozone-Energy'!M46</f>
        <v>0</v>
      </c>
      <c r="O53" s="43">
        <f>'Ozone-Energy'!N46</f>
        <v>1200</v>
      </c>
      <c r="P53" s="180">
        <f t="shared" si="7"/>
        <v>4.32</v>
      </c>
      <c r="Q53" s="181">
        <f t="shared" si="2"/>
        <v>4.32</v>
      </c>
      <c r="R53" s="43">
        <f>'Ozone-Energy'!Q46</f>
        <v>0</v>
      </c>
      <c r="S53" s="43">
        <f>'Ozone-Energy'!R46</f>
        <v>0</v>
      </c>
      <c r="T53" s="43">
        <f>'Ozone-Energy'!S46</f>
        <v>0</v>
      </c>
      <c r="U53" s="43"/>
      <c r="V53" s="43"/>
      <c r="W53">
        <f>'Ozone-Energy'!V46</f>
        <v>0</v>
      </c>
      <c r="X53">
        <f>'Ozone-Energy'!W46</f>
        <v>0</v>
      </c>
      <c r="Y53">
        <f>'Ozone-Energy'!X46</f>
        <v>0</v>
      </c>
      <c r="Z53">
        <f>'Ozone-Energy'!Y46</f>
        <v>0</v>
      </c>
      <c r="AA53" s="43"/>
    </row>
    <row r="54" spans="3:28" ht="15">
      <c r="C54">
        <v>37</v>
      </c>
      <c r="D54" s="359">
        <v>0</v>
      </c>
      <c r="E54" s="211">
        <f t="shared" si="0"/>
        <v>0</v>
      </c>
      <c r="F54" s="211">
        <f>'Studio Rain System'!L59</f>
        <v>16.274999999999995</v>
      </c>
      <c r="G54" s="211">
        <f>'Studio Rain System'!M59</f>
        <v>0.745</v>
      </c>
      <c r="H54" s="206">
        <f>'Flow Rate'!$W$27</f>
        <v>464206.53322409093</v>
      </c>
      <c r="I54" s="178">
        <f>'Ozone-Energy'!H47</f>
        <v>0</v>
      </c>
      <c r="J54" s="128">
        <f t="shared" si="3"/>
        <v>0</v>
      </c>
      <c r="K54" s="193">
        <f>'Ozone-Energy'!J47</f>
        <v>0</v>
      </c>
      <c r="L54" s="43">
        <f t="shared" si="1"/>
        <v>0</v>
      </c>
      <c r="M54" s="43">
        <f>'Ozone-Energy'!L47</f>
        <v>0</v>
      </c>
      <c r="N54" s="179">
        <f>'Ozone-Energy'!M47</f>
        <v>0</v>
      </c>
      <c r="O54" s="43">
        <f>'Ozone-Energy'!N47</f>
        <v>1200</v>
      </c>
      <c r="P54" s="180">
        <f t="shared" si="7"/>
        <v>4.32</v>
      </c>
      <c r="Q54" s="181">
        <f t="shared" si="2"/>
        <v>4.32</v>
      </c>
      <c r="R54" s="43">
        <f>'Ozone-Energy'!Q47</f>
        <v>0</v>
      </c>
      <c r="S54" s="43">
        <f>'Ozone-Energy'!R47</f>
        <v>0</v>
      </c>
      <c r="T54" s="43">
        <f>'Ozone-Energy'!S47</f>
        <v>0</v>
      </c>
      <c r="U54" s="43"/>
      <c r="V54" s="43"/>
      <c r="W54">
        <f>'Ozone-Energy'!V47</f>
        <v>0</v>
      </c>
      <c r="X54">
        <f>'Ozone-Energy'!W47</f>
        <v>0</v>
      </c>
      <c r="Y54">
        <f>'Ozone-Energy'!X47</f>
        <v>0</v>
      </c>
      <c r="Z54">
        <f>'Ozone-Energy'!Y47</f>
        <v>0</v>
      </c>
      <c r="AA54" s="43"/>
    </row>
    <row r="55" spans="3:28" ht="15">
      <c r="C55">
        <v>38</v>
      </c>
      <c r="D55" s="359">
        <v>0</v>
      </c>
      <c r="E55" s="211">
        <f t="shared" si="0"/>
        <v>0</v>
      </c>
      <c r="F55" s="211">
        <f>'Studio Rain System'!L60</f>
        <v>15.529999999999996</v>
      </c>
      <c r="G55" s="211">
        <f>'Studio Rain System'!M60</f>
        <v>0.745</v>
      </c>
      <c r="H55" s="206">
        <f>'Flow Rate'!$W$27</f>
        <v>464206.53322409093</v>
      </c>
      <c r="I55" s="178">
        <f>'Ozone-Energy'!H48</f>
        <v>0</v>
      </c>
      <c r="J55" s="128">
        <f t="shared" si="3"/>
        <v>0</v>
      </c>
      <c r="K55" s="193">
        <f>'Ozone-Energy'!J48</f>
        <v>0</v>
      </c>
      <c r="L55" s="43">
        <f t="shared" si="1"/>
        <v>0</v>
      </c>
      <c r="M55" s="43">
        <f>'Ozone-Energy'!L48</f>
        <v>0</v>
      </c>
      <c r="N55" s="179">
        <f>'Ozone-Energy'!M48</f>
        <v>0</v>
      </c>
      <c r="O55" s="43">
        <f>'Ozone-Energy'!N48</f>
        <v>1200</v>
      </c>
      <c r="P55" s="180">
        <f t="shared" si="7"/>
        <v>4.32</v>
      </c>
      <c r="Q55" s="181">
        <f t="shared" si="2"/>
        <v>4.32</v>
      </c>
      <c r="R55" s="43">
        <f>'Ozone-Energy'!Q48</f>
        <v>0</v>
      </c>
      <c r="S55" s="43">
        <f>'Ozone-Energy'!R48</f>
        <v>0</v>
      </c>
      <c r="T55" s="43">
        <f>'Ozone-Energy'!S48</f>
        <v>0</v>
      </c>
      <c r="U55" s="43"/>
      <c r="V55" s="43"/>
      <c r="W55">
        <f>'Ozone-Energy'!V48</f>
        <v>0</v>
      </c>
      <c r="X55">
        <f>'Ozone-Energy'!W48</f>
        <v>0</v>
      </c>
      <c r="Y55">
        <f>'Ozone-Energy'!X48</f>
        <v>0</v>
      </c>
      <c r="Z55">
        <f>'Ozone-Energy'!Y48</f>
        <v>0</v>
      </c>
      <c r="AA55" s="43"/>
    </row>
    <row r="56" spans="3:28" ht="15">
      <c r="C56">
        <v>39</v>
      </c>
      <c r="D56" s="359">
        <v>0</v>
      </c>
      <c r="E56" s="211">
        <f t="shared" si="0"/>
        <v>0</v>
      </c>
      <c r="F56" s="211">
        <f>'Studio Rain System'!L61</f>
        <v>14.784999999999997</v>
      </c>
      <c r="G56" s="211">
        <f>'Studio Rain System'!M61</f>
        <v>0.745</v>
      </c>
      <c r="H56" s="206">
        <f>'Flow Rate'!$W$27</f>
        <v>464206.53322409093</v>
      </c>
      <c r="I56" s="178">
        <f>'Ozone-Energy'!H49</f>
        <v>0</v>
      </c>
      <c r="J56" s="128">
        <f t="shared" si="3"/>
        <v>0</v>
      </c>
      <c r="K56" s="193">
        <f>'Ozone-Energy'!J49</f>
        <v>0</v>
      </c>
      <c r="L56" s="43">
        <f t="shared" si="1"/>
        <v>0</v>
      </c>
      <c r="M56" s="43">
        <f>'Ozone-Energy'!L49</f>
        <v>0</v>
      </c>
      <c r="N56" s="179">
        <f>'Ozone-Energy'!M49</f>
        <v>0</v>
      </c>
      <c r="O56" s="43">
        <f>'Ozone-Energy'!N49</f>
        <v>1200</v>
      </c>
      <c r="P56" s="180">
        <f t="shared" si="7"/>
        <v>4.32</v>
      </c>
      <c r="Q56" s="181">
        <f t="shared" si="2"/>
        <v>4.32</v>
      </c>
      <c r="R56" s="43">
        <f>'Ozone-Energy'!Q49</f>
        <v>0</v>
      </c>
      <c r="S56" s="43">
        <f>'Ozone-Energy'!R49</f>
        <v>0</v>
      </c>
      <c r="T56" s="43">
        <f>'Ozone-Energy'!S49</f>
        <v>0</v>
      </c>
      <c r="U56" s="43"/>
      <c r="V56" s="43"/>
      <c r="W56">
        <f>'Ozone-Energy'!V49</f>
        <v>0</v>
      </c>
      <c r="X56">
        <f>'Ozone-Energy'!W49</f>
        <v>0</v>
      </c>
      <c r="Y56">
        <f>'Ozone-Energy'!X49</f>
        <v>0</v>
      </c>
      <c r="Z56">
        <f>'Ozone-Energy'!Y49</f>
        <v>0</v>
      </c>
      <c r="AA56" s="43"/>
    </row>
    <row r="57" spans="3:28" ht="15">
      <c r="C57">
        <v>40</v>
      </c>
      <c r="D57" s="359">
        <v>12.2</v>
      </c>
      <c r="E57" s="211">
        <f t="shared" si="0"/>
        <v>13.419999999999998</v>
      </c>
      <c r="F57" s="211">
        <f>'Studio Rain System'!L62</f>
        <v>20</v>
      </c>
      <c r="G57" s="211">
        <f>'Studio Rain System'!M62</f>
        <v>0.745</v>
      </c>
      <c r="H57" s="206">
        <f>'Flow Rate'!$W$27</f>
        <v>464206.53322409093</v>
      </c>
      <c r="I57" s="178">
        <f>'Ozone-Energy'!H50</f>
        <v>2407931.4285714282</v>
      </c>
      <c r="J57" s="128">
        <f t="shared" si="3"/>
        <v>2.4079314285714282</v>
      </c>
      <c r="K57" s="193">
        <f>'Ozone-Energy'!J50</f>
        <v>67099.999999999985</v>
      </c>
      <c r="L57" s="43">
        <f t="shared" si="1"/>
        <v>67.09999999999998</v>
      </c>
      <c r="M57" s="43">
        <f>'Ozone-Energy'!L50</f>
        <v>134199999.99999996</v>
      </c>
      <c r="N57" s="179">
        <f>'Ozone-Energy'!M50</f>
        <v>134.19999999999996</v>
      </c>
      <c r="O57" s="43">
        <f>'Ozone-Energy'!N50</f>
        <v>1200</v>
      </c>
      <c r="P57" s="180">
        <f t="shared" si="7"/>
        <v>4.32</v>
      </c>
      <c r="Q57" s="181">
        <f t="shared" si="2"/>
        <v>140.92793142857138</v>
      </c>
      <c r="R57" s="43">
        <f>'Ozone-Energy'!Q50</f>
        <v>0</v>
      </c>
      <c r="S57" s="43">
        <f>'Ozone-Energy'!R50</f>
        <v>0</v>
      </c>
      <c r="T57" s="43">
        <f>'Ozone-Energy'!S50</f>
        <v>0</v>
      </c>
      <c r="U57" s="43"/>
      <c r="V57" s="43"/>
      <c r="W57">
        <f>'Ozone-Energy'!V50</f>
        <v>0</v>
      </c>
      <c r="X57">
        <f>'Ozone-Energy'!W50</f>
        <v>0</v>
      </c>
      <c r="Y57">
        <f>'Ozone-Energy'!X50</f>
        <v>0</v>
      </c>
      <c r="Z57">
        <f>'Ozone-Energy'!Y50</f>
        <v>0</v>
      </c>
      <c r="AA57" s="43"/>
    </row>
    <row r="58" spans="3:28" ht="15">
      <c r="C58">
        <v>41</v>
      </c>
      <c r="D58" s="359">
        <v>13.4</v>
      </c>
      <c r="E58" s="212">
        <f t="shared" si="0"/>
        <v>14.74</v>
      </c>
      <c r="F58" s="212">
        <f>'Studio Rain System'!L63</f>
        <v>20</v>
      </c>
      <c r="G58" s="212">
        <f>'Studio Rain System'!M63</f>
        <v>0.745</v>
      </c>
      <c r="H58" s="206">
        <f>'Flow Rate'!$W$27</f>
        <v>464206.53322409093</v>
      </c>
      <c r="I58" s="178">
        <f>'Ozone-Energy'!H51</f>
        <v>2644777.1428571432</v>
      </c>
      <c r="J58" s="183">
        <f>I58 * 10^(-6)</f>
        <v>2.6447771428571429</v>
      </c>
      <c r="K58" s="207">
        <f>'Ozone-Energy'!J51</f>
        <v>73700</v>
      </c>
      <c r="L58" s="182">
        <f t="shared" si="1"/>
        <v>73.7</v>
      </c>
      <c r="M58" s="182">
        <f>'Ozone-Energy'!L51</f>
        <v>147400000</v>
      </c>
      <c r="N58" s="184">
        <f>'Ozone-Energy'!M51</f>
        <v>147.4</v>
      </c>
      <c r="O58" s="182">
        <f>'Ozone-Energy'!N51</f>
        <v>1200</v>
      </c>
      <c r="P58" s="185">
        <f xml:space="preserve"> O58 * 3600 / 1000000</f>
        <v>4.32</v>
      </c>
      <c r="Q58" s="186">
        <f>(J58 + N58 + P58)</f>
        <v>154.36477714285715</v>
      </c>
      <c r="R58" s="182">
        <f>'Ozone-Energy'!Q51</f>
        <v>0</v>
      </c>
      <c r="S58" s="43">
        <f>'Ozone-Energy'!R51</f>
        <v>0</v>
      </c>
      <c r="T58" s="43">
        <f>'Ozone-Energy'!S51</f>
        <v>0</v>
      </c>
      <c r="U58" s="182"/>
      <c r="V58" s="182"/>
      <c r="W58">
        <f>'Ozone-Energy'!V51</f>
        <v>0</v>
      </c>
      <c r="X58">
        <f>'Ozone-Energy'!W51</f>
        <v>0</v>
      </c>
      <c r="Y58">
        <f>'Ozone-Energy'!X51</f>
        <v>0</v>
      </c>
      <c r="Z58">
        <f>'Ozone-Energy'!Y51</f>
        <v>0</v>
      </c>
      <c r="AA58" s="182"/>
      <c r="AB58" s="208"/>
    </row>
    <row r="59" spans="3:28" ht="15">
      <c r="C59">
        <v>42</v>
      </c>
      <c r="D59" s="359">
        <v>46.6</v>
      </c>
      <c r="E59" s="211">
        <f t="shared" si="0"/>
        <v>51.260000000000005</v>
      </c>
      <c r="F59" s="211">
        <f>'Studio Rain System'!L64</f>
        <v>20</v>
      </c>
      <c r="G59" s="211">
        <f>'Studio Rain System'!M64</f>
        <v>0.745</v>
      </c>
      <c r="H59" s="206">
        <f>'Flow Rate'!$W$27</f>
        <v>464206.53322409093</v>
      </c>
      <c r="I59" s="178">
        <f>'Ozone-Energy'!H52</f>
        <v>9197508.5714285728</v>
      </c>
      <c r="J59" s="128">
        <f t="shared" si="3"/>
        <v>9.1975085714285729</v>
      </c>
      <c r="K59" s="193">
        <f>'Ozone-Energy'!J52</f>
        <v>256300.00000000006</v>
      </c>
      <c r="L59" s="43">
        <f t="shared" si="1"/>
        <v>256.30000000000007</v>
      </c>
      <c r="M59" s="43">
        <f>'Ozone-Energy'!L52</f>
        <v>512600000.00000012</v>
      </c>
      <c r="N59" s="179">
        <f>'Ozone-Energy'!M52</f>
        <v>512.60000000000014</v>
      </c>
      <c r="O59" s="43">
        <f>'Ozone-Energy'!N52</f>
        <v>1200</v>
      </c>
      <c r="P59" s="180">
        <f t="shared" ref="P59:P67" si="8">O59 * 3600 / 1000000</f>
        <v>4.32</v>
      </c>
      <c r="Q59" s="181">
        <f t="shared" ref="Q59:Q122" si="9">J59 + N59 + P59</f>
        <v>526.11750857142874</v>
      </c>
      <c r="R59" s="43">
        <f>'Ozone-Energy'!Q52</f>
        <v>0</v>
      </c>
      <c r="S59" s="43">
        <f>'Ozone-Energy'!R52</f>
        <v>0</v>
      </c>
      <c r="T59" s="43">
        <f>'Ozone-Energy'!S52</f>
        <v>0</v>
      </c>
      <c r="U59" s="43"/>
      <c r="V59" s="43"/>
      <c r="W59">
        <f>'Ozone-Energy'!V52</f>
        <v>0</v>
      </c>
      <c r="X59">
        <f>'Ozone-Energy'!W52</f>
        <v>0</v>
      </c>
      <c r="Y59">
        <f>'Ozone-Energy'!X52</f>
        <v>0</v>
      </c>
      <c r="Z59">
        <f>'Ozone-Energy'!Y52</f>
        <v>0</v>
      </c>
      <c r="AA59" s="43"/>
    </row>
    <row r="60" spans="3:28" ht="15">
      <c r="C60">
        <v>43</v>
      </c>
      <c r="D60" s="359">
        <v>16.8</v>
      </c>
      <c r="E60" s="211">
        <f t="shared" si="0"/>
        <v>18.480000000000004</v>
      </c>
      <c r="F60" s="211">
        <f>'Studio Rain System'!L65</f>
        <v>20</v>
      </c>
      <c r="G60" s="211">
        <f>'Studio Rain System'!M65</f>
        <v>0.745</v>
      </c>
      <c r="H60" s="206">
        <f>'Flow Rate'!$W$27</f>
        <v>464206.53322409093</v>
      </c>
      <c r="I60" s="178">
        <f>'Ozone-Energy'!H53</f>
        <v>3315840.0000000009</v>
      </c>
      <c r="J60" s="128">
        <f t="shared" si="3"/>
        <v>3.3158400000000006</v>
      </c>
      <c r="K60" s="193">
        <f>'Ozone-Energy'!J53</f>
        <v>92400.000000000029</v>
      </c>
      <c r="L60" s="43">
        <f t="shared" si="1"/>
        <v>92.400000000000034</v>
      </c>
      <c r="M60" s="43">
        <f>'Ozone-Energy'!L53</f>
        <v>184800000.00000006</v>
      </c>
      <c r="N60" s="179">
        <f>'Ozone-Energy'!M53</f>
        <v>184.80000000000007</v>
      </c>
      <c r="O60" s="43">
        <f>'Ozone-Energy'!N53</f>
        <v>1200</v>
      </c>
      <c r="P60" s="180">
        <f t="shared" si="8"/>
        <v>4.32</v>
      </c>
      <c r="Q60" s="181">
        <f t="shared" si="9"/>
        <v>192.43584000000007</v>
      </c>
      <c r="R60" s="43">
        <f>'Ozone-Energy'!Q53</f>
        <v>0</v>
      </c>
      <c r="S60" s="43">
        <f>'Ozone-Energy'!R53</f>
        <v>0</v>
      </c>
      <c r="T60" s="43">
        <f>'Ozone-Energy'!S53</f>
        <v>0</v>
      </c>
      <c r="U60" s="43"/>
      <c r="V60" s="43"/>
      <c r="W60">
        <f>'Ozone-Energy'!V53</f>
        <v>0</v>
      </c>
      <c r="X60">
        <f>'Ozone-Energy'!W53</f>
        <v>0</v>
      </c>
      <c r="Y60">
        <f>'Ozone-Energy'!X53</f>
        <v>0</v>
      </c>
      <c r="Z60">
        <f>'Ozone-Energy'!Y53</f>
        <v>0</v>
      </c>
      <c r="AA60" s="43"/>
    </row>
    <row r="61" spans="3:28" ht="15">
      <c r="C61">
        <v>44</v>
      </c>
      <c r="D61" s="359">
        <v>15.6</v>
      </c>
      <c r="E61" s="211">
        <f t="shared" si="0"/>
        <v>17.16</v>
      </c>
      <c r="F61" s="211">
        <f>'Studio Rain System'!L66</f>
        <v>20</v>
      </c>
      <c r="G61" s="211">
        <f>'Studio Rain System'!M66</f>
        <v>0.745</v>
      </c>
      <c r="H61" s="206">
        <f>'Flow Rate'!$W$27</f>
        <v>464206.53322409093</v>
      </c>
      <c r="I61" s="178">
        <f>'Ozone-Energy'!H54</f>
        <v>3078994.2857142859</v>
      </c>
      <c r="J61" s="128">
        <f t="shared" si="3"/>
        <v>3.0789942857142858</v>
      </c>
      <c r="K61" s="193">
        <f>'Ozone-Energy'!J54</f>
        <v>85800</v>
      </c>
      <c r="L61" s="43">
        <f t="shared" si="1"/>
        <v>85.8</v>
      </c>
      <c r="M61" s="43">
        <f>'Ozone-Energy'!L54</f>
        <v>171600000</v>
      </c>
      <c r="N61" s="179">
        <f>'Ozone-Energy'!M54</f>
        <v>171.6</v>
      </c>
      <c r="O61" s="43">
        <f>'Ozone-Energy'!N54</f>
        <v>1200</v>
      </c>
      <c r="P61" s="180">
        <f t="shared" si="8"/>
        <v>4.32</v>
      </c>
      <c r="Q61" s="181">
        <f t="shared" si="9"/>
        <v>178.99899428571428</v>
      </c>
      <c r="R61" s="43">
        <f>'Ozone-Energy'!Q54</f>
        <v>0</v>
      </c>
      <c r="S61" s="43">
        <f>'Ozone-Energy'!R54</f>
        <v>0</v>
      </c>
      <c r="T61" s="43">
        <f>'Ozone-Energy'!S54</f>
        <v>0</v>
      </c>
      <c r="U61" s="43"/>
      <c r="V61" s="43"/>
      <c r="W61">
        <f>'Ozone-Energy'!V54</f>
        <v>0</v>
      </c>
      <c r="X61">
        <f>'Ozone-Energy'!W54</f>
        <v>0</v>
      </c>
      <c r="Y61">
        <f>'Ozone-Energy'!X54</f>
        <v>0</v>
      </c>
      <c r="Z61">
        <f>'Ozone-Energy'!Y54</f>
        <v>0</v>
      </c>
      <c r="AA61" s="43"/>
    </row>
    <row r="62" spans="3:28" ht="15">
      <c r="C62">
        <v>45</v>
      </c>
      <c r="D62" s="359">
        <v>3</v>
      </c>
      <c r="E62" s="211">
        <f t="shared" si="0"/>
        <v>3.3000000000000003</v>
      </c>
      <c r="F62" s="211">
        <f>'Studio Rain System'!L67</f>
        <v>20</v>
      </c>
      <c r="G62" s="211">
        <f>'Studio Rain System'!M67</f>
        <v>0.745</v>
      </c>
      <c r="H62" s="206">
        <f>'Flow Rate'!$W$27</f>
        <v>464206.53322409093</v>
      </c>
      <c r="I62" s="178">
        <f>'Ozone-Energy'!H55</f>
        <v>592114.2857142858</v>
      </c>
      <c r="J62" s="128">
        <f t="shared" si="3"/>
        <v>0.59211428571428582</v>
      </c>
      <c r="K62" s="193">
        <f>'Ozone-Energy'!J55</f>
        <v>16500.000000000004</v>
      </c>
      <c r="L62" s="43">
        <f t="shared" si="1"/>
        <v>16.500000000000004</v>
      </c>
      <c r="M62" s="43">
        <f>'Ozone-Energy'!L55</f>
        <v>33000000.000000007</v>
      </c>
      <c r="N62" s="179">
        <f>'Ozone-Energy'!M55</f>
        <v>33.000000000000007</v>
      </c>
      <c r="O62" s="43">
        <f>'Ozone-Energy'!N55</f>
        <v>1200</v>
      </c>
      <c r="P62" s="180">
        <f t="shared" si="8"/>
        <v>4.32</v>
      </c>
      <c r="Q62" s="181">
        <f t="shared" si="9"/>
        <v>37.912114285714296</v>
      </c>
      <c r="R62" s="43">
        <f>'Ozone-Energy'!Q55</f>
        <v>0</v>
      </c>
      <c r="S62" s="43">
        <f>'Ozone-Energy'!R55</f>
        <v>0</v>
      </c>
      <c r="T62" s="43">
        <f>'Ozone-Energy'!S55</f>
        <v>0</v>
      </c>
      <c r="U62" s="43"/>
      <c r="V62" s="43"/>
      <c r="W62">
        <f>'Ozone-Energy'!V55</f>
        <v>0</v>
      </c>
      <c r="X62">
        <f>'Ozone-Energy'!W55</f>
        <v>0</v>
      </c>
      <c r="Y62">
        <f>'Ozone-Energy'!X55</f>
        <v>0</v>
      </c>
      <c r="Z62">
        <f>'Ozone-Energy'!Y55</f>
        <v>0</v>
      </c>
      <c r="AA62" s="43"/>
    </row>
    <row r="63" spans="3:28" ht="15">
      <c r="C63">
        <v>46</v>
      </c>
      <c r="D63" s="359">
        <v>11.6</v>
      </c>
      <c r="E63" s="211">
        <f t="shared" si="0"/>
        <v>12.76</v>
      </c>
      <c r="F63" s="211">
        <f>'Studio Rain System'!L68</f>
        <v>20</v>
      </c>
      <c r="G63" s="211">
        <f>'Studio Rain System'!M68</f>
        <v>0.745</v>
      </c>
      <c r="H63" s="206">
        <f>'Flow Rate'!$W$27</f>
        <v>464206.53322409093</v>
      </c>
      <c r="I63" s="178">
        <f>'Ozone-Energy'!H56</f>
        <v>2289508.5714285714</v>
      </c>
      <c r="J63" s="128">
        <f t="shared" si="3"/>
        <v>2.2895085714285712</v>
      </c>
      <c r="K63" s="193">
        <f>'Ozone-Energy'!J56</f>
        <v>63800</v>
      </c>
      <c r="L63" s="43">
        <f t="shared" si="1"/>
        <v>63.8</v>
      </c>
      <c r="M63" s="43">
        <f>'Ozone-Energy'!L56</f>
        <v>127600000</v>
      </c>
      <c r="N63" s="179">
        <f>'Ozone-Energy'!M56</f>
        <v>127.6</v>
      </c>
      <c r="O63" s="43">
        <f>'Ozone-Energy'!N56</f>
        <v>1200</v>
      </c>
      <c r="P63" s="180">
        <f t="shared" si="8"/>
        <v>4.32</v>
      </c>
      <c r="Q63" s="181">
        <f t="shared" si="9"/>
        <v>134.20950857142856</v>
      </c>
      <c r="R63" s="43">
        <f>'Ozone-Energy'!Q56</f>
        <v>0</v>
      </c>
      <c r="S63" s="43">
        <f>'Ozone-Energy'!R56</f>
        <v>0</v>
      </c>
      <c r="T63" s="43">
        <f>'Ozone-Energy'!S56</f>
        <v>0</v>
      </c>
      <c r="U63" s="43"/>
      <c r="V63" s="43"/>
      <c r="W63">
        <f>'Ozone-Energy'!V56</f>
        <v>0</v>
      </c>
      <c r="X63">
        <f>'Ozone-Energy'!W56</f>
        <v>0</v>
      </c>
      <c r="Y63">
        <f>'Ozone-Energy'!X56</f>
        <v>0</v>
      </c>
      <c r="Z63">
        <f>'Ozone-Energy'!Y56</f>
        <v>0</v>
      </c>
      <c r="AA63" s="43"/>
    </row>
    <row r="64" spans="3:28" ht="15">
      <c r="C64">
        <v>47</v>
      </c>
      <c r="D64" s="359">
        <v>19</v>
      </c>
      <c r="E64" s="211">
        <f t="shared" si="0"/>
        <v>20.9</v>
      </c>
      <c r="F64" s="211">
        <f>'Studio Rain System'!L69</f>
        <v>20</v>
      </c>
      <c r="G64" s="211">
        <f>'Studio Rain System'!M69</f>
        <v>0.745</v>
      </c>
      <c r="H64" s="206">
        <f>'Flow Rate'!$W$27</f>
        <v>464206.53322409093</v>
      </c>
      <c r="I64" s="178">
        <f>'Ozone-Energy'!H57</f>
        <v>3750057.1428571432</v>
      </c>
      <c r="J64" s="128">
        <f t="shared" si="3"/>
        <v>3.750057142857143</v>
      </c>
      <c r="K64" s="193">
        <f>'Ozone-Energy'!J57</f>
        <v>104500</v>
      </c>
      <c r="L64" s="43">
        <f t="shared" si="1"/>
        <v>104.5</v>
      </c>
      <c r="M64" s="43">
        <f>'Ozone-Energy'!L57</f>
        <v>209000000</v>
      </c>
      <c r="N64" s="179">
        <f>'Ozone-Energy'!M57</f>
        <v>209</v>
      </c>
      <c r="O64" s="43">
        <f>'Ozone-Energy'!N57</f>
        <v>1200</v>
      </c>
      <c r="P64" s="180">
        <f t="shared" si="8"/>
        <v>4.32</v>
      </c>
      <c r="Q64" s="181">
        <f t="shared" si="9"/>
        <v>217.07005714285714</v>
      </c>
      <c r="R64" s="43">
        <f>'Ozone-Energy'!Q57</f>
        <v>0</v>
      </c>
      <c r="S64" s="43">
        <f>'Ozone-Energy'!R57</f>
        <v>0</v>
      </c>
      <c r="T64" s="43">
        <f>'Ozone-Energy'!S57</f>
        <v>0</v>
      </c>
      <c r="U64" s="43"/>
      <c r="V64" s="43"/>
      <c r="W64">
        <f>'Ozone-Energy'!V57</f>
        <v>0</v>
      </c>
      <c r="X64">
        <f>'Ozone-Energy'!W57</f>
        <v>0</v>
      </c>
      <c r="Y64">
        <f>'Ozone-Energy'!X57</f>
        <v>0</v>
      </c>
      <c r="Z64">
        <f>'Ozone-Energy'!Y57</f>
        <v>0</v>
      </c>
      <c r="AA64" s="43"/>
    </row>
    <row r="65" spans="3:29" ht="15">
      <c r="C65">
        <v>48</v>
      </c>
      <c r="D65" s="359">
        <v>9.1999999999999993</v>
      </c>
      <c r="E65" s="211">
        <f t="shared" si="0"/>
        <v>10.119999999999999</v>
      </c>
      <c r="F65" s="211">
        <f>'Studio Rain System'!L70</f>
        <v>20</v>
      </c>
      <c r="G65" s="211">
        <f>'Studio Rain System'!M70</f>
        <v>0.745</v>
      </c>
      <c r="H65" s="206">
        <f>'Flow Rate'!$W$27</f>
        <v>464206.53322409093</v>
      </c>
      <c r="I65" s="178">
        <f>'Ozone-Energy'!H58</f>
        <v>1815817.142857143</v>
      </c>
      <c r="J65" s="128">
        <f t="shared" si="3"/>
        <v>1.8158171428571428</v>
      </c>
      <c r="K65" s="193">
        <f>'Ozone-Energy'!J58</f>
        <v>50600</v>
      </c>
      <c r="L65" s="43">
        <f t="shared" si="1"/>
        <v>50.6</v>
      </c>
      <c r="M65" s="43">
        <f>'Ozone-Energy'!L58</f>
        <v>101200000</v>
      </c>
      <c r="N65" s="179">
        <f>'Ozone-Energy'!M58</f>
        <v>101.2</v>
      </c>
      <c r="O65" s="43">
        <f>'Ozone-Energy'!N58</f>
        <v>1200</v>
      </c>
      <c r="P65" s="180">
        <f t="shared" si="8"/>
        <v>4.32</v>
      </c>
      <c r="Q65" s="181">
        <f t="shared" si="9"/>
        <v>107.33581714285714</v>
      </c>
      <c r="R65" s="43">
        <f>'Ozone-Energy'!Q58</f>
        <v>0</v>
      </c>
      <c r="S65" s="43">
        <f>'Ozone-Energy'!R58</f>
        <v>0</v>
      </c>
      <c r="T65" s="43">
        <f>'Ozone-Energy'!S58</f>
        <v>0</v>
      </c>
      <c r="U65" s="43"/>
      <c r="V65" s="43"/>
      <c r="W65">
        <f>'Ozone-Energy'!V58</f>
        <v>0</v>
      </c>
      <c r="X65">
        <f>'Ozone-Energy'!W58</f>
        <v>0</v>
      </c>
      <c r="Y65">
        <f>'Ozone-Energy'!X58</f>
        <v>0</v>
      </c>
      <c r="Z65">
        <f>'Ozone-Energy'!Y58</f>
        <v>0</v>
      </c>
      <c r="AA65" s="43"/>
    </row>
    <row r="66" spans="3:29" ht="15">
      <c r="C66">
        <v>49</v>
      </c>
      <c r="D66" s="359">
        <v>12.6</v>
      </c>
      <c r="E66" s="211">
        <f t="shared" si="0"/>
        <v>13.86</v>
      </c>
      <c r="F66" s="211">
        <f>'Studio Rain System'!L71</f>
        <v>20</v>
      </c>
      <c r="G66" s="211">
        <f>'Studio Rain System'!M71</f>
        <v>0.745</v>
      </c>
      <c r="H66" s="206">
        <f>'Flow Rate'!$W$27</f>
        <v>464206.53322409093</v>
      </c>
      <c r="I66" s="178">
        <f>'Ozone-Energy'!H59</f>
        <v>2486880</v>
      </c>
      <c r="J66" s="128">
        <f t="shared" si="3"/>
        <v>2.4868799999999998</v>
      </c>
      <c r="K66" s="193">
        <f>'Ozone-Energy'!J59</f>
        <v>69300</v>
      </c>
      <c r="L66" s="43">
        <f t="shared" si="1"/>
        <v>69.3</v>
      </c>
      <c r="M66" s="43">
        <f>'Ozone-Energy'!L59</f>
        <v>138600000</v>
      </c>
      <c r="N66" s="179">
        <f>'Ozone-Energy'!M59</f>
        <v>138.6</v>
      </c>
      <c r="O66" s="43">
        <f>'Ozone-Energy'!N59</f>
        <v>1200</v>
      </c>
      <c r="P66" s="180">
        <f t="shared" si="8"/>
        <v>4.32</v>
      </c>
      <c r="Q66" s="181">
        <f t="shared" si="9"/>
        <v>145.40688</v>
      </c>
      <c r="R66" s="43">
        <f>'Ozone-Energy'!Q59</f>
        <v>0</v>
      </c>
      <c r="S66" s="43">
        <f>'Ozone-Energy'!R59</f>
        <v>0</v>
      </c>
      <c r="T66" s="43">
        <f>'Ozone-Energy'!S59</f>
        <v>0</v>
      </c>
      <c r="U66" s="43"/>
      <c r="V66" s="43"/>
      <c r="W66">
        <f>'Ozone-Energy'!V59</f>
        <v>0</v>
      </c>
      <c r="X66">
        <f>'Ozone-Energy'!W59</f>
        <v>0</v>
      </c>
      <c r="Y66">
        <f>'Ozone-Energy'!X59</f>
        <v>0</v>
      </c>
      <c r="Z66">
        <f>'Ozone-Energy'!Y59</f>
        <v>0</v>
      </c>
      <c r="AA66" s="43"/>
    </row>
    <row r="67" spans="3:29" ht="15">
      <c r="C67">
        <v>50</v>
      </c>
      <c r="D67" s="359">
        <v>21.8</v>
      </c>
      <c r="E67" s="211">
        <f t="shared" si="0"/>
        <v>23.98</v>
      </c>
      <c r="F67" s="211">
        <f>'Studio Rain System'!L72</f>
        <v>20</v>
      </c>
      <c r="G67" s="211">
        <f>'Studio Rain System'!M72</f>
        <v>0.745</v>
      </c>
      <c r="H67" s="206">
        <f>'Flow Rate'!$W$27</f>
        <v>464206.53322409093</v>
      </c>
      <c r="I67" s="178">
        <f>'Ozone-Energy'!H60</f>
        <v>4302697.1428571427</v>
      </c>
      <c r="J67" s="128">
        <f t="shared" si="3"/>
        <v>4.3026971428571423</v>
      </c>
      <c r="K67" s="193">
        <f>'Ozone-Energy'!J60</f>
        <v>119900</v>
      </c>
      <c r="L67" s="43">
        <f t="shared" si="1"/>
        <v>119.9</v>
      </c>
      <c r="M67" s="43">
        <f>'Ozone-Energy'!L60</f>
        <v>239800000</v>
      </c>
      <c r="N67" s="179">
        <f>'Ozone-Energy'!M60</f>
        <v>239.8</v>
      </c>
      <c r="O67" s="43">
        <f>'Ozone-Energy'!N60</f>
        <v>1200</v>
      </c>
      <c r="P67" s="180">
        <f t="shared" si="8"/>
        <v>4.32</v>
      </c>
      <c r="Q67" s="181">
        <f t="shared" si="9"/>
        <v>248.42269714285715</v>
      </c>
      <c r="R67" s="43">
        <f>'Ozone-Energy'!Q60</f>
        <v>0</v>
      </c>
      <c r="S67" s="43">
        <f>'Ozone-Energy'!R60</f>
        <v>0</v>
      </c>
      <c r="T67" s="43">
        <f>'Ozone-Energy'!S60</f>
        <v>0</v>
      </c>
      <c r="U67" s="43"/>
      <c r="V67" s="43"/>
      <c r="W67">
        <f>'Ozone-Energy'!V60</f>
        <v>0</v>
      </c>
      <c r="X67">
        <f>'Ozone-Energy'!W60</f>
        <v>0</v>
      </c>
      <c r="Y67">
        <f>'Ozone-Energy'!X60</f>
        <v>0</v>
      </c>
      <c r="Z67">
        <f>'Ozone-Energy'!Y60</f>
        <v>0</v>
      </c>
      <c r="AA67" s="43"/>
    </row>
    <row r="68" spans="3:29" ht="15">
      <c r="C68">
        <v>51</v>
      </c>
      <c r="D68" s="359">
        <v>2.4</v>
      </c>
      <c r="E68" s="211">
        <f t="shared" si="0"/>
        <v>2.6399999999999997</v>
      </c>
      <c r="F68" s="211">
        <f>'Studio Rain System'!L73</f>
        <v>20</v>
      </c>
      <c r="G68" s="211">
        <f>'Studio Rain System'!M73</f>
        <v>0.745</v>
      </c>
      <c r="H68" s="206">
        <f>'Flow Rate'!$W$27</f>
        <v>464206.53322409093</v>
      </c>
      <c r="I68" s="178">
        <f>'Ozone-Energy'!H61</f>
        <v>473691.42857142852</v>
      </c>
      <c r="J68" s="128">
        <f t="shared" si="3"/>
        <v>0.47369142857142849</v>
      </c>
      <c r="K68" s="193">
        <f>'Ozone-Energy'!J61</f>
        <v>13199.999999999996</v>
      </c>
      <c r="L68" s="43">
        <f t="shared" si="1"/>
        <v>13.199999999999996</v>
      </c>
      <c r="M68" s="43">
        <f>'Ozone-Energy'!L61</f>
        <v>26399999.999999993</v>
      </c>
      <c r="N68" s="179">
        <f>'Ozone-Energy'!M61</f>
        <v>26.399999999999991</v>
      </c>
      <c r="O68" s="43">
        <f>'Ozone-Energy'!N61</f>
        <v>1200</v>
      </c>
      <c r="P68" s="180">
        <f xml:space="preserve"> O68 * 3600 / 1000000</f>
        <v>4.32</v>
      </c>
      <c r="Q68" s="181">
        <f t="shared" si="9"/>
        <v>31.19369142857142</v>
      </c>
      <c r="R68" s="43">
        <f>'Ozone-Energy'!Q61</f>
        <v>0</v>
      </c>
      <c r="S68" s="43">
        <f>'Ozone-Energy'!R61</f>
        <v>0</v>
      </c>
      <c r="T68" s="43">
        <f>'Ozone-Energy'!S61</f>
        <v>0</v>
      </c>
      <c r="U68" s="43"/>
      <c r="V68" s="43"/>
      <c r="W68">
        <f>'Ozone-Energy'!V61</f>
        <v>0</v>
      </c>
      <c r="X68">
        <f>'Ozone-Energy'!W61</f>
        <v>0</v>
      </c>
      <c r="Y68">
        <f>'Ozone-Energy'!X61</f>
        <v>0</v>
      </c>
      <c r="Z68">
        <f>'Ozone-Energy'!Y61</f>
        <v>0</v>
      </c>
      <c r="AA68" s="43"/>
    </row>
    <row r="69" spans="3:29" ht="15">
      <c r="C69">
        <v>52</v>
      </c>
      <c r="D69" s="359">
        <v>0.8</v>
      </c>
      <c r="E69" s="211">
        <f t="shared" si="0"/>
        <v>0.88</v>
      </c>
      <c r="F69" s="211">
        <f>'Studio Rain System'!L74</f>
        <v>20</v>
      </c>
      <c r="G69" s="211">
        <f>'Studio Rain System'!M74</f>
        <v>0.745</v>
      </c>
      <c r="H69" s="206">
        <f>'Flow Rate'!$W$27</f>
        <v>464206.53322409093</v>
      </c>
      <c r="I69" s="178">
        <f>'Ozone-Energy'!H62</f>
        <v>157897.14285714287</v>
      </c>
      <c r="J69" s="128">
        <f t="shared" si="3"/>
        <v>0.15789714285714287</v>
      </c>
      <c r="K69" s="193">
        <f>'Ozone-Energy'!J62</f>
        <v>4400</v>
      </c>
      <c r="L69" s="43">
        <f t="shared" si="1"/>
        <v>4.4000000000000004</v>
      </c>
      <c r="M69" s="43">
        <f>'Ozone-Energy'!L62</f>
        <v>8800000</v>
      </c>
      <c r="N69" s="179">
        <f>'Ozone-Energy'!M62</f>
        <v>8.8000000000000007</v>
      </c>
      <c r="O69" s="43">
        <f>'Ozone-Energy'!N62</f>
        <v>1200</v>
      </c>
      <c r="P69" s="180">
        <f t="shared" ref="P69:P77" si="10">O69 * 3600 / 1000000</f>
        <v>4.32</v>
      </c>
      <c r="Q69" s="181">
        <f t="shared" si="9"/>
        <v>13.277897142857144</v>
      </c>
      <c r="R69" s="43">
        <f>'Ozone-Energy'!Q62</f>
        <v>0</v>
      </c>
      <c r="S69" s="43">
        <f>'Ozone-Energy'!R62</f>
        <v>0</v>
      </c>
      <c r="T69" s="43">
        <f>'Ozone-Energy'!S62</f>
        <v>0</v>
      </c>
      <c r="U69" s="43"/>
      <c r="V69" s="43"/>
      <c r="W69">
        <f>'Ozone-Energy'!V62</f>
        <v>0</v>
      </c>
      <c r="X69">
        <f>'Ozone-Energy'!W62</f>
        <v>0</v>
      </c>
      <c r="Y69">
        <f>'Ozone-Energy'!X62</f>
        <v>0</v>
      </c>
      <c r="Z69">
        <f>'Ozone-Energy'!Y62</f>
        <v>0</v>
      </c>
      <c r="AA69" s="43"/>
    </row>
    <row r="70" spans="3:29" ht="15">
      <c r="C70">
        <v>53</v>
      </c>
      <c r="D70" s="359">
        <v>4.8</v>
      </c>
      <c r="E70" s="211">
        <f t="shared" si="0"/>
        <v>5.2799999999999994</v>
      </c>
      <c r="F70" s="211">
        <f>'Studio Rain System'!L75</f>
        <v>20</v>
      </c>
      <c r="G70" s="211">
        <f>'Studio Rain System'!M75</f>
        <v>0.745</v>
      </c>
      <c r="H70" s="206">
        <f>'Flow Rate'!$W$27</f>
        <v>464206.53322409093</v>
      </c>
      <c r="I70" s="178">
        <f>'Ozone-Energy'!H63</f>
        <v>947382.85714285704</v>
      </c>
      <c r="J70" s="128">
        <f t="shared" si="3"/>
        <v>0.94738285714285697</v>
      </c>
      <c r="K70" s="193">
        <f>'Ozone-Energy'!J63</f>
        <v>26399.999999999993</v>
      </c>
      <c r="L70" s="43">
        <f t="shared" si="1"/>
        <v>26.399999999999991</v>
      </c>
      <c r="M70" s="43">
        <f>'Ozone-Energy'!L63</f>
        <v>52799999.999999985</v>
      </c>
      <c r="N70" s="179">
        <f>'Ozone-Energy'!M63</f>
        <v>52.799999999999983</v>
      </c>
      <c r="O70" s="43">
        <f>'Ozone-Energy'!N63</f>
        <v>1200</v>
      </c>
      <c r="P70" s="180">
        <f t="shared" si="10"/>
        <v>4.32</v>
      </c>
      <c r="Q70" s="181">
        <f t="shared" si="9"/>
        <v>58.067382857142839</v>
      </c>
      <c r="R70" s="43">
        <f>'Ozone-Energy'!Q63</f>
        <v>0</v>
      </c>
      <c r="S70" s="43">
        <f>'Ozone-Energy'!R63</f>
        <v>0</v>
      </c>
      <c r="T70" s="43">
        <f>'Ozone-Energy'!S63</f>
        <v>0</v>
      </c>
      <c r="U70" s="43"/>
      <c r="V70" s="43"/>
      <c r="W70">
        <f>'Ozone-Energy'!V63</f>
        <v>0</v>
      </c>
      <c r="X70">
        <f>'Ozone-Energy'!W63</f>
        <v>0</v>
      </c>
      <c r="Y70">
        <f>'Ozone-Energy'!X63</f>
        <v>0</v>
      </c>
      <c r="Z70">
        <f>'Ozone-Energy'!Y63</f>
        <v>0</v>
      </c>
      <c r="AA70" s="43"/>
    </row>
    <row r="71" spans="3:29" ht="15">
      <c r="C71">
        <v>54</v>
      </c>
      <c r="D71" s="359">
        <v>14.6</v>
      </c>
      <c r="E71" s="211">
        <f t="shared" si="0"/>
        <v>16.059999999999999</v>
      </c>
      <c r="F71" s="211">
        <f>'Studio Rain System'!L76</f>
        <v>20</v>
      </c>
      <c r="G71" s="211">
        <f>'Studio Rain System'!M76</f>
        <v>0.745</v>
      </c>
      <c r="H71" s="206">
        <f>'Flow Rate'!$W$27</f>
        <v>464206.53322409093</v>
      </c>
      <c r="I71" s="178">
        <f>'Ozone-Energy'!H64</f>
        <v>2881622.8571428568</v>
      </c>
      <c r="J71" s="128">
        <f t="shared" si="3"/>
        <v>2.8816228571428568</v>
      </c>
      <c r="K71" s="193">
        <f>'Ozone-Energy'!J64</f>
        <v>80299.999999999985</v>
      </c>
      <c r="L71" s="43">
        <f t="shared" si="1"/>
        <v>80.299999999999983</v>
      </c>
      <c r="M71" s="43">
        <f>'Ozone-Energy'!L64</f>
        <v>160599999.99999997</v>
      </c>
      <c r="N71" s="179">
        <f>'Ozone-Energy'!M64</f>
        <v>160.59999999999997</v>
      </c>
      <c r="O71" s="43">
        <f>'Ozone-Energy'!N64</f>
        <v>1200</v>
      </c>
      <c r="P71" s="180">
        <f t="shared" si="10"/>
        <v>4.32</v>
      </c>
      <c r="Q71" s="181">
        <f t="shared" si="9"/>
        <v>167.8016228571428</v>
      </c>
      <c r="R71" s="43">
        <f>'Ozone-Energy'!Q64</f>
        <v>0</v>
      </c>
      <c r="S71" s="43">
        <f>'Ozone-Energy'!R64</f>
        <v>0</v>
      </c>
      <c r="T71" s="43">
        <f>'Ozone-Energy'!S64</f>
        <v>0</v>
      </c>
      <c r="U71" s="43"/>
      <c r="V71" s="43"/>
      <c r="W71">
        <f>'Ozone-Energy'!V64</f>
        <v>0</v>
      </c>
      <c r="X71">
        <f>'Ozone-Energy'!W64</f>
        <v>0</v>
      </c>
      <c r="Y71">
        <f>'Ozone-Energy'!X64</f>
        <v>0</v>
      </c>
      <c r="Z71">
        <f>'Ozone-Energy'!Y64</f>
        <v>0</v>
      </c>
      <c r="AA71" s="43"/>
    </row>
    <row r="72" spans="3:29" ht="15">
      <c r="C72">
        <v>55</v>
      </c>
      <c r="D72" s="359">
        <v>6.8</v>
      </c>
      <c r="E72" s="211">
        <f t="shared" si="0"/>
        <v>7.4799999999999995</v>
      </c>
      <c r="F72" s="211">
        <f>'Studio Rain System'!L77</f>
        <v>20</v>
      </c>
      <c r="G72" s="211">
        <f>'Studio Rain System'!M77</f>
        <v>0.745</v>
      </c>
      <c r="H72" s="206">
        <f>'Flow Rate'!$W$27</f>
        <v>464206.53322409093</v>
      </c>
      <c r="I72" s="178">
        <f>'Ozone-Energy'!H65</f>
        <v>1342125.7142857143</v>
      </c>
      <c r="J72" s="128">
        <f t="shared" si="3"/>
        <v>1.3421257142857144</v>
      </c>
      <c r="K72" s="193">
        <f>'Ozone-Energy'!J65</f>
        <v>37399.999999999993</v>
      </c>
      <c r="L72" s="43">
        <f t="shared" si="1"/>
        <v>37.399999999999991</v>
      </c>
      <c r="M72" s="43">
        <f>'Ozone-Energy'!L65</f>
        <v>74799999.999999985</v>
      </c>
      <c r="N72" s="179">
        <f>'Ozone-Energy'!M65</f>
        <v>74.799999999999983</v>
      </c>
      <c r="O72" s="43">
        <f>'Ozone-Energy'!N65</f>
        <v>1200</v>
      </c>
      <c r="P72" s="180">
        <f t="shared" si="10"/>
        <v>4.32</v>
      </c>
      <c r="Q72" s="181">
        <f t="shared" si="9"/>
        <v>80.46212571428569</v>
      </c>
      <c r="R72" s="43">
        <f>'Ozone-Energy'!Q65</f>
        <v>0</v>
      </c>
      <c r="S72" s="43">
        <f>'Ozone-Energy'!R65</f>
        <v>0</v>
      </c>
      <c r="T72" s="43">
        <f>'Ozone-Energy'!S65</f>
        <v>0</v>
      </c>
      <c r="U72" s="43"/>
      <c r="V72" s="43"/>
      <c r="W72">
        <f>'Ozone-Energy'!V65</f>
        <v>0</v>
      </c>
      <c r="X72">
        <f>'Ozone-Energy'!W65</f>
        <v>0</v>
      </c>
      <c r="Y72">
        <f>'Ozone-Energy'!X65</f>
        <v>0</v>
      </c>
      <c r="Z72">
        <f>'Ozone-Energy'!Y65</f>
        <v>0</v>
      </c>
      <c r="AA72" s="43"/>
    </row>
    <row r="73" spans="3:29" ht="15">
      <c r="C73">
        <v>56</v>
      </c>
      <c r="D73" s="359">
        <v>0</v>
      </c>
      <c r="E73" s="211">
        <f t="shared" si="0"/>
        <v>0</v>
      </c>
      <c r="F73" s="211">
        <f>'Studio Rain System'!L78</f>
        <v>19.254999999999999</v>
      </c>
      <c r="G73" s="211">
        <f>'Studio Rain System'!M78</f>
        <v>0.745</v>
      </c>
      <c r="H73" s="206">
        <f>'Flow Rate'!$W$27</f>
        <v>464206.53322409093</v>
      </c>
      <c r="I73" s="178">
        <f>'Ozone-Energy'!H66</f>
        <v>0</v>
      </c>
      <c r="J73" s="128">
        <f t="shared" si="3"/>
        <v>0</v>
      </c>
      <c r="K73" s="193">
        <f>'Ozone-Energy'!J66</f>
        <v>0</v>
      </c>
      <c r="L73" s="43">
        <f t="shared" si="1"/>
        <v>0</v>
      </c>
      <c r="M73" s="43">
        <f>'Ozone-Energy'!L66</f>
        <v>0</v>
      </c>
      <c r="N73" s="179">
        <f>'Ozone-Energy'!M66</f>
        <v>0</v>
      </c>
      <c r="O73" s="43">
        <f>'Ozone-Energy'!N66</f>
        <v>1200</v>
      </c>
      <c r="P73" s="180">
        <f t="shared" si="10"/>
        <v>4.32</v>
      </c>
      <c r="Q73" s="181">
        <f t="shared" si="9"/>
        <v>4.32</v>
      </c>
      <c r="R73" s="43">
        <f>'Ozone-Energy'!Q66</f>
        <v>0</v>
      </c>
      <c r="S73" s="43">
        <f>'Ozone-Energy'!R66</f>
        <v>0</v>
      </c>
      <c r="T73" s="43">
        <f>'Ozone-Energy'!S66</f>
        <v>0</v>
      </c>
      <c r="U73" s="43"/>
      <c r="V73" s="43"/>
      <c r="W73">
        <f>'Ozone-Energy'!V66</f>
        <v>0</v>
      </c>
      <c r="X73">
        <f>'Ozone-Energy'!W66</f>
        <v>0</v>
      </c>
      <c r="Y73">
        <f>'Ozone-Energy'!X66</f>
        <v>0</v>
      </c>
      <c r="Z73">
        <f>'Ozone-Energy'!Y66</f>
        <v>0</v>
      </c>
      <c r="AA73" s="43"/>
    </row>
    <row r="74" spans="3:29" ht="15">
      <c r="C74">
        <v>57</v>
      </c>
      <c r="D74" s="359">
        <v>0.8</v>
      </c>
      <c r="E74" s="211">
        <f t="shared" si="0"/>
        <v>0.88</v>
      </c>
      <c r="F74" s="211">
        <f>'Studio Rain System'!L79</f>
        <v>19.389999999999997</v>
      </c>
      <c r="G74" s="211">
        <f>'Studio Rain System'!M79</f>
        <v>0.745</v>
      </c>
      <c r="H74" s="206">
        <f>'Flow Rate'!$W$27</f>
        <v>464206.53322409093</v>
      </c>
      <c r="I74" s="178">
        <f>'Ozone-Energy'!H67</f>
        <v>157897.14285714287</v>
      </c>
      <c r="J74" s="128">
        <f t="shared" si="3"/>
        <v>0.15789714285714287</v>
      </c>
      <c r="K74" s="193">
        <f>'Ozone-Energy'!J67</f>
        <v>4400</v>
      </c>
      <c r="L74" s="43">
        <f t="shared" si="1"/>
        <v>4.4000000000000004</v>
      </c>
      <c r="M74" s="43">
        <f>'Ozone-Energy'!L67</f>
        <v>8800000</v>
      </c>
      <c r="N74" s="179">
        <f>'Ozone-Energy'!M67</f>
        <v>8.8000000000000007</v>
      </c>
      <c r="O74" s="43">
        <f>'Ozone-Energy'!N67</f>
        <v>1200</v>
      </c>
      <c r="P74" s="180">
        <f t="shared" si="10"/>
        <v>4.32</v>
      </c>
      <c r="Q74" s="181">
        <f t="shared" si="9"/>
        <v>13.277897142857144</v>
      </c>
      <c r="R74" s="43">
        <f>'Ozone-Energy'!Q67</f>
        <v>0</v>
      </c>
      <c r="S74" s="43">
        <f>'Ozone-Energy'!R67</f>
        <v>0</v>
      </c>
      <c r="T74" s="43">
        <f>'Ozone-Energy'!S67</f>
        <v>0</v>
      </c>
      <c r="U74" s="43"/>
      <c r="V74" s="43"/>
      <c r="W74">
        <f>'Ozone-Energy'!V67</f>
        <v>0</v>
      </c>
      <c r="X74">
        <f>'Ozone-Energy'!W67</f>
        <v>0</v>
      </c>
      <c r="Y74">
        <f>'Ozone-Energy'!X67</f>
        <v>0</v>
      </c>
      <c r="Z74">
        <f>'Ozone-Energy'!Y67</f>
        <v>0</v>
      </c>
      <c r="AA74" s="43"/>
    </row>
    <row r="75" spans="3:29" ht="15">
      <c r="C75">
        <v>58</v>
      </c>
      <c r="D75" s="359">
        <v>0</v>
      </c>
      <c r="E75" s="211">
        <f t="shared" si="0"/>
        <v>0</v>
      </c>
      <c r="F75" s="211">
        <f>'Studio Rain System'!L80</f>
        <v>18.644999999999996</v>
      </c>
      <c r="G75" s="211">
        <f>'Studio Rain System'!M80</f>
        <v>0.745</v>
      </c>
      <c r="H75" s="206">
        <f>'Flow Rate'!$W$27</f>
        <v>464206.53322409093</v>
      </c>
      <c r="I75" s="178">
        <f>'Ozone-Energy'!H68</f>
        <v>0</v>
      </c>
      <c r="J75" s="128">
        <f t="shared" si="3"/>
        <v>0</v>
      </c>
      <c r="K75" s="193">
        <f>'Ozone-Energy'!J68</f>
        <v>0</v>
      </c>
      <c r="L75" s="43">
        <f t="shared" si="1"/>
        <v>0</v>
      </c>
      <c r="M75" s="43">
        <f>'Ozone-Energy'!L68</f>
        <v>0</v>
      </c>
      <c r="N75" s="179">
        <f>'Ozone-Energy'!M68</f>
        <v>0</v>
      </c>
      <c r="O75" s="43">
        <f>'Ozone-Energy'!N68</f>
        <v>1200</v>
      </c>
      <c r="P75" s="180">
        <f t="shared" si="10"/>
        <v>4.32</v>
      </c>
      <c r="Q75" s="181">
        <f t="shared" si="9"/>
        <v>4.32</v>
      </c>
      <c r="R75" s="43">
        <f>'Ozone-Energy'!Q68</f>
        <v>0</v>
      </c>
      <c r="S75" s="43">
        <f>'Ozone-Energy'!R68</f>
        <v>0</v>
      </c>
      <c r="T75" s="43">
        <f>'Ozone-Energy'!S68</f>
        <v>0</v>
      </c>
      <c r="U75" s="43"/>
      <c r="V75" s="43"/>
      <c r="W75">
        <f>'Ozone-Energy'!V68</f>
        <v>0</v>
      </c>
      <c r="X75">
        <f>'Ozone-Energy'!W68</f>
        <v>0</v>
      </c>
      <c r="Y75">
        <f>'Ozone-Energy'!X68</f>
        <v>0</v>
      </c>
      <c r="Z75">
        <f>'Ozone-Energy'!Y68</f>
        <v>0</v>
      </c>
      <c r="AA75" s="43"/>
    </row>
    <row r="76" spans="3:29" ht="15">
      <c r="C76">
        <v>59</v>
      </c>
      <c r="D76" s="359">
        <v>0.4</v>
      </c>
      <c r="E76" s="211">
        <f t="shared" si="0"/>
        <v>0.44</v>
      </c>
      <c r="F76" s="211">
        <f>'Studio Rain System'!L81</f>
        <v>18.339999999999996</v>
      </c>
      <c r="G76" s="211">
        <f>'Studio Rain System'!M81</f>
        <v>0.745</v>
      </c>
      <c r="H76" s="206">
        <f>'Flow Rate'!$W$27</f>
        <v>464206.53322409093</v>
      </c>
      <c r="I76" s="178">
        <f>'Ozone-Energy'!H69</f>
        <v>78948.571428571435</v>
      </c>
      <c r="J76" s="128">
        <f t="shared" si="3"/>
        <v>7.8948571428571437E-2</v>
      </c>
      <c r="K76" s="193">
        <f>'Ozone-Energy'!J69</f>
        <v>2200</v>
      </c>
      <c r="L76" s="43">
        <f t="shared" si="1"/>
        <v>2.2000000000000002</v>
      </c>
      <c r="M76" s="43">
        <f>'Ozone-Energy'!L69</f>
        <v>4400000</v>
      </c>
      <c r="N76" s="179">
        <f>'Ozone-Energy'!M69</f>
        <v>4.4000000000000004</v>
      </c>
      <c r="O76" s="43">
        <f>'Ozone-Energy'!N69</f>
        <v>1200</v>
      </c>
      <c r="P76" s="180">
        <f t="shared" si="10"/>
        <v>4.32</v>
      </c>
      <c r="Q76" s="181">
        <f t="shared" si="9"/>
        <v>8.7989485714285713</v>
      </c>
      <c r="R76" s="43">
        <f>'Ozone-Energy'!Q69</f>
        <v>0</v>
      </c>
      <c r="S76" s="43">
        <f>'Ozone-Energy'!R69</f>
        <v>0</v>
      </c>
      <c r="T76" s="43">
        <f>'Ozone-Energy'!S69</f>
        <v>0</v>
      </c>
      <c r="U76" s="43"/>
      <c r="V76" s="43"/>
      <c r="W76">
        <f>'Ozone-Energy'!V69</f>
        <v>0</v>
      </c>
      <c r="X76">
        <f>'Ozone-Energy'!W69</f>
        <v>0</v>
      </c>
      <c r="Y76">
        <f>'Ozone-Energy'!X69</f>
        <v>0</v>
      </c>
      <c r="Z76">
        <f>'Ozone-Energy'!Y69</f>
        <v>0</v>
      </c>
      <c r="AA76" s="43"/>
    </row>
    <row r="77" spans="3:29" ht="15">
      <c r="C77">
        <v>60</v>
      </c>
      <c r="D77" s="359">
        <v>2</v>
      </c>
      <c r="E77" s="212">
        <f>(D77/1000)*$J$7</f>
        <v>2.2000000000000002</v>
      </c>
      <c r="F77" s="212">
        <f>'Studio Rain System'!L82</f>
        <v>19.794999999999995</v>
      </c>
      <c r="G77" s="212">
        <f>'Studio Rain System'!M82</f>
        <v>0.745</v>
      </c>
      <c r="H77" s="206">
        <f>'Flow Rate'!$W$27</f>
        <v>464206.53322409093</v>
      </c>
      <c r="I77" s="178">
        <f>'Ozone-Energy'!H70</f>
        <v>394742.85714285716</v>
      </c>
      <c r="J77" s="128">
        <f>I77 * 10^(-6)</f>
        <v>0.39474285714285712</v>
      </c>
      <c r="K77" s="207">
        <f>'Ozone-Energy'!J70</f>
        <v>11000</v>
      </c>
      <c r="L77" s="182">
        <f t="shared" si="1"/>
        <v>11</v>
      </c>
      <c r="M77" s="182">
        <f>'Ozone-Energy'!L70</f>
        <v>22000000</v>
      </c>
      <c r="N77" s="184">
        <f>'Ozone-Energy'!M70</f>
        <v>22</v>
      </c>
      <c r="O77" s="182">
        <f>'Ozone-Energy'!N70</f>
        <v>1200</v>
      </c>
      <c r="P77" s="185">
        <f t="shared" si="10"/>
        <v>4.32</v>
      </c>
      <c r="Q77" s="186">
        <f>J77 + N77 + P77</f>
        <v>26.714742857142859</v>
      </c>
      <c r="R77" s="183">
        <f>'Ozone-Energy'!Q70</f>
        <v>0</v>
      </c>
      <c r="S77" s="180">
        <f>'Ozone-Energy'!R70</f>
        <v>0</v>
      </c>
      <c r="T77" s="43">
        <f>'Ozone-Energy'!S70</f>
        <v>0</v>
      </c>
      <c r="U77" s="182"/>
      <c r="V77" s="182"/>
      <c r="W77">
        <f>'Ozone-Energy'!V70</f>
        <v>0</v>
      </c>
      <c r="X77">
        <f>'Ozone-Energy'!W70</f>
        <v>0</v>
      </c>
      <c r="Y77">
        <f>'Ozone-Energy'!X70</f>
        <v>0</v>
      </c>
      <c r="Z77">
        <f>'Ozone-Energy'!Y70</f>
        <v>0</v>
      </c>
      <c r="AA77" s="182"/>
      <c r="AB77" s="208"/>
      <c r="AC77" s="208"/>
    </row>
    <row r="78" spans="3:29" ht="15">
      <c r="C78">
        <v>61</v>
      </c>
      <c r="D78" s="359">
        <v>19</v>
      </c>
      <c r="E78" s="211">
        <f t="shared" si="0"/>
        <v>20.9</v>
      </c>
      <c r="F78" s="211">
        <f>'Studio Rain System'!L83</f>
        <v>20</v>
      </c>
      <c r="G78" s="211">
        <f>'Studio Rain System'!M83</f>
        <v>0.745</v>
      </c>
      <c r="H78" s="206">
        <f>'Flow Rate'!$W$27</f>
        <v>464206.53322409093</v>
      </c>
      <c r="I78" s="178">
        <f>'Ozone-Energy'!H71</f>
        <v>3750057.1428571432</v>
      </c>
      <c r="J78" s="128">
        <f t="shared" si="3"/>
        <v>3.750057142857143</v>
      </c>
      <c r="K78" s="193">
        <f>'Ozone-Energy'!J71</f>
        <v>104500</v>
      </c>
      <c r="L78" s="43">
        <f t="shared" si="1"/>
        <v>104.5</v>
      </c>
      <c r="M78" s="43">
        <f>'Ozone-Energy'!L71</f>
        <v>209000000</v>
      </c>
      <c r="N78" s="179">
        <f>'Ozone-Energy'!M71</f>
        <v>209</v>
      </c>
      <c r="O78" s="43">
        <f>'Ozone-Energy'!N71</f>
        <v>1200</v>
      </c>
      <c r="P78" s="180">
        <f xml:space="preserve"> O78 * 3600 / 1000000</f>
        <v>4.32</v>
      </c>
      <c r="Q78" s="181">
        <f t="shared" si="9"/>
        <v>217.07005714285714</v>
      </c>
      <c r="R78" s="43">
        <f>'Ozone-Energy'!Q71</f>
        <v>0</v>
      </c>
      <c r="S78" s="43">
        <f>'Ozone-Energy'!R71</f>
        <v>0</v>
      </c>
      <c r="T78" s="43">
        <f>'Ozone-Energy'!S71</f>
        <v>0</v>
      </c>
      <c r="U78" s="43"/>
      <c r="V78" s="43"/>
      <c r="W78">
        <f>'Ozone-Energy'!V71</f>
        <v>0</v>
      </c>
      <c r="X78">
        <f>'Ozone-Energy'!W71</f>
        <v>0</v>
      </c>
      <c r="Y78">
        <f>'Ozone-Energy'!X71</f>
        <v>0</v>
      </c>
      <c r="Z78">
        <f>'Ozone-Energy'!Y71</f>
        <v>0</v>
      </c>
      <c r="AA78" s="43"/>
    </row>
    <row r="79" spans="3:29" ht="15">
      <c r="C79">
        <v>62</v>
      </c>
      <c r="D79" s="359">
        <v>1</v>
      </c>
      <c r="E79" s="211">
        <f t="shared" si="0"/>
        <v>1.1000000000000001</v>
      </c>
      <c r="F79" s="211">
        <f>'Studio Rain System'!L84</f>
        <v>20</v>
      </c>
      <c r="G79" s="211">
        <f>'Studio Rain System'!M84</f>
        <v>0.745</v>
      </c>
      <c r="H79" s="206">
        <f>'Flow Rate'!$W$27</f>
        <v>464206.53322409093</v>
      </c>
      <c r="I79" s="178">
        <f>'Ozone-Energy'!H72</f>
        <v>197371.42857142858</v>
      </c>
      <c r="J79" s="128">
        <f t="shared" si="3"/>
        <v>0.19737142857142856</v>
      </c>
      <c r="K79" s="193">
        <f>'Ozone-Energy'!J72</f>
        <v>5500</v>
      </c>
      <c r="L79" s="43">
        <f t="shared" si="1"/>
        <v>5.5</v>
      </c>
      <c r="M79" s="43">
        <f>'Ozone-Energy'!L72</f>
        <v>11000000</v>
      </c>
      <c r="N79" s="179">
        <f>'Ozone-Energy'!M72</f>
        <v>11</v>
      </c>
      <c r="O79" s="43">
        <f>'Ozone-Energy'!N72</f>
        <v>1200</v>
      </c>
      <c r="P79" s="180">
        <f t="shared" ref="P79:P87" si="11">O79 * 3600 / 1000000</f>
        <v>4.32</v>
      </c>
      <c r="Q79" s="181">
        <f t="shared" si="9"/>
        <v>15.51737142857143</v>
      </c>
      <c r="R79" s="43">
        <f>'Ozone-Energy'!Q72</f>
        <v>0</v>
      </c>
      <c r="S79" s="43">
        <f>'Ozone-Energy'!R72</f>
        <v>0</v>
      </c>
      <c r="T79" s="43">
        <f>'Ozone-Energy'!S72</f>
        <v>0</v>
      </c>
      <c r="U79" s="43"/>
      <c r="V79" s="43"/>
      <c r="W79">
        <f>'Ozone-Energy'!V72</f>
        <v>0</v>
      </c>
      <c r="X79">
        <f>'Ozone-Energy'!W72</f>
        <v>0</v>
      </c>
      <c r="Y79">
        <f>'Ozone-Energy'!X72</f>
        <v>0</v>
      </c>
      <c r="Z79">
        <f>'Ozone-Energy'!Y72</f>
        <v>0</v>
      </c>
      <c r="AA79" s="43"/>
    </row>
    <row r="80" spans="3:29" ht="15">
      <c r="C80">
        <v>63</v>
      </c>
      <c r="D80" s="359">
        <v>2.4</v>
      </c>
      <c r="E80" s="211">
        <f t="shared" si="0"/>
        <v>2.6399999999999997</v>
      </c>
      <c r="F80" s="211">
        <f>'Studio Rain System'!L85</f>
        <v>20</v>
      </c>
      <c r="G80" s="211">
        <f>'Studio Rain System'!M85</f>
        <v>0.745</v>
      </c>
      <c r="H80" s="206">
        <f>'Flow Rate'!$W$27</f>
        <v>464206.53322409093</v>
      </c>
      <c r="I80" s="178">
        <f>'Ozone-Energy'!H73</f>
        <v>473691.42857142852</v>
      </c>
      <c r="J80" s="128">
        <f t="shared" si="3"/>
        <v>0.47369142857142849</v>
      </c>
      <c r="K80" s="193">
        <f>'Ozone-Energy'!J73</f>
        <v>13199.999999999996</v>
      </c>
      <c r="L80" s="43">
        <f t="shared" si="1"/>
        <v>13.199999999999996</v>
      </c>
      <c r="M80" s="43">
        <f>'Ozone-Energy'!L73</f>
        <v>26399999.999999993</v>
      </c>
      <c r="N80" s="179">
        <f>'Ozone-Energy'!M73</f>
        <v>26.399999999999991</v>
      </c>
      <c r="O80" s="43">
        <f>'Ozone-Energy'!N73</f>
        <v>1200</v>
      </c>
      <c r="P80" s="180">
        <f t="shared" si="11"/>
        <v>4.32</v>
      </c>
      <c r="Q80" s="181">
        <f t="shared" si="9"/>
        <v>31.19369142857142</v>
      </c>
      <c r="R80" s="43">
        <f>'Ozone-Energy'!Q73</f>
        <v>0</v>
      </c>
      <c r="S80" s="43">
        <f>'Ozone-Energy'!R73</f>
        <v>0</v>
      </c>
      <c r="T80" s="43">
        <f>'Ozone-Energy'!S73</f>
        <v>0</v>
      </c>
      <c r="U80" s="43"/>
      <c r="V80" s="43"/>
      <c r="W80">
        <f>'Ozone-Energy'!V73</f>
        <v>0</v>
      </c>
      <c r="X80">
        <f>'Ozone-Energy'!W73</f>
        <v>0</v>
      </c>
      <c r="Y80">
        <f>'Ozone-Energy'!X73</f>
        <v>0</v>
      </c>
      <c r="Z80">
        <f>'Ozone-Energy'!Y73</f>
        <v>0</v>
      </c>
      <c r="AA80" s="43"/>
    </row>
    <row r="81" spans="3:27" ht="15">
      <c r="C81">
        <v>64</v>
      </c>
      <c r="D81" s="359">
        <v>23.8</v>
      </c>
      <c r="E81" s="211">
        <f t="shared" si="0"/>
        <v>26.180000000000003</v>
      </c>
      <c r="F81" s="211">
        <f>'Studio Rain System'!L86</f>
        <v>20</v>
      </c>
      <c r="G81" s="211">
        <f>'Studio Rain System'!M86</f>
        <v>0.745</v>
      </c>
      <c r="H81" s="206">
        <f>'Flow Rate'!$W$27</f>
        <v>464206.53322409093</v>
      </c>
      <c r="I81" s="178">
        <f>'Ozone-Energy'!H74</f>
        <v>4697440.0000000009</v>
      </c>
      <c r="J81" s="128">
        <f t="shared" si="3"/>
        <v>4.6974400000000003</v>
      </c>
      <c r="K81" s="193">
        <f>'Ozone-Energy'!J74</f>
        <v>130900.00000000003</v>
      </c>
      <c r="L81" s="43">
        <f t="shared" si="1"/>
        <v>130.90000000000003</v>
      </c>
      <c r="M81" s="43">
        <f>'Ozone-Energy'!L74</f>
        <v>261800000.00000006</v>
      </c>
      <c r="N81" s="179">
        <f>'Ozone-Energy'!M74</f>
        <v>261.80000000000007</v>
      </c>
      <c r="O81" s="43">
        <f>'Ozone-Energy'!N74</f>
        <v>1200</v>
      </c>
      <c r="P81" s="180">
        <f t="shared" si="11"/>
        <v>4.32</v>
      </c>
      <c r="Q81" s="181">
        <f t="shared" si="9"/>
        <v>270.81744000000009</v>
      </c>
      <c r="R81" s="43">
        <f>'Ozone-Energy'!Q74</f>
        <v>0</v>
      </c>
      <c r="S81" s="43">
        <f>'Ozone-Energy'!R74</f>
        <v>0</v>
      </c>
      <c r="T81" s="43">
        <f>'Ozone-Energy'!S74</f>
        <v>0</v>
      </c>
      <c r="U81" s="43"/>
      <c r="V81" s="43"/>
      <c r="W81">
        <f>'Ozone-Energy'!V74</f>
        <v>0</v>
      </c>
      <c r="X81">
        <f>'Ozone-Energy'!W74</f>
        <v>0</v>
      </c>
      <c r="Y81">
        <f>'Ozone-Energy'!X74</f>
        <v>0</v>
      </c>
      <c r="Z81">
        <f>'Ozone-Energy'!Y74</f>
        <v>0</v>
      </c>
      <c r="AA81" s="43"/>
    </row>
    <row r="82" spans="3:27" ht="15">
      <c r="C82">
        <v>65</v>
      </c>
      <c r="D82" s="359">
        <v>8.6</v>
      </c>
      <c r="E82" s="211">
        <f t="shared" ref="E82:E145" si="12">(D82/1000)*$J$7</f>
        <v>9.4600000000000009</v>
      </c>
      <c r="F82" s="211">
        <f>'Studio Rain System'!L87</f>
        <v>20</v>
      </c>
      <c r="G82" s="211">
        <f>'Studio Rain System'!M87</f>
        <v>0.745</v>
      </c>
      <c r="H82" s="206">
        <f>'Flow Rate'!$W$27</f>
        <v>464206.53322409093</v>
      </c>
      <c r="I82" s="178">
        <f>'Ozone-Energy'!H75</f>
        <v>1697394.2857142859</v>
      </c>
      <c r="J82" s="128">
        <f t="shared" si="3"/>
        <v>1.6973942857142859</v>
      </c>
      <c r="K82" s="193">
        <f>'Ozone-Energy'!J75</f>
        <v>47300</v>
      </c>
      <c r="L82" s="43">
        <f t="shared" ref="L82:L145" si="13">K82/1000</f>
        <v>47.3</v>
      </c>
      <c r="M82" s="43">
        <f>'Ozone-Energy'!L75</f>
        <v>94600000</v>
      </c>
      <c r="N82" s="179">
        <f>'Ozone-Energy'!M75</f>
        <v>94.6</v>
      </c>
      <c r="O82" s="43">
        <f>'Ozone-Energy'!N75</f>
        <v>1200</v>
      </c>
      <c r="P82" s="180">
        <f t="shared" si="11"/>
        <v>4.32</v>
      </c>
      <c r="Q82" s="181">
        <f t="shared" si="9"/>
        <v>100.61739428571428</v>
      </c>
      <c r="R82" s="43">
        <f>'Ozone-Energy'!Q75</f>
        <v>0</v>
      </c>
      <c r="S82" s="43">
        <f>'Ozone-Energy'!R75</f>
        <v>0</v>
      </c>
      <c r="T82" s="43">
        <f>'Ozone-Energy'!S75</f>
        <v>0</v>
      </c>
      <c r="U82" s="43"/>
      <c r="V82" s="43"/>
      <c r="W82">
        <f>'Ozone-Energy'!V75</f>
        <v>0</v>
      </c>
      <c r="X82">
        <f>'Ozone-Energy'!W75</f>
        <v>0</v>
      </c>
      <c r="Y82">
        <f>'Ozone-Energy'!X75</f>
        <v>0</v>
      </c>
      <c r="Z82">
        <f>'Ozone-Energy'!Y75</f>
        <v>0</v>
      </c>
      <c r="AA82" s="43"/>
    </row>
    <row r="83" spans="3:27" ht="15">
      <c r="C83">
        <v>66</v>
      </c>
      <c r="D83" s="359">
        <v>34</v>
      </c>
      <c r="E83" s="211">
        <f t="shared" si="12"/>
        <v>37.400000000000006</v>
      </c>
      <c r="F83" s="211">
        <f>'Studio Rain System'!L88</f>
        <v>20</v>
      </c>
      <c r="G83" s="211">
        <f>'Studio Rain System'!M88</f>
        <v>0.745</v>
      </c>
      <c r="H83" s="206">
        <f>'Flow Rate'!$W$27</f>
        <v>464206.53322409093</v>
      </c>
      <c r="I83" s="178">
        <f>'Ozone-Energy'!H76</f>
        <v>6710628.5714285728</v>
      </c>
      <c r="J83" s="128">
        <f t="shared" ref="J83:J146" si="14">I83 * 10^(-6)</f>
        <v>6.7106285714285727</v>
      </c>
      <c r="K83" s="193">
        <f>'Ozone-Energy'!J76</f>
        <v>187000.00000000006</v>
      </c>
      <c r="L83" s="43">
        <f t="shared" si="13"/>
        <v>187.00000000000006</v>
      </c>
      <c r="M83" s="43">
        <f>'Ozone-Energy'!L76</f>
        <v>374000000.00000012</v>
      </c>
      <c r="N83" s="179">
        <f>'Ozone-Energy'!M76</f>
        <v>374.00000000000011</v>
      </c>
      <c r="O83" s="43">
        <f>'Ozone-Energy'!N76</f>
        <v>1200</v>
      </c>
      <c r="P83" s="180">
        <f t="shared" si="11"/>
        <v>4.32</v>
      </c>
      <c r="Q83" s="181">
        <f t="shared" si="9"/>
        <v>385.03062857142868</v>
      </c>
      <c r="R83" s="43">
        <f>'Ozone-Energy'!Q76</f>
        <v>0</v>
      </c>
      <c r="S83" s="43">
        <f>'Ozone-Energy'!R76</f>
        <v>0</v>
      </c>
      <c r="T83" s="43">
        <f>'Ozone-Energy'!S76</f>
        <v>0</v>
      </c>
      <c r="U83" s="43"/>
      <c r="V83" s="43"/>
      <c r="W83">
        <f>'Ozone-Energy'!V76</f>
        <v>0</v>
      </c>
      <c r="X83">
        <f>'Ozone-Energy'!W76</f>
        <v>0</v>
      </c>
      <c r="Y83">
        <f>'Ozone-Energy'!X76</f>
        <v>0</v>
      </c>
      <c r="Z83">
        <f>'Ozone-Energy'!Y76</f>
        <v>0</v>
      </c>
      <c r="AA83" s="43"/>
    </row>
    <row r="84" spans="3:27" ht="15">
      <c r="C84">
        <v>67</v>
      </c>
      <c r="D84" s="359">
        <v>52.4</v>
      </c>
      <c r="E84" s="211">
        <f t="shared" si="12"/>
        <v>57.639999999999993</v>
      </c>
      <c r="F84" s="211">
        <f>'Studio Rain System'!L89</f>
        <v>20</v>
      </c>
      <c r="G84" s="211">
        <f>'Studio Rain System'!M89</f>
        <v>0.745</v>
      </c>
      <c r="H84" s="206">
        <f>'Flow Rate'!$W$27</f>
        <v>464206.53322409093</v>
      </c>
      <c r="I84" s="178">
        <f>'Ozone-Energy'!H77</f>
        <v>10342262.857142856</v>
      </c>
      <c r="J84" s="128">
        <f t="shared" si="14"/>
        <v>10.342262857142856</v>
      </c>
      <c r="K84" s="193">
        <f>'Ozone-Energy'!J77</f>
        <v>288199.99999999994</v>
      </c>
      <c r="L84" s="43">
        <f t="shared" si="13"/>
        <v>288.19999999999993</v>
      </c>
      <c r="M84" s="43">
        <f>'Ozone-Energy'!L77</f>
        <v>576399999.99999988</v>
      </c>
      <c r="N84" s="179">
        <f>'Ozone-Energy'!M77</f>
        <v>576.39999999999986</v>
      </c>
      <c r="O84" s="43">
        <f>'Ozone-Energy'!N77</f>
        <v>1200</v>
      </c>
      <c r="P84" s="180">
        <f t="shared" si="11"/>
        <v>4.32</v>
      </c>
      <c r="Q84" s="181">
        <f t="shared" si="9"/>
        <v>591.06226285714274</v>
      </c>
      <c r="R84" s="43">
        <f>'Ozone-Energy'!Q77</f>
        <v>0</v>
      </c>
      <c r="S84" s="43">
        <f>'Ozone-Energy'!R77</f>
        <v>0</v>
      </c>
      <c r="T84" s="43">
        <f>'Ozone-Energy'!S77</f>
        <v>0</v>
      </c>
      <c r="U84" s="43"/>
      <c r="V84" s="43"/>
      <c r="W84">
        <f>'Ozone-Energy'!V77</f>
        <v>0</v>
      </c>
      <c r="X84">
        <f>'Ozone-Energy'!W77</f>
        <v>0</v>
      </c>
      <c r="Y84">
        <f>'Ozone-Energy'!X77</f>
        <v>0</v>
      </c>
      <c r="Z84">
        <f>'Ozone-Energy'!Y77</f>
        <v>0</v>
      </c>
      <c r="AA84" s="43"/>
    </row>
    <row r="85" spans="3:27" ht="15">
      <c r="C85">
        <v>68</v>
      </c>
      <c r="D85" s="359">
        <v>10.6</v>
      </c>
      <c r="E85" s="211">
        <f t="shared" si="12"/>
        <v>11.66</v>
      </c>
      <c r="F85" s="211">
        <f>'Studio Rain System'!L90</f>
        <v>20</v>
      </c>
      <c r="G85" s="211">
        <f>'Studio Rain System'!M90</f>
        <v>0.745</v>
      </c>
      <c r="H85" s="206">
        <f>'Flow Rate'!$W$27</f>
        <v>464206.53322409093</v>
      </c>
      <c r="I85" s="178">
        <f>'Ozone-Energy'!H78</f>
        <v>2092137.142857143</v>
      </c>
      <c r="J85" s="128">
        <f t="shared" si="14"/>
        <v>2.0921371428571427</v>
      </c>
      <c r="K85" s="193">
        <f>'Ozone-Energy'!J78</f>
        <v>58300</v>
      </c>
      <c r="L85" s="43">
        <f t="shared" si="13"/>
        <v>58.3</v>
      </c>
      <c r="M85" s="43">
        <f>'Ozone-Energy'!L78</f>
        <v>116600000</v>
      </c>
      <c r="N85" s="179">
        <f>'Ozone-Energy'!M78</f>
        <v>116.6</v>
      </c>
      <c r="O85" s="43">
        <f>'Ozone-Energy'!N78</f>
        <v>1200</v>
      </c>
      <c r="P85" s="180">
        <f t="shared" si="11"/>
        <v>4.32</v>
      </c>
      <c r="Q85" s="181">
        <f t="shared" si="9"/>
        <v>123.01213714285714</v>
      </c>
      <c r="R85" s="43">
        <f>'Ozone-Energy'!Q78</f>
        <v>0</v>
      </c>
      <c r="S85" s="43">
        <f>'Ozone-Energy'!R78</f>
        <v>0</v>
      </c>
      <c r="T85" s="43">
        <f>'Ozone-Energy'!S78</f>
        <v>0</v>
      </c>
      <c r="U85" s="43"/>
      <c r="V85" s="43"/>
      <c r="W85">
        <f>'Ozone-Energy'!V78</f>
        <v>0</v>
      </c>
      <c r="X85">
        <f>'Ozone-Energy'!W78</f>
        <v>0</v>
      </c>
      <c r="Y85">
        <f>'Ozone-Energy'!X78</f>
        <v>0</v>
      </c>
      <c r="Z85">
        <f>'Ozone-Energy'!Y78</f>
        <v>0</v>
      </c>
      <c r="AA85" s="43"/>
    </row>
    <row r="86" spans="3:27" ht="15">
      <c r="C86">
        <v>69</v>
      </c>
      <c r="D86" s="359">
        <v>2.4</v>
      </c>
      <c r="E86" s="211">
        <f t="shared" si="12"/>
        <v>2.6399999999999997</v>
      </c>
      <c r="F86" s="211">
        <f>'Studio Rain System'!L91</f>
        <v>20</v>
      </c>
      <c r="G86" s="211">
        <f>'Studio Rain System'!M91</f>
        <v>0.745</v>
      </c>
      <c r="H86" s="206">
        <f>'Flow Rate'!$W$27</f>
        <v>464206.53322409093</v>
      </c>
      <c r="I86" s="178">
        <f>'Ozone-Energy'!H79</f>
        <v>473691.42857142852</v>
      </c>
      <c r="J86" s="128">
        <f t="shared" si="14"/>
        <v>0.47369142857142849</v>
      </c>
      <c r="K86" s="193">
        <f>'Ozone-Energy'!J79</f>
        <v>13199.999999999996</v>
      </c>
      <c r="L86" s="43">
        <f t="shared" si="13"/>
        <v>13.199999999999996</v>
      </c>
      <c r="M86" s="43">
        <f>'Ozone-Energy'!L79</f>
        <v>26399999.999999993</v>
      </c>
      <c r="N86" s="179">
        <f>'Ozone-Energy'!M79</f>
        <v>26.399999999999991</v>
      </c>
      <c r="O86" s="43">
        <f>'Ozone-Energy'!N79</f>
        <v>1200</v>
      </c>
      <c r="P86" s="180">
        <f t="shared" si="11"/>
        <v>4.32</v>
      </c>
      <c r="Q86" s="181">
        <f t="shared" si="9"/>
        <v>31.19369142857142</v>
      </c>
      <c r="R86" s="43">
        <f>'Ozone-Energy'!Q79</f>
        <v>0</v>
      </c>
      <c r="S86" s="43">
        <f>'Ozone-Energy'!R79</f>
        <v>0</v>
      </c>
      <c r="T86" s="43">
        <f>'Ozone-Energy'!S79</f>
        <v>0</v>
      </c>
      <c r="U86" s="43"/>
      <c r="V86" s="43"/>
      <c r="W86">
        <f>'Ozone-Energy'!V79</f>
        <v>0</v>
      </c>
      <c r="X86">
        <f>'Ozone-Energy'!W79</f>
        <v>0</v>
      </c>
      <c r="Y86">
        <f>'Ozone-Energy'!X79</f>
        <v>0</v>
      </c>
      <c r="Z86">
        <f>'Ozone-Energy'!Y79</f>
        <v>0</v>
      </c>
      <c r="AA86" s="43"/>
    </row>
    <row r="87" spans="3:27" ht="15">
      <c r="C87">
        <v>70</v>
      </c>
      <c r="D87" s="359">
        <v>0</v>
      </c>
      <c r="E87" s="211">
        <f t="shared" si="12"/>
        <v>0</v>
      </c>
      <c r="F87" s="211">
        <f>'Studio Rain System'!L92</f>
        <v>19.254999999999999</v>
      </c>
      <c r="G87" s="211">
        <f>'Studio Rain System'!M92</f>
        <v>0.745</v>
      </c>
      <c r="H87" s="206">
        <f>'Flow Rate'!$W$27</f>
        <v>464206.53322409093</v>
      </c>
      <c r="I87" s="178">
        <f>'Ozone-Energy'!H80</f>
        <v>0</v>
      </c>
      <c r="J87" s="128">
        <f t="shared" si="14"/>
        <v>0</v>
      </c>
      <c r="K87" s="193">
        <f>'Ozone-Energy'!J80</f>
        <v>0</v>
      </c>
      <c r="L87" s="43">
        <f t="shared" si="13"/>
        <v>0</v>
      </c>
      <c r="M87" s="43">
        <f>'Ozone-Energy'!L80</f>
        <v>0</v>
      </c>
      <c r="N87" s="179">
        <f>'Ozone-Energy'!M80</f>
        <v>0</v>
      </c>
      <c r="O87" s="43">
        <f>'Ozone-Energy'!N80</f>
        <v>1200</v>
      </c>
      <c r="P87" s="180">
        <f t="shared" si="11"/>
        <v>4.32</v>
      </c>
      <c r="Q87" s="181">
        <f t="shared" si="9"/>
        <v>4.32</v>
      </c>
      <c r="R87" s="43">
        <f>'Ozone-Energy'!Q80</f>
        <v>0</v>
      </c>
      <c r="S87" s="43">
        <f>'Ozone-Energy'!R80</f>
        <v>0</v>
      </c>
      <c r="T87" s="43">
        <f>'Ozone-Energy'!S80</f>
        <v>0</v>
      </c>
      <c r="U87" s="43"/>
      <c r="V87" s="43"/>
      <c r="W87">
        <f>'Ozone-Energy'!V80</f>
        <v>0</v>
      </c>
      <c r="X87">
        <f>'Ozone-Energy'!W80</f>
        <v>0</v>
      </c>
      <c r="Y87">
        <f>'Ozone-Energy'!X80</f>
        <v>0</v>
      </c>
      <c r="Z87">
        <f>'Ozone-Energy'!Y80</f>
        <v>0</v>
      </c>
      <c r="AA87" s="43"/>
    </row>
    <row r="88" spans="3:27" ht="15">
      <c r="C88">
        <v>71</v>
      </c>
      <c r="D88" s="359">
        <v>2.8</v>
      </c>
      <c r="E88" s="211">
        <f t="shared" si="12"/>
        <v>3.08</v>
      </c>
      <c r="F88" s="211">
        <f>'Studio Rain System'!L93</f>
        <v>20</v>
      </c>
      <c r="G88" s="211">
        <f>'Studio Rain System'!M93</f>
        <v>0.745</v>
      </c>
      <c r="H88" s="206">
        <f>'Flow Rate'!$W$27</f>
        <v>464206.53322409093</v>
      </c>
      <c r="I88" s="178">
        <f>'Ozone-Energy'!H81</f>
        <v>552640</v>
      </c>
      <c r="J88" s="128">
        <f t="shared" si="14"/>
        <v>0.55264000000000002</v>
      </c>
      <c r="K88" s="193">
        <f>'Ozone-Energy'!J81</f>
        <v>15400</v>
      </c>
      <c r="L88" s="43">
        <f t="shared" si="13"/>
        <v>15.4</v>
      </c>
      <c r="M88" s="43">
        <f>'Ozone-Energy'!L81</f>
        <v>30800000</v>
      </c>
      <c r="N88" s="179">
        <f>'Ozone-Energy'!M81</f>
        <v>30.8</v>
      </c>
      <c r="O88" s="43">
        <f>'Ozone-Energy'!N81</f>
        <v>1200</v>
      </c>
      <c r="P88" s="180">
        <f xml:space="preserve"> O88 * 3600 / 1000000</f>
        <v>4.32</v>
      </c>
      <c r="Q88" s="181">
        <f t="shared" si="9"/>
        <v>35.672640000000001</v>
      </c>
      <c r="R88" s="43">
        <f>'Ozone-Energy'!Q81</f>
        <v>0</v>
      </c>
      <c r="S88" s="43">
        <f>'Ozone-Energy'!R81</f>
        <v>0</v>
      </c>
      <c r="T88" s="43">
        <f>'Ozone-Energy'!S81</f>
        <v>0</v>
      </c>
      <c r="U88" s="43"/>
      <c r="V88" s="43"/>
      <c r="W88">
        <f>'Ozone-Energy'!V81</f>
        <v>0</v>
      </c>
      <c r="X88">
        <f>'Ozone-Energy'!W81</f>
        <v>0</v>
      </c>
      <c r="Y88">
        <f>'Ozone-Energy'!X81</f>
        <v>0</v>
      </c>
      <c r="Z88">
        <f>'Ozone-Energy'!Y81</f>
        <v>0</v>
      </c>
      <c r="AA88" s="43"/>
    </row>
    <row r="89" spans="3:27" ht="15">
      <c r="C89">
        <v>72</v>
      </c>
      <c r="D89" s="359">
        <v>20.2</v>
      </c>
      <c r="E89" s="211">
        <f t="shared" si="12"/>
        <v>22.22</v>
      </c>
      <c r="F89" s="211">
        <f>'Studio Rain System'!L94</f>
        <v>20</v>
      </c>
      <c r="G89" s="211">
        <f>'Studio Rain System'!M94</f>
        <v>0.745</v>
      </c>
      <c r="H89" s="206">
        <f>'Flow Rate'!$W$27</f>
        <v>464206.53322409093</v>
      </c>
      <c r="I89" s="178">
        <f>'Ozone-Energy'!H82</f>
        <v>3986902.8571428573</v>
      </c>
      <c r="J89" s="128">
        <f t="shared" si="14"/>
        <v>3.9869028571428573</v>
      </c>
      <c r="K89" s="193">
        <f>'Ozone-Energy'!J82</f>
        <v>111100</v>
      </c>
      <c r="L89" s="43">
        <f t="shared" si="13"/>
        <v>111.1</v>
      </c>
      <c r="M89" s="43">
        <f>'Ozone-Energy'!L82</f>
        <v>222200000</v>
      </c>
      <c r="N89" s="179">
        <f>'Ozone-Energy'!M82</f>
        <v>222.2</v>
      </c>
      <c r="O89" s="43">
        <f>'Ozone-Energy'!N82</f>
        <v>1200</v>
      </c>
      <c r="P89" s="180">
        <f t="shared" ref="P89:P97" si="15">O89 * 3600 / 1000000</f>
        <v>4.32</v>
      </c>
      <c r="Q89" s="181">
        <f t="shared" si="9"/>
        <v>230.50690285714285</v>
      </c>
      <c r="R89" s="43">
        <f>'Ozone-Energy'!Q82</f>
        <v>0</v>
      </c>
      <c r="S89" s="43">
        <f>'Ozone-Energy'!R82</f>
        <v>0</v>
      </c>
      <c r="T89" s="43">
        <f>'Ozone-Energy'!S82</f>
        <v>0</v>
      </c>
      <c r="U89" s="43"/>
      <c r="V89" s="43"/>
      <c r="W89">
        <f>'Ozone-Energy'!V82</f>
        <v>0</v>
      </c>
      <c r="X89">
        <f>'Ozone-Energy'!W82</f>
        <v>0</v>
      </c>
      <c r="Y89">
        <f>'Ozone-Energy'!X82</f>
        <v>0</v>
      </c>
      <c r="Z89">
        <f>'Ozone-Energy'!Y82</f>
        <v>0</v>
      </c>
      <c r="AA89" s="43"/>
    </row>
    <row r="90" spans="3:27" ht="15">
      <c r="C90">
        <v>73</v>
      </c>
      <c r="D90" s="359">
        <v>13.8</v>
      </c>
      <c r="E90" s="211">
        <f t="shared" si="12"/>
        <v>15.180000000000001</v>
      </c>
      <c r="F90" s="211">
        <f>'Studio Rain System'!L95</f>
        <v>20</v>
      </c>
      <c r="G90" s="211">
        <f>'Studio Rain System'!M95</f>
        <v>0.745</v>
      </c>
      <c r="H90" s="206">
        <f>'Flow Rate'!$W$27</f>
        <v>464206.53322409093</v>
      </c>
      <c r="I90" s="178">
        <f>'Ozone-Energy'!H83</f>
        <v>2723725.714285715</v>
      </c>
      <c r="J90" s="128">
        <f t="shared" si="14"/>
        <v>2.723725714285715</v>
      </c>
      <c r="K90" s="193">
        <f>'Ozone-Energy'!J83</f>
        <v>75900.000000000015</v>
      </c>
      <c r="L90" s="43">
        <f t="shared" si="13"/>
        <v>75.90000000000002</v>
      </c>
      <c r="M90" s="43">
        <f>'Ozone-Energy'!L83</f>
        <v>151800000.00000003</v>
      </c>
      <c r="N90" s="179">
        <f>'Ozone-Energy'!M83</f>
        <v>151.80000000000004</v>
      </c>
      <c r="O90" s="43">
        <f>'Ozone-Energy'!N83</f>
        <v>1200</v>
      </c>
      <c r="P90" s="180">
        <f t="shared" si="15"/>
        <v>4.32</v>
      </c>
      <c r="Q90" s="181">
        <f t="shared" si="9"/>
        <v>158.84372571428574</v>
      </c>
      <c r="R90" s="43">
        <f>'Ozone-Energy'!Q83</f>
        <v>0</v>
      </c>
      <c r="S90" s="43">
        <f>'Ozone-Energy'!R83</f>
        <v>0</v>
      </c>
      <c r="T90" s="43">
        <f>'Ozone-Energy'!S83</f>
        <v>0</v>
      </c>
      <c r="U90" s="43"/>
      <c r="V90" s="43"/>
      <c r="W90">
        <f>'Ozone-Energy'!V83</f>
        <v>0</v>
      </c>
      <c r="X90">
        <f>'Ozone-Energy'!W83</f>
        <v>0</v>
      </c>
      <c r="Y90">
        <f>'Ozone-Energy'!X83</f>
        <v>0</v>
      </c>
      <c r="Z90">
        <f>'Ozone-Energy'!Y83</f>
        <v>0</v>
      </c>
      <c r="AA90" s="43"/>
    </row>
    <row r="91" spans="3:27" ht="15">
      <c r="C91">
        <v>74</v>
      </c>
      <c r="D91" s="359">
        <v>22.8</v>
      </c>
      <c r="E91" s="211">
        <f t="shared" si="12"/>
        <v>25.080000000000002</v>
      </c>
      <c r="F91" s="211">
        <f>'Studio Rain System'!L96</f>
        <v>20</v>
      </c>
      <c r="G91" s="211">
        <f>'Studio Rain System'!M96</f>
        <v>0.745</v>
      </c>
      <c r="H91" s="206">
        <f>'Flow Rate'!$W$27</f>
        <v>464206.53322409093</v>
      </c>
      <c r="I91" s="178">
        <f>'Ozone-Energy'!H84</f>
        <v>4500068.5714285718</v>
      </c>
      <c r="J91" s="128">
        <f t="shared" si="14"/>
        <v>4.5000685714285718</v>
      </c>
      <c r="K91" s="193">
        <f>'Ozone-Energy'!J84</f>
        <v>125400.00000000003</v>
      </c>
      <c r="L91" s="43">
        <f t="shared" si="13"/>
        <v>125.40000000000003</v>
      </c>
      <c r="M91" s="43">
        <f>'Ozone-Energy'!L84</f>
        <v>250800000.00000006</v>
      </c>
      <c r="N91" s="179">
        <f>'Ozone-Energy'!M84</f>
        <v>250.80000000000007</v>
      </c>
      <c r="O91" s="43">
        <f>'Ozone-Energy'!N84</f>
        <v>1200</v>
      </c>
      <c r="P91" s="180">
        <f t="shared" si="15"/>
        <v>4.32</v>
      </c>
      <c r="Q91" s="181">
        <f t="shared" si="9"/>
        <v>259.62006857142865</v>
      </c>
      <c r="R91" s="43">
        <f>'Ozone-Energy'!Q84</f>
        <v>0</v>
      </c>
      <c r="S91" s="43">
        <f>'Ozone-Energy'!R84</f>
        <v>0</v>
      </c>
      <c r="T91" s="43">
        <f>'Ozone-Energy'!S84</f>
        <v>0</v>
      </c>
      <c r="U91" s="43"/>
      <c r="V91" s="43"/>
      <c r="W91">
        <f>'Ozone-Energy'!V84</f>
        <v>0</v>
      </c>
      <c r="X91">
        <f>'Ozone-Energy'!W84</f>
        <v>0</v>
      </c>
      <c r="Y91">
        <f>'Ozone-Energy'!X84</f>
        <v>0</v>
      </c>
      <c r="Z91">
        <f>'Ozone-Energy'!Y84</f>
        <v>0</v>
      </c>
      <c r="AA91" s="43"/>
    </row>
    <row r="92" spans="3:27" ht="15">
      <c r="C92">
        <v>75</v>
      </c>
      <c r="D92" s="359">
        <v>5.4</v>
      </c>
      <c r="E92" s="211">
        <f t="shared" si="12"/>
        <v>5.94</v>
      </c>
      <c r="F92" s="211">
        <f>'Studio Rain System'!L97</f>
        <v>20</v>
      </c>
      <c r="G92" s="211">
        <f>'Studio Rain System'!M97</f>
        <v>0.745</v>
      </c>
      <c r="H92" s="206">
        <f>'Flow Rate'!$W$27</f>
        <v>464206.53322409093</v>
      </c>
      <c r="I92" s="178">
        <f>'Ozone-Energy'!H85</f>
        <v>1065805.7142857143</v>
      </c>
      <c r="J92" s="128">
        <f t="shared" si="14"/>
        <v>1.0658057142857142</v>
      </c>
      <c r="K92" s="193">
        <f>'Ozone-Energy'!J85</f>
        <v>29700</v>
      </c>
      <c r="L92" s="43">
        <f t="shared" si="13"/>
        <v>29.7</v>
      </c>
      <c r="M92" s="43">
        <f>'Ozone-Energy'!L85</f>
        <v>59400000</v>
      </c>
      <c r="N92" s="179">
        <f>'Ozone-Energy'!M85</f>
        <v>59.4</v>
      </c>
      <c r="O92" s="43">
        <f>'Ozone-Energy'!N85</f>
        <v>1200</v>
      </c>
      <c r="P92" s="180">
        <f t="shared" si="15"/>
        <v>4.32</v>
      </c>
      <c r="Q92" s="181">
        <f t="shared" si="9"/>
        <v>64.785805714285715</v>
      </c>
      <c r="R92" s="43">
        <f>'Ozone-Energy'!Q85</f>
        <v>0</v>
      </c>
      <c r="S92" s="43">
        <f>'Ozone-Energy'!R85</f>
        <v>0</v>
      </c>
      <c r="T92" s="43">
        <f>'Ozone-Energy'!S85</f>
        <v>0</v>
      </c>
      <c r="U92" s="43"/>
      <c r="V92" s="43"/>
      <c r="W92">
        <f>'Ozone-Energy'!V85</f>
        <v>0</v>
      </c>
      <c r="X92">
        <f>'Ozone-Energy'!W85</f>
        <v>0</v>
      </c>
      <c r="Y92">
        <f>'Ozone-Energy'!X85</f>
        <v>0</v>
      </c>
      <c r="Z92">
        <f>'Ozone-Energy'!Y85</f>
        <v>0</v>
      </c>
      <c r="AA92" s="43"/>
    </row>
    <row r="93" spans="3:27" ht="15">
      <c r="C93">
        <v>76</v>
      </c>
      <c r="D93" s="359">
        <v>0.4</v>
      </c>
      <c r="E93" s="211">
        <f t="shared" si="12"/>
        <v>0.44</v>
      </c>
      <c r="F93" s="211">
        <f>'Studio Rain System'!L98</f>
        <v>19.695</v>
      </c>
      <c r="G93" s="211">
        <f>'Studio Rain System'!M98</f>
        <v>0.745</v>
      </c>
      <c r="H93" s="206">
        <f>'Flow Rate'!$W$27</f>
        <v>464206.53322409093</v>
      </c>
      <c r="I93" s="178">
        <f>'Ozone-Energy'!H86</f>
        <v>78948.571428571435</v>
      </c>
      <c r="J93" s="128">
        <f t="shared" si="14"/>
        <v>7.8948571428571437E-2</v>
      </c>
      <c r="K93" s="193">
        <f>'Ozone-Energy'!J86</f>
        <v>2200</v>
      </c>
      <c r="L93" s="43">
        <f t="shared" si="13"/>
        <v>2.2000000000000002</v>
      </c>
      <c r="M93" s="43">
        <f>'Ozone-Energy'!L86</f>
        <v>4400000</v>
      </c>
      <c r="N93" s="179">
        <f>'Ozone-Energy'!M86</f>
        <v>4.4000000000000004</v>
      </c>
      <c r="O93" s="43">
        <f>'Ozone-Energy'!N86</f>
        <v>1200</v>
      </c>
      <c r="P93" s="180">
        <f t="shared" si="15"/>
        <v>4.32</v>
      </c>
      <c r="Q93" s="181">
        <f t="shared" si="9"/>
        <v>8.7989485714285713</v>
      </c>
      <c r="R93" s="43">
        <f>'Ozone-Energy'!Q86</f>
        <v>0</v>
      </c>
      <c r="S93" s="43">
        <f>'Ozone-Energy'!R86</f>
        <v>0</v>
      </c>
      <c r="T93" s="43">
        <f>'Ozone-Energy'!S86</f>
        <v>0</v>
      </c>
      <c r="U93" s="43"/>
      <c r="V93" s="43"/>
      <c r="W93">
        <f>'Ozone-Energy'!V86</f>
        <v>0</v>
      </c>
      <c r="X93">
        <f>'Ozone-Energy'!W86</f>
        <v>0</v>
      </c>
      <c r="Y93">
        <f>'Ozone-Energy'!X86</f>
        <v>0</v>
      </c>
      <c r="Z93">
        <f>'Ozone-Energy'!Y86</f>
        <v>0</v>
      </c>
      <c r="AA93" s="43"/>
    </row>
    <row r="94" spans="3:27" ht="15">
      <c r="C94">
        <v>77</v>
      </c>
      <c r="D94" s="359">
        <v>31</v>
      </c>
      <c r="E94" s="211">
        <f t="shared" si="12"/>
        <v>34.1</v>
      </c>
      <c r="F94" s="211">
        <f>'Studio Rain System'!L99</f>
        <v>20</v>
      </c>
      <c r="G94" s="211">
        <f>'Studio Rain System'!M99</f>
        <v>0.745</v>
      </c>
      <c r="H94" s="206">
        <f>'Flow Rate'!$W$27</f>
        <v>464206.53322409093</v>
      </c>
      <c r="I94" s="178">
        <f>'Ozone-Energy'!H87</f>
        <v>6118514.2857142864</v>
      </c>
      <c r="J94" s="128">
        <f t="shared" si="14"/>
        <v>6.1185142857142862</v>
      </c>
      <c r="K94" s="193">
        <f>'Ozone-Energy'!J87</f>
        <v>170500</v>
      </c>
      <c r="L94" s="43">
        <f t="shared" si="13"/>
        <v>170.5</v>
      </c>
      <c r="M94" s="43">
        <f>'Ozone-Energy'!L87</f>
        <v>341000000</v>
      </c>
      <c r="N94" s="179">
        <f>'Ozone-Energy'!M87</f>
        <v>341</v>
      </c>
      <c r="O94" s="43">
        <f>'Ozone-Energy'!N87</f>
        <v>1200</v>
      </c>
      <c r="P94" s="180">
        <f t="shared" si="15"/>
        <v>4.32</v>
      </c>
      <c r="Q94" s="181">
        <f t="shared" si="9"/>
        <v>351.43851428571429</v>
      </c>
      <c r="R94" s="43">
        <f>'Ozone-Energy'!Q87</f>
        <v>0</v>
      </c>
      <c r="S94" s="43">
        <f>'Ozone-Energy'!R87</f>
        <v>0</v>
      </c>
      <c r="T94" s="43">
        <f>'Ozone-Energy'!S87</f>
        <v>0</v>
      </c>
      <c r="U94" s="43"/>
      <c r="V94" s="43"/>
      <c r="W94">
        <f>'Ozone-Energy'!V87</f>
        <v>0</v>
      </c>
      <c r="X94">
        <f>'Ozone-Energy'!W87</f>
        <v>0</v>
      </c>
      <c r="Y94">
        <f>'Ozone-Energy'!X87</f>
        <v>0</v>
      </c>
      <c r="Z94">
        <f>'Ozone-Energy'!Y87</f>
        <v>0</v>
      </c>
      <c r="AA94" s="43"/>
    </row>
    <row r="95" spans="3:27" ht="15">
      <c r="C95">
        <v>78</v>
      </c>
      <c r="D95" s="359">
        <v>1.6</v>
      </c>
      <c r="E95" s="211">
        <f t="shared" si="12"/>
        <v>1.76</v>
      </c>
      <c r="F95" s="211">
        <f>'Studio Rain System'!L100</f>
        <v>20</v>
      </c>
      <c r="G95" s="211">
        <f>'Studio Rain System'!M100</f>
        <v>0.745</v>
      </c>
      <c r="H95" s="206">
        <f>'Flow Rate'!$W$27</f>
        <v>464206.53322409093</v>
      </c>
      <c r="I95" s="178">
        <f>'Ozone-Energy'!H88</f>
        <v>315794.28571428574</v>
      </c>
      <c r="J95" s="128">
        <f t="shared" si="14"/>
        <v>0.31579428571428575</v>
      </c>
      <c r="K95" s="193">
        <f>'Ozone-Energy'!J88</f>
        <v>8800</v>
      </c>
      <c r="L95" s="43">
        <f t="shared" si="13"/>
        <v>8.8000000000000007</v>
      </c>
      <c r="M95" s="43">
        <f>'Ozone-Energy'!L88</f>
        <v>17600000</v>
      </c>
      <c r="N95" s="179">
        <f>'Ozone-Energy'!M88</f>
        <v>17.600000000000001</v>
      </c>
      <c r="O95" s="43">
        <f>'Ozone-Energy'!N88</f>
        <v>1200</v>
      </c>
      <c r="P95" s="180">
        <f t="shared" si="15"/>
        <v>4.32</v>
      </c>
      <c r="Q95" s="181">
        <f t="shared" si="9"/>
        <v>22.235794285714288</v>
      </c>
      <c r="R95" s="43">
        <f>'Ozone-Energy'!Q88</f>
        <v>0</v>
      </c>
      <c r="S95" s="43">
        <f>'Ozone-Energy'!R88</f>
        <v>0</v>
      </c>
      <c r="T95" s="43">
        <f>'Ozone-Energy'!S88</f>
        <v>0</v>
      </c>
      <c r="U95" s="43"/>
      <c r="V95" s="43"/>
      <c r="W95">
        <f>'Ozone-Energy'!V88</f>
        <v>0</v>
      </c>
      <c r="X95">
        <f>'Ozone-Energy'!W88</f>
        <v>0</v>
      </c>
      <c r="Y95">
        <f>'Ozone-Energy'!X88</f>
        <v>0</v>
      </c>
      <c r="Z95">
        <f>'Ozone-Energy'!Y88</f>
        <v>0</v>
      </c>
      <c r="AA95" s="43"/>
    </row>
    <row r="96" spans="3:27" ht="15">
      <c r="C96">
        <v>79</v>
      </c>
      <c r="D96" s="359">
        <v>1.6</v>
      </c>
      <c r="E96" s="211">
        <f t="shared" si="12"/>
        <v>1.76</v>
      </c>
      <c r="F96" s="211">
        <f>'Studio Rain System'!L101</f>
        <v>20</v>
      </c>
      <c r="G96" s="211">
        <f>'Studio Rain System'!M101</f>
        <v>0.745</v>
      </c>
      <c r="H96" s="206">
        <f>'Flow Rate'!$W$27</f>
        <v>464206.53322409093</v>
      </c>
      <c r="I96" s="178">
        <f>'Ozone-Energy'!H89</f>
        <v>315794.28571428574</v>
      </c>
      <c r="J96" s="128">
        <f t="shared" si="14"/>
        <v>0.31579428571428575</v>
      </c>
      <c r="K96" s="193">
        <f>'Ozone-Energy'!J89</f>
        <v>8800</v>
      </c>
      <c r="L96" s="43">
        <f t="shared" si="13"/>
        <v>8.8000000000000007</v>
      </c>
      <c r="M96" s="43">
        <f>'Ozone-Energy'!L89</f>
        <v>17600000</v>
      </c>
      <c r="N96" s="179">
        <f>'Ozone-Energy'!M89</f>
        <v>17.600000000000001</v>
      </c>
      <c r="O96" s="43">
        <f>'Ozone-Energy'!N89</f>
        <v>1200</v>
      </c>
      <c r="P96" s="180">
        <f t="shared" si="15"/>
        <v>4.32</v>
      </c>
      <c r="Q96" s="181">
        <f t="shared" si="9"/>
        <v>22.235794285714288</v>
      </c>
      <c r="R96" s="43">
        <f>'Ozone-Energy'!Q89</f>
        <v>0</v>
      </c>
      <c r="S96" s="43">
        <f>'Ozone-Energy'!R89</f>
        <v>0</v>
      </c>
      <c r="T96" s="43">
        <f>'Ozone-Energy'!S89</f>
        <v>0</v>
      </c>
      <c r="U96" s="43"/>
      <c r="V96" s="43"/>
      <c r="W96">
        <f>'Ozone-Energy'!V89</f>
        <v>0</v>
      </c>
      <c r="X96">
        <f>'Ozone-Energy'!W89</f>
        <v>0</v>
      </c>
      <c r="Y96">
        <f>'Ozone-Energy'!X89</f>
        <v>0</v>
      </c>
      <c r="Z96">
        <f>'Ozone-Energy'!Y89</f>
        <v>0</v>
      </c>
      <c r="AA96" s="43"/>
    </row>
    <row r="97" spans="3:27" ht="15">
      <c r="C97">
        <v>80</v>
      </c>
      <c r="D97" s="359">
        <v>7.6</v>
      </c>
      <c r="E97" s="211">
        <f t="shared" si="12"/>
        <v>8.36</v>
      </c>
      <c r="F97" s="211">
        <f>'Studio Rain System'!L102</f>
        <v>20</v>
      </c>
      <c r="G97" s="211">
        <f>'Studio Rain System'!M102</f>
        <v>0.745</v>
      </c>
      <c r="H97" s="206">
        <f>'Flow Rate'!$W$27</f>
        <v>464206.53322409093</v>
      </c>
      <c r="I97" s="178">
        <f>'Ozone-Energy'!H90</f>
        <v>1500022.8571428573</v>
      </c>
      <c r="J97" s="128">
        <f t="shared" si="14"/>
        <v>1.5000228571428571</v>
      </c>
      <c r="K97" s="193">
        <f>'Ozone-Energy'!J90</f>
        <v>41800</v>
      </c>
      <c r="L97" s="43">
        <f t="shared" si="13"/>
        <v>41.8</v>
      </c>
      <c r="M97" s="43">
        <f>'Ozone-Energy'!L90</f>
        <v>83600000</v>
      </c>
      <c r="N97" s="179">
        <f>'Ozone-Energy'!M90</f>
        <v>83.6</v>
      </c>
      <c r="O97" s="43">
        <f>'Ozone-Energy'!N90</f>
        <v>1200</v>
      </c>
      <c r="P97" s="180">
        <f t="shared" si="15"/>
        <v>4.32</v>
      </c>
      <c r="Q97" s="181">
        <f t="shared" si="9"/>
        <v>89.42002285714284</v>
      </c>
      <c r="R97" s="43">
        <f>'Ozone-Energy'!Q90</f>
        <v>0</v>
      </c>
      <c r="S97" s="43">
        <f>'Ozone-Energy'!R90</f>
        <v>0</v>
      </c>
      <c r="T97" s="43">
        <f>'Ozone-Energy'!S90</f>
        <v>0</v>
      </c>
      <c r="U97" s="43"/>
      <c r="V97" s="43"/>
      <c r="W97">
        <f>'Ozone-Energy'!V90</f>
        <v>0</v>
      </c>
      <c r="X97">
        <f>'Ozone-Energy'!W90</f>
        <v>0</v>
      </c>
      <c r="Y97">
        <f>'Ozone-Energy'!X90</f>
        <v>0</v>
      </c>
      <c r="Z97">
        <f>'Ozone-Energy'!Y90</f>
        <v>0</v>
      </c>
      <c r="AA97" s="43"/>
    </row>
    <row r="98" spans="3:27" ht="15">
      <c r="C98">
        <v>81</v>
      </c>
      <c r="D98" s="359">
        <v>2.6</v>
      </c>
      <c r="E98" s="211">
        <f t="shared" si="12"/>
        <v>2.86</v>
      </c>
      <c r="F98" s="211">
        <f>'Studio Rain System'!L103</f>
        <v>20</v>
      </c>
      <c r="G98" s="211">
        <f>'Studio Rain System'!M103</f>
        <v>0.745</v>
      </c>
      <c r="H98" s="206">
        <f>'Flow Rate'!$W$27</f>
        <v>464206.53322409093</v>
      </c>
      <c r="I98" s="178">
        <f>'Ozone-Energy'!H91</f>
        <v>513165.71428571432</v>
      </c>
      <c r="J98" s="128">
        <f t="shared" si="14"/>
        <v>0.51316571428571434</v>
      </c>
      <c r="K98" s="193">
        <f>'Ozone-Energy'!J91</f>
        <v>14300</v>
      </c>
      <c r="L98" s="43">
        <f t="shared" si="13"/>
        <v>14.3</v>
      </c>
      <c r="M98" s="43">
        <f>'Ozone-Energy'!L91</f>
        <v>28600000</v>
      </c>
      <c r="N98" s="179">
        <f>'Ozone-Energy'!M91</f>
        <v>28.6</v>
      </c>
      <c r="O98" s="43">
        <f>'Ozone-Energy'!N91</f>
        <v>1200</v>
      </c>
      <c r="P98" s="180">
        <f xml:space="preserve"> O98 * 3600 / 1000000</f>
        <v>4.32</v>
      </c>
      <c r="Q98" s="181">
        <f t="shared" si="9"/>
        <v>33.433165714285721</v>
      </c>
      <c r="R98" s="43">
        <f>'Ozone-Energy'!Q91</f>
        <v>0</v>
      </c>
      <c r="S98" s="43">
        <f>'Ozone-Energy'!R91</f>
        <v>0</v>
      </c>
      <c r="T98" s="43">
        <f>'Ozone-Energy'!S91</f>
        <v>0</v>
      </c>
      <c r="U98" s="43"/>
      <c r="V98" s="43"/>
      <c r="W98">
        <f>'Ozone-Energy'!V91</f>
        <v>0</v>
      </c>
      <c r="X98">
        <f>'Ozone-Energy'!W91</f>
        <v>0</v>
      </c>
      <c r="Y98">
        <f>'Ozone-Energy'!X91</f>
        <v>0</v>
      </c>
      <c r="Z98">
        <f>'Ozone-Energy'!Y91</f>
        <v>0</v>
      </c>
      <c r="AA98" s="43"/>
    </row>
    <row r="99" spans="3:27" ht="15">
      <c r="C99">
        <v>82</v>
      </c>
      <c r="D99" s="359">
        <v>0</v>
      </c>
      <c r="E99" s="211">
        <f t="shared" si="12"/>
        <v>0</v>
      </c>
      <c r="F99" s="211">
        <f>'Studio Rain System'!L104</f>
        <v>19.254999999999999</v>
      </c>
      <c r="G99" s="211">
        <f>'Studio Rain System'!M104</f>
        <v>0.745</v>
      </c>
      <c r="H99" s="206">
        <f>'Flow Rate'!$W$27</f>
        <v>464206.53322409093</v>
      </c>
      <c r="I99" s="178">
        <f>'Ozone-Energy'!H92</f>
        <v>0</v>
      </c>
      <c r="J99" s="128">
        <f t="shared" si="14"/>
        <v>0</v>
      </c>
      <c r="K99" s="193">
        <f>'Ozone-Energy'!J92</f>
        <v>0</v>
      </c>
      <c r="L99" s="43">
        <f t="shared" si="13"/>
        <v>0</v>
      </c>
      <c r="M99" s="43">
        <f>'Ozone-Energy'!L92</f>
        <v>0</v>
      </c>
      <c r="N99" s="179">
        <f>'Ozone-Energy'!M92</f>
        <v>0</v>
      </c>
      <c r="O99" s="43">
        <f>'Ozone-Energy'!N92</f>
        <v>1200</v>
      </c>
      <c r="P99" s="180">
        <f t="shared" ref="P99:P107" si="16">O99 * 3600 / 1000000</f>
        <v>4.32</v>
      </c>
      <c r="Q99" s="181">
        <f t="shared" si="9"/>
        <v>4.32</v>
      </c>
      <c r="R99" s="43">
        <f>'Ozone-Energy'!Q92</f>
        <v>0</v>
      </c>
      <c r="S99" s="43">
        <f>'Ozone-Energy'!R92</f>
        <v>0</v>
      </c>
      <c r="T99" s="43">
        <f>'Ozone-Energy'!S92</f>
        <v>0</v>
      </c>
      <c r="U99" s="43"/>
      <c r="V99" s="43"/>
      <c r="W99">
        <f>'Ozone-Energy'!V92</f>
        <v>0</v>
      </c>
      <c r="X99">
        <f>'Ozone-Energy'!W92</f>
        <v>0</v>
      </c>
      <c r="Y99">
        <f>'Ozone-Energy'!X92</f>
        <v>0</v>
      </c>
      <c r="Z99">
        <f>'Ozone-Energy'!Y92</f>
        <v>0</v>
      </c>
      <c r="AA99" s="43"/>
    </row>
    <row r="100" spans="3:27" ht="15">
      <c r="C100">
        <v>83</v>
      </c>
      <c r="D100" s="359">
        <v>4</v>
      </c>
      <c r="E100" s="211">
        <f t="shared" si="12"/>
        <v>4.4000000000000004</v>
      </c>
      <c r="F100" s="211">
        <f>'Studio Rain System'!L105</f>
        <v>20</v>
      </c>
      <c r="G100" s="211">
        <f>'Studio Rain System'!M105</f>
        <v>0.745</v>
      </c>
      <c r="H100" s="206">
        <f>'Flow Rate'!$W$27</f>
        <v>464206.53322409093</v>
      </c>
      <c r="I100" s="178">
        <f>'Ozone-Energy'!H93</f>
        <v>789485.71428571432</v>
      </c>
      <c r="J100" s="128">
        <f t="shared" si="14"/>
        <v>0.78948571428571424</v>
      </c>
      <c r="K100" s="193">
        <f>'Ozone-Energy'!J93</f>
        <v>22000</v>
      </c>
      <c r="L100" s="43">
        <f t="shared" si="13"/>
        <v>22</v>
      </c>
      <c r="M100" s="43">
        <f>'Ozone-Energy'!L93</f>
        <v>44000000</v>
      </c>
      <c r="N100" s="179">
        <f>'Ozone-Energy'!M93</f>
        <v>44</v>
      </c>
      <c r="O100" s="43">
        <f>'Ozone-Energy'!N93</f>
        <v>1200</v>
      </c>
      <c r="P100" s="180">
        <f t="shared" si="16"/>
        <v>4.32</v>
      </c>
      <c r="Q100" s="181">
        <f t="shared" si="9"/>
        <v>49.109485714285718</v>
      </c>
      <c r="R100" s="43">
        <f>'Ozone-Energy'!Q93</f>
        <v>0</v>
      </c>
      <c r="S100" s="43">
        <f>'Ozone-Energy'!R93</f>
        <v>0</v>
      </c>
      <c r="T100" s="43">
        <f>'Ozone-Energy'!S93</f>
        <v>0</v>
      </c>
      <c r="U100" s="43"/>
      <c r="V100" s="43"/>
      <c r="W100">
        <f>'Ozone-Energy'!V93</f>
        <v>0</v>
      </c>
      <c r="X100">
        <f>'Ozone-Energy'!W93</f>
        <v>0</v>
      </c>
      <c r="Y100">
        <f>'Ozone-Energy'!X93</f>
        <v>0</v>
      </c>
      <c r="Z100">
        <f>'Ozone-Energy'!Y93</f>
        <v>0</v>
      </c>
      <c r="AA100" s="43"/>
    </row>
    <row r="101" spans="3:27" ht="15">
      <c r="C101">
        <v>84</v>
      </c>
      <c r="D101" s="359">
        <v>31</v>
      </c>
      <c r="E101" s="211">
        <f t="shared" si="12"/>
        <v>34.1</v>
      </c>
      <c r="F101" s="211">
        <f>'Studio Rain System'!L106</f>
        <v>20</v>
      </c>
      <c r="G101" s="211">
        <f>'Studio Rain System'!M106</f>
        <v>0.745</v>
      </c>
      <c r="H101" s="206">
        <f>'Flow Rate'!$W$27</f>
        <v>464206.53322409093</v>
      </c>
      <c r="I101" s="178">
        <f>'Ozone-Energy'!H94</f>
        <v>6118514.2857142864</v>
      </c>
      <c r="J101" s="128">
        <f t="shared" si="14"/>
        <v>6.1185142857142862</v>
      </c>
      <c r="K101" s="193">
        <f>'Ozone-Energy'!J94</f>
        <v>170500</v>
      </c>
      <c r="L101" s="43">
        <f t="shared" si="13"/>
        <v>170.5</v>
      </c>
      <c r="M101" s="43">
        <f>'Ozone-Energy'!L94</f>
        <v>341000000</v>
      </c>
      <c r="N101" s="179">
        <f>'Ozone-Energy'!M94</f>
        <v>341</v>
      </c>
      <c r="O101" s="43">
        <f>'Ozone-Energy'!N94</f>
        <v>1200</v>
      </c>
      <c r="P101" s="180">
        <f t="shared" si="16"/>
        <v>4.32</v>
      </c>
      <c r="Q101" s="181">
        <f t="shared" si="9"/>
        <v>351.43851428571429</v>
      </c>
      <c r="R101" s="43">
        <f>'Ozone-Energy'!Q94</f>
        <v>0</v>
      </c>
      <c r="S101" s="43">
        <f>'Ozone-Energy'!R94</f>
        <v>0</v>
      </c>
      <c r="T101" s="43">
        <f>'Ozone-Energy'!S94</f>
        <v>0</v>
      </c>
      <c r="U101" s="43"/>
      <c r="V101" s="43"/>
      <c r="W101">
        <f>'Ozone-Energy'!V94</f>
        <v>0</v>
      </c>
      <c r="X101">
        <f>'Ozone-Energy'!W94</f>
        <v>0</v>
      </c>
      <c r="Y101">
        <f>'Ozone-Energy'!X94</f>
        <v>0</v>
      </c>
      <c r="Z101">
        <f>'Ozone-Energy'!Y94</f>
        <v>0</v>
      </c>
      <c r="AA101" s="43"/>
    </row>
    <row r="102" spans="3:27" ht="15">
      <c r="C102">
        <v>85</v>
      </c>
      <c r="D102" s="359">
        <v>0.2</v>
      </c>
      <c r="E102" s="211">
        <f t="shared" si="12"/>
        <v>0.22</v>
      </c>
      <c r="F102" s="211">
        <f>'Studio Rain System'!L107</f>
        <v>19.474999999999998</v>
      </c>
      <c r="G102" s="211">
        <f>'Studio Rain System'!M107</f>
        <v>0.745</v>
      </c>
      <c r="H102" s="206">
        <f>'Flow Rate'!$W$27</f>
        <v>464206.53322409093</v>
      </c>
      <c r="I102" s="178">
        <f>'Ozone-Energy'!H95</f>
        <v>39474.285714285717</v>
      </c>
      <c r="J102" s="128">
        <f t="shared" si="14"/>
        <v>3.9474285714285719E-2</v>
      </c>
      <c r="K102" s="193">
        <f>'Ozone-Energy'!J95</f>
        <v>1100</v>
      </c>
      <c r="L102" s="43">
        <f t="shared" si="13"/>
        <v>1.1000000000000001</v>
      </c>
      <c r="M102" s="43">
        <f>'Ozone-Energy'!L95</f>
        <v>2200000</v>
      </c>
      <c r="N102" s="179">
        <f>'Ozone-Energy'!M95</f>
        <v>2.2000000000000002</v>
      </c>
      <c r="O102" s="43">
        <f>'Ozone-Energy'!N95</f>
        <v>1200</v>
      </c>
      <c r="P102" s="180">
        <f t="shared" si="16"/>
        <v>4.32</v>
      </c>
      <c r="Q102" s="181">
        <f t="shared" si="9"/>
        <v>6.5594742857142858</v>
      </c>
      <c r="R102" s="43">
        <f>'Ozone-Energy'!Q95</f>
        <v>0</v>
      </c>
      <c r="S102" s="43">
        <f>'Ozone-Energy'!R95</f>
        <v>0</v>
      </c>
      <c r="T102" s="43">
        <f>'Ozone-Energy'!S95</f>
        <v>0</v>
      </c>
      <c r="U102" s="43"/>
      <c r="V102" s="43"/>
      <c r="W102">
        <f>'Ozone-Energy'!V95</f>
        <v>0</v>
      </c>
      <c r="X102">
        <f>'Ozone-Energy'!W95</f>
        <v>0</v>
      </c>
      <c r="Y102">
        <f>'Ozone-Energy'!X95</f>
        <v>0</v>
      </c>
      <c r="Z102">
        <f>'Ozone-Energy'!Y95</f>
        <v>0</v>
      </c>
      <c r="AA102" s="43"/>
    </row>
    <row r="103" spans="3:27" ht="15">
      <c r="C103">
        <v>86</v>
      </c>
      <c r="D103" s="359">
        <v>4.4000000000000004</v>
      </c>
      <c r="E103" s="211">
        <f t="shared" si="12"/>
        <v>4.84</v>
      </c>
      <c r="F103" s="211">
        <f>'Studio Rain System'!L108</f>
        <v>20</v>
      </c>
      <c r="G103" s="211">
        <f>'Studio Rain System'!M108</f>
        <v>0.745</v>
      </c>
      <c r="H103" s="206">
        <f>'Flow Rate'!$W$27</f>
        <v>464206.53322409093</v>
      </c>
      <c r="I103" s="178">
        <f>'Ozone-Energy'!H96</f>
        <v>868434.2857142858</v>
      </c>
      <c r="J103" s="128">
        <f t="shared" si="14"/>
        <v>0.86843428571428571</v>
      </c>
      <c r="K103" s="193">
        <f>'Ozone-Energy'!J96</f>
        <v>24200</v>
      </c>
      <c r="L103" s="43">
        <f t="shared" si="13"/>
        <v>24.2</v>
      </c>
      <c r="M103" s="43">
        <f>'Ozone-Energy'!L96</f>
        <v>48400000</v>
      </c>
      <c r="N103" s="179">
        <f>'Ozone-Energy'!M96</f>
        <v>48.4</v>
      </c>
      <c r="O103" s="43">
        <f>'Ozone-Energy'!N96</f>
        <v>1200</v>
      </c>
      <c r="P103" s="180">
        <f t="shared" si="16"/>
        <v>4.32</v>
      </c>
      <c r="Q103" s="181">
        <f t="shared" si="9"/>
        <v>53.588434285714285</v>
      </c>
      <c r="R103" s="43">
        <f>'Ozone-Energy'!Q96</f>
        <v>0</v>
      </c>
      <c r="S103" s="43">
        <f>'Ozone-Energy'!R96</f>
        <v>0</v>
      </c>
      <c r="T103" s="43">
        <f>'Ozone-Energy'!S96</f>
        <v>0</v>
      </c>
      <c r="U103" s="43"/>
      <c r="V103" s="43"/>
      <c r="W103">
        <f>'Ozone-Energy'!V96</f>
        <v>0</v>
      </c>
      <c r="X103">
        <f>'Ozone-Energy'!W96</f>
        <v>0</v>
      </c>
      <c r="Y103">
        <f>'Ozone-Energy'!X96</f>
        <v>0</v>
      </c>
      <c r="Z103">
        <f>'Ozone-Energy'!Y96</f>
        <v>0</v>
      </c>
      <c r="AA103" s="43"/>
    </row>
    <row r="104" spans="3:27" ht="15">
      <c r="C104">
        <v>87</v>
      </c>
      <c r="D104" s="359">
        <v>23.6</v>
      </c>
      <c r="E104" s="211">
        <f t="shared" si="12"/>
        <v>25.960000000000004</v>
      </c>
      <c r="F104" s="211">
        <f>'Studio Rain System'!L109</f>
        <v>20</v>
      </c>
      <c r="G104" s="211">
        <f>'Studio Rain System'!M109</f>
        <v>0.745</v>
      </c>
      <c r="H104" s="206">
        <f>'Flow Rate'!$W$27</f>
        <v>464206.53322409093</v>
      </c>
      <c r="I104" s="178">
        <f>'Ozone-Energy'!H97</f>
        <v>4657965.7142857155</v>
      </c>
      <c r="J104" s="128">
        <f t="shared" si="14"/>
        <v>4.6579657142857149</v>
      </c>
      <c r="K104" s="193">
        <f>'Ozone-Energy'!J97</f>
        <v>129800.00000000003</v>
      </c>
      <c r="L104" s="43">
        <f t="shared" si="13"/>
        <v>129.80000000000004</v>
      </c>
      <c r="M104" s="43">
        <f>'Ozone-Energy'!L97</f>
        <v>259600000.00000009</v>
      </c>
      <c r="N104" s="179">
        <f>'Ozone-Energy'!M97</f>
        <v>259.60000000000008</v>
      </c>
      <c r="O104" s="43">
        <f>'Ozone-Energy'!N97</f>
        <v>1200</v>
      </c>
      <c r="P104" s="180">
        <f t="shared" si="16"/>
        <v>4.32</v>
      </c>
      <c r="Q104" s="181">
        <f t="shared" si="9"/>
        <v>268.57796571428577</v>
      </c>
      <c r="R104" s="43">
        <f>'Ozone-Energy'!Q97</f>
        <v>0</v>
      </c>
      <c r="S104" s="43">
        <f>'Ozone-Energy'!R97</f>
        <v>0</v>
      </c>
      <c r="T104" s="43">
        <f>'Ozone-Energy'!S97</f>
        <v>0</v>
      </c>
      <c r="U104" s="43"/>
      <c r="V104" s="43"/>
      <c r="W104">
        <f>'Ozone-Energy'!V97</f>
        <v>0</v>
      </c>
      <c r="X104">
        <f>'Ozone-Energy'!W97</f>
        <v>0</v>
      </c>
      <c r="Y104">
        <f>'Ozone-Energy'!X97</f>
        <v>0</v>
      </c>
      <c r="Z104">
        <f>'Ozone-Energy'!Y97</f>
        <v>0</v>
      </c>
      <c r="AA104" s="43"/>
    </row>
    <row r="105" spans="3:27" ht="15">
      <c r="C105">
        <v>88</v>
      </c>
      <c r="D105" s="359">
        <v>41.6</v>
      </c>
      <c r="E105" s="211">
        <f t="shared" si="12"/>
        <v>45.76</v>
      </c>
      <c r="F105" s="211">
        <f>'Studio Rain System'!L110</f>
        <v>20</v>
      </c>
      <c r="G105" s="211">
        <f>'Studio Rain System'!M110</f>
        <v>0.745</v>
      </c>
      <c r="H105" s="206">
        <f>'Flow Rate'!$W$27</f>
        <v>464206.53322409093</v>
      </c>
      <c r="I105" s="178">
        <f>'Ozone-Energy'!H98</f>
        <v>8210651.4285714291</v>
      </c>
      <c r="J105" s="128">
        <f t="shared" si="14"/>
        <v>8.2106514285714294</v>
      </c>
      <c r="K105" s="193">
        <f>'Ozone-Energy'!J98</f>
        <v>228800</v>
      </c>
      <c r="L105" s="43">
        <f t="shared" si="13"/>
        <v>228.8</v>
      </c>
      <c r="M105" s="43">
        <f>'Ozone-Energy'!L98</f>
        <v>457600000</v>
      </c>
      <c r="N105" s="179">
        <f>'Ozone-Energy'!M98</f>
        <v>457.6</v>
      </c>
      <c r="O105" s="43">
        <f>'Ozone-Energy'!N98</f>
        <v>1200</v>
      </c>
      <c r="P105" s="180">
        <f t="shared" si="16"/>
        <v>4.32</v>
      </c>
      <c r="Q105" s="181">
        <f t="shared" si="9"/>
        <v>470.13065142857147</v>
      </c>
      <c r="R105" s="43">
        <f>'Ozone-Energy'!Q98</f>
        <v>0</v>
      </c>
      <c r="S105" s="43">
        <f>'Ozone-Energy'!R98</f>
        <v>0</v>
      </c>
      <c r="T105" s="43">
        <f>'Ozone-Energy'!S98</f>
        <v>0</v>
      </c>
      <c r="U105" s="43"/>
      <c r="V105" s="43"/>
      <c r="W105">
        <f>'Ozone-Energy'!V98</f>
        <v>0</v>
      </c>
      <c r="X105">
        <f>'Ozone-Energy'!W98</f>
        <v>0</v>
      </c>
      <c r="Y105">
        <f>'Ozone-Energy'!X98</f>
        <v>0</v>
      </c>
      <c r="Z105">
        <f>'Ozone-Energy'!Y98</f>
        <v>0</v>
      </c>
      <c r="AA105" s="43"/>
    </row>
    <row r="106" spans="3:27" ht="15">
      <c r="C106">
        <v>89</v>
      </c>
      <c r="D106" s="359">
        <v>3</v>
      </c>
      <c r="E106" s="211">
        <f t="shared" si="12"/>
        <v>3.3000000000000003</v>
      </c>
      <c r="F106" s="211">
        <f>'Studio Rain System'!L111</f>
        <v>20</v>
      </c>
      <c r="G106" s="211">
        <f>'Studio Rain System'!M111</f>
        <v>0.745</v>
      </c>
      <c r="H106" s="206">
        <f>'Flow Rate'!$W$27</f>
        <v>464206.53322409093</v>
      </c>
      <c r="I106" s="178">
        <f>'Ozone-Energy'!H99</f>
        <v>592114.2857142858</v>
      </c>
      <c r="J106" s="128">
        <f t="shared" si="14"/>
        <v>0.59211428571428582</v>
      </c>
      <c r="K106" s="193">
        <f>'Ozone-Energy'!J99</f>
        <v>16500.000000000004</v>
      </c>
      <c r="L106" s="43">
        <f t="shared" si="13"/>
        <v>16.500000000000004</v>
      </c>
      <c r="M106" s="43">
        <f>'Ozone-Energy'!L99</f>
        <v>33000000.000000007</v>
      </c>
      <c r="N106" s="179">
        <f>'Ozone-Energy'!M99</f>
        <v>33.000000000000007</v>
      </c>
      <c r="O106" s="43">
        <f>'Ozone-Energy'!N99</f>
        <v>1200</v>
      </c>
      <c r="P106" s="180">
        <f t="shared" si="16"/>
        <v>4.32</v>
      </c>
      <c r="Q106" s="181">
        <f t="shared" si="9"/>
        <v>37.912114285714296</v>
      </c>
      <c r="R106" s="43">
        <f>'Ozone-Energy'!Q99</f>
        <v>0</v>
      </c>
      <c r="S106" s="43">
        <f>'Ozone-Energy'!R99</f>
        <v>0</v>
      </c>
      <c r="T106" s="43">
        <f>'Ozone-Energy'!S99</f>
        <v>0</v>
      </c>
      <c r="U106" s="43"/>
      <c r="V106" s="43"/>
      <c r="W106">
        <f>'Ozone-Energy'!V99</f>
        <v>0</v>
      </c>
      <c r="X106">
        <f>'Ozone-Energy'!W99</f>
        <v>0</v>
      </c>
      <c r="Y106">
        <f>'Ozone-Energy'!X99</f>
        <v>0</v>
      </c>
      <c r="Z106">
        <f>'Ozone-Energy'!Y99</f>
        <v>0</v>
      </c>
      <c r="AA106" s="43"/>
    </row>
    <row r="107" spans="3:27" ht="15">
      <c r="C107">
        <v>90</v>
      </c>
      <c r="D107" s="359">
        <v>0</v>
      </c>
      <c r="E107" s="211">
        <f t="shared" si="12"/>
        <v>0</v>
      </c>
      <c r="F107" s="211">
        <f>'Studio Rain System'!L112</f>
        <v>19.254999999999999</v>
      </c>
      <c r="G107" s="211">
        <f>'Studio Rain System'!M112</f>
        <v>0.745</v>
      </c>
      <c r="H107" s="206">
        <f>'Flow Rate'!$W$27</f>
        <v>464206.53322409093</v>
      </c>
      <c r="I107" s="178">
        <f>'Ozone-Energy'!H100</f>
        <v>0</v>
      </c>
      <c r="J107" s="128">
        <f t="shared" si="14"/>
        <v>0</v>
      </c>
      <c r="K107" s="193">
        <f>'Ozone-Energy'!J100</f>
        <v>0</v>
      </c>
      <c r="L107" s="43">
        <f t="shared" si="13"/>
        <v>0</v>
      </c>
      <c r="M107" s="43">
        <f>'Ozone-Energy'!L100</f>
        <v>0</v>
      </c>
      <c r="N107" s="179">
        <f>'Ozone-Energy'!M100</f>
        <v>0</v>
      </c>
      <c r="O107" s="43">
        <f>'Ozone-Energy'!N100</f>
        <v>1200</v>
      </c>
      <c r="P107" s="180">
        <f t="shared" si="16"/>
        <v>4.32</v>
      </c>
      <c r="Q107" s="181">
        <f t="shared" si="9"/>
        <v>4.32</v>
      </c>
      <c r="R107" s="43">
        <f>'Ozone-Energy'!Q100</f>
        <v>0</v>
      </c>
      <c r="S107" s="43">
        <f>'Ozone-Energy'!R100</f>
        <v>0</v>
      </c>
      <c r="T107" s="43">
        <f>'Ozone-Energy'!S100</f>
        <v>0</v>
      </c>
      <c r="U107" s="43"/>
      <c r="V107" s="43"/>
      <c r="W107">
        <f>'Ozone-Energy'!V100</f>
        <v>0</v>
      </c>
      <c r="X107">
        <f>'Ozone-Energy'!W100</f>
        <v>0</v>
      </c>
      <c r="Y107">
        <f>'Ozone-Energy'!X100</f>
        <v>0</v>
      </c>
      <c r="Z107">
        <f>'Ozone-Energy'!Y100</f>
        <v>0</v>
      </c>
      <c r="AA107" s="43"/>
    </row>
    <row r="108" spans="3:27" ht="15">
      <c r="C108">
        <v>91</v>
      </c>
      <c r="D108" s="359">
        <v>0</v>
      </c>
      <c r="E108" s="211">
        <f t="shared" si="12"/>
        <v>0</v>
      </c>
      <c r="F108" s="211">
        <f>'Studio Rain System'!L113</f>
        <v>18.509999999999998</v>
      </c>
      <c r="G108" s="211">
        <f>'Studio Rain System'!M113</f>
        <v>0.745</v>
      </c>
      <c r="H108" s="206">
        <f>'Flow Rate'!$W$27</f>
        <v>464206.53322409093</v>
      </c>
      <c r="I108" s="178">
        <f>'Ozone-Energy'!H101</f>
        <v>0</v>
      </c>
      <c r="J108" s="128">
        <f t="shared" si="14"/>
        <v>0</v>
      </c>
      <c r="K108" s="193">
        <f>'Ozone-Energy'!J101</f>
        <v>0</v>
      </c>
      <c r="L108" s="43">
        <f t="shared" si="13"/>
        <v>0</v>
      </c>
      <c r="M108" s="43">
        <f>'Ozone-Energy'!L101</f>
        <v>0</v>
      </c>
      <c r="N108" s="179">
        <f>'Ozone-Energy'!M101</f>
        <v>0</v>
      </c>
      <c r="O108" s="43">
        <f>'Ozone-Energy'!N101</f>
        <v>1200</v>
      </c>
      <c r="P108" s="180">
        <f xml:space="preserve"> O108 * 3600 / 1000000</f>
        <v>4.32</v>
      </c>
      <c r="Q108" s="181">
        <f t="shared" si="9"/>
        <v>4.32</v>
      </c>
      <c r="R108" s="43">
        <f>'Ozone-Energy'!Q101</f>
        <v>0</v>
      </c>
      <c r="S108" s="43">
        <f>'Ozone-Energy'!R101</f>
        <v>0</v>
      </c>
      <c r="T108" s="43">
        <f>'Ozone-Energy'!S101</f>
        <v>0</v>
      </c>
      <c r="U108" s="43"/>
      <c r="V108" s="43"/>
      <c r="W108">
        <f>'Ozone-Energy'!V101</f>
        <v>0</v>
      </c>
      <c r="X108">
        <f>'Ozone-Energy'!W101</f>
        <v>0</v>
      </c>
      <c r="Y108">
        <f>'Ozone-Energy'!X101</f>
        <v>0</v>
      </c>
      <c r="Z108">
        <f>'Ozone-Energy'!Y101</f>
        <v>0</v>
      </c>
      <c r="AA108" s="43"/>
    </row>
    <row r="109" spans="3:27" ht="15">
      <c r="C109">
        <v>92</v>
      </c>
      <c r="D109" s="359">
        <v>5.6</v>
      </c>
      <c r="E109" s="211">
        <f t="shared" si="12"/>
        <v>6.16</v>
      </c>
      <c r="F109" s="211">
        <f>'Studio Rain System'!L114</f>
        <v>20</v>
      </c>
      <c r="G109" s="211">
        <f>'Studio Rain System'!M114</f>
        <v>0.745</v>
      </c>
      <c r="H109" s="206">
        <f>'Flow Rate'!$W$27</f>
        <v>464206.53322409093</v>
      </c>
      <c r="I109" s="178">
        <f>'Ozone-Energy'!H102</f>
        <v>1105280</v>
      </c>
      <c r="J109" s="128">
        <f t="shared" si="14"/>
        <v>1.10528</v>
      </c>
      <c r="K109" s="193">
        <f>'Ozone-Energy'!J102</f>
        <v>30800</v>
      </c>
      <c r="L109" s="43">
        <f t="shared" si="13"/>
        <v>30.8</v>
      </c>
      <c r="M109" s="43">
        <f>'Ozone-Energy'!L102</f>
        <v>61600000</v>
      </c>
      <c r="N109" s="179">
        <f>'Ozone-Energy'!M102</f>
        <v>61.6</v>
      </c>
      <c r="O109" s="43">
        <f>'Ozone-Energy'!N102</f>
        <v>1200</v>
      </c>
      <c r="P109" s="180">
        <f t="shared" ref="P109:P117" si="17">O109 * 3600 / 1000000</f>
        <v>4.32</v>
      </c>
      <c r="Q109" s="181">
        <f t="shared" si="9"/>
        <v>67.025280000000009</v>
      </c>
      <c r="R109" s="43">
        <f>'Ozone-Energy'!Q102</f>
        <v>0</v>
      </c>
      <c r="S109" s="43">
        <f>'Ozone-Energy'!R102</f>
        <v>0</v>
      </c>
      <c r="T109" s="43">
        <f>'Ozone-Energy'!S102</f>
        <v>0</v>
      </c>
      <c r="U109" s="43"/>
      <c r="V109" s="43"/>
      <c r="W109">
        <f>'Ozone-Energy'!V102</f>
        <v>0</v>
      </c>
      <c r="X109">
        <f>'Ozone-Energy'!W102</f>
        <v>0</v>
      </c>
      <c r="Y109">
        <f>'Ozone-Energy'!X102</f>
        <v>0</v>
      </c>
      <c r="Z109">
        <f>'Ozone-Energy'!Y102</f>
        <v>0</v>
      </c>
      <c r="AA109" s="43"/>
    </row>
    <row r="110" spans="3:27" ht="15">
      <c r="C110">
        <v>93</v>
      </c>
      <c r="D110" s="359">
        <v>20.399999999999999</v>
      </c>
      <c r="E110" s="211">
        <f t="shared" si="12"/>
        <v>22.439999999999998</v>
      </c>
      <c r="F110" s="211">
        <f>'Studio Rain System'!L115</f>
        <v>20</v>
      </c>
      <c r="G110" s="211">
        <f>'Studio Rain System'!M115</f>
        <v>0.745</v>
      </c>
      <c r="H110" s="206">
        <f>'Flow Rate'!$W$27</f>
        <v>464206.53322409093</v>
      </c>
      <c r="I110" s="178">
        <f>'Ozone-Energy'!H103</f>
        <v>4026377.1428571423</v>
      </c>
      <c r="J110" s="128">
        <f t="shared" si="14"/>
        <v>4.0263771428571422</v>
      </c>
      <c r="K110" s="193">
        <f>'Ozone-Energy'!J103</f>
        <v>112199.99999999997</v>
      </c>
      <c r="L110" s="43">
        <f t="shared" si="13"/>
        <v>112.19999999999997</v>
      </c>
      <c r="M110" s="43">
        <f>'Ozone-Energy'!L103</f>
        <v>224399999.99999994</v>
      </c>
      <c r="N110" s="179">
        <f>'Ozone-Energy'!M103</f>
        <v>224.39999999999995</v>
      </c>
      <c r="O110" s="43">
        <f>'Ozone-Energy'!N103</f>
        <v>1200</v>
      </c>
      <c r="P110" s="180">
        <f t="shared" si="17"/>
        <v>4.32</v>
      </c>
      <c r="Q110" s="181">
        <f t="shared" si="9"/>
        <v>232.74637714285709</v>
      </c>
      <c r="R110" s="43">
        <f>'Ozone-Energy'!Q103</f>
        <v>0</v>
      </c>
      <c r="S110" s="43">
        <f>'Ozone-Energy'!R103</f>
        <v>0</v>
      </c>
      <c r="T110" s="43">
        <f>'Ozone-Energy'!S103</f>
        <v>0</v>
      </c>
      <c r="U110" s="43"/>
      <c r="V110" s="43"/>
      <c r="W110">
        <f>'Ozone-Energy'!V103</f>
        <v>0</v>
      </c>
      <c r="X110">
        <f>'Ozone-Energy'!W103</f>
        <v>0</v>
      </c>
      <c r="Y110">
        <f>'Ozone-Energy'!X103</f>
        <v>0</v>
      </c>
      <c r="Z110">
        <f>'Ozone-Energy'!Y103</f>
        <v>0</v>
      </c>
      <c r="AA110" s="43"/>
    </row>
    <row r="111" spans="3:27" ht="15">
      <c r="C111">
        <v>94</v>
      </c>
      <c r="D111" s="359">
        <v>2.6</v>
      </c>
      <c r="E111" s="211">
        <f t="shared" si="12"/>
        <v>2.86</v>
      </c>
      <c r="F111" s="211">
        <f>'Studio Rain System'!L116</f>
        <v>20</v>
      </c>
      <c r="G111" s="211">
        <f>'Studio Rain System'!M116</f>
        <v>0.745</v>
      </c>
      <c r="H111" s="206">
        <f>'Flow Rate'!$W$27</f>
        <v>464206.53322409093</v>
      </c>
      <c r="I111" s="178">
        <f>'Ozone-Energy'!H104</f>
        <v>513165.71428571432</v>
      </c>
      <c r="J111" s="128">
        <f t="shared" si="14"/>
        <v>0.51316571428571434</v>
      </c>
      <c r="K111" s="193">
        <f>'Ozone-Energy'!J104</f>
        <v>14300</v>
      </c>
      <c r="L111" s="43">
        <f t="shared" si="13"/>
        <v>14.3</v>
      </c>
      <c r="M111" s="43">
        <f>'Ozone-Energy'!L104</f>
        <v>28600000</v>
      </c>
      <c r="N111" s="179">
        <f>'Ozone-Energy'!M104</f>
        <v>28.6</v>
      </c>
      <c r="O111" s="43">
        <f>'Ozone-Energy'!N104</f>
        <v>1200</v>
      </c>
      <c r="P111" s="180">
        <f t="shared" si="17"/>
        <v>4.32</v>
      </c>
      <c r="Q111" s="181">
        <f t="shared" si="9"/>
        <v>33.433165714285721</v>
      </c>
      <c r="R111" s="43">
        <f>'Ozone-Energy'!Q104</f>
        <v>0</v>
      </c>
      <c r="S111" s="43">
        <f>'Ozone-Energy'!R104</f>
        <v>0</v>
      </c>
      <c r="T111" s="43">
        <f>'Ozone-Energy'!S104</f>
        <v>0</v>
      </c>
      <c r="U111" s="43"/>
      <c r="V111" s="43"/>
      <c r="W111">
        <f>'Ozone-Energy'!V104</f>
        <v>0</v>
      </c>
      <c r="X111">
        <f>'Ozone-Energy'!W104</f>
        <v>0</v>
      </c>
      <c r="Y111">
        <f>'Ozone-Energy'!X104</f>
        <v>0</v>
      </c>
      <c r="Z111">
        <f>'Ozone-Energy'!Y104</f>
        <v>0</v>
      </c>
      <c r="AA111" s="43"/>
    </row>
    <row r="112" spans="3:27" ht="15">
      <c r="C112">
        <v>95</v>
      </c>
      <c r="D112" s="359">
        <v>15.9</v>
      </c>
      <c r="E112" s="211">
        <f t="shared" si="12"/>
        <v>17.490000000000002</v>
      </c>
      <c r="F112" s="211">
        <f>'Studio Rain System'!L117</f>
        <v>20</v>
      </c>
      <c r="G112" s="211">
        <f>'Studio Rain System'!M117</f>
        <v>0.745</v>
      </c>
      <c r="H112" s="206">
        <f>'Flow Rate'!$W$27</f>
        <v>464206.53322409093</v>
      </c>
      <c r="I112" s="178">
        <f>'Ozone-Energy'!H105</f>
        <v>3138205.714285715</v>
      </c>
      <c r="J112" s="128">
        <f t="shared" si="14"/>
        <v>3.1382057142857147</v>
      </c>
      <c r="K112" s="193">
        <f>'Ozone-Energy'!J105</f>
        <v>87450.000000000029</v>
      </c>
      <c r="L112" s="43">
        <f t="shared" si="13"/>
        <v>87.450000000000031</v>
      </c>
      <c r="M112" s="43">
        <f>'Ozone-Energy'!L105</f>
        <v>174900000.00000006</v>
      </c>
      <c r="N112" s="179">
        <f>'Ozone-Energy'!M105</f>
        <v>174.90000000000006</v>
      </c>
      <c r="O112" s="43">
        <f>'Ozone-Energy'!N105</f>
        <v>1200</v>
      </c>
      <c r="P112" s="180">
        <f t="shared" si="17"/>
        <v>4.32</v>
      </c>
      <c r="Q112" s="181">
        <f t="shared" si="9"/>
        <v>182.35820571428576</v>
      </c>
      <c r="R112" s="43">
        <f>'Ozone-Energy'!Q105</f>
        <v>0</v>
      </c>
      <c r="S112" s="43">
        <f>'Ozone-Energy'!R105</f>
        <v>0</v>
      </c>
      <c r="T112" s="43">
        <f>'Ozone-Energy'!S105</f>
        <v>0</v>
      </c>
      <c r="U112" s="43"/>
      <c r="V112" s="43"/>
      <c r="W112">
        <f>'Ozone-Energy'!V105</f>
        <v>0</v>
      </c>
      <c r="X112">
        <f>'Ozone-Energy'!W105</f>
        <v>0</v>
      </c>
      <c r="Y112">
        <f>'Ozone-Energy'!X105</f>
        <v>0</v>
      </c>
      <c r="Z112">
        <f>'Ozone-Energy'!Y105</f>
        <v>0</v>
      </c>
      <c r="AA112" s="43"/>
    </row>
    <row r="113" spans="3:27" ht="15">
      <c r="C113">
        <v>96</v>
      </c>
      <c r="D113" s="359">
        <v>9.4</v>
      </c>
      <c r="E113" s="211">
        <f t="shared" si="12"/>
        <v>10.34</v>
      </c>
      <c r="F113" s="211">
        <f>'Studio Rain System'!L118</f>
        <v>20</v>
      </c>
      <c r="G113" s="211">
        <f>'Studio Rain System'!M118</f>
        <v>0.745</v>
      </c>
      <c r="H113" s="206">
        <f>'Flow Rate'!$W$27</f>
        <v>464206.53322409093</v>
      </c>
      <c r="I113" s="178">
        <f>'Ozone-Energy'!H106</f>
        <v>1855291.4285714286</v>
      </c>
      <c r="J113" s="128">
        <f t="shared" si="14"/>
        <v>1.8552914285714286</v>
      </c>
      <c r="K113" s="193">
        <f>'Ozone-Energy'!J106</f>
        <v>51700</v>
      </c>
      <c r="L113" s="43">
        <f t="shared" si="13"/>
        <v>51.7</v>
      </c>
      <c r="M113" s="43">
        <f>'Ozone-Energy'!L106</f>
        <v>103400000</v>
      </c>
      <c r="N113" s="179">
        <f>'Ozone-Energy'!M106</f>
        <v>103.4</v>
      </c>
      <c r="O113" s="43">
        <f>'Ozone-Energy'!N106</f>
        <v>1200</v>
      </c>
      <c r="P113" s="180">
        <f t="shared" si="17"/>
        <v>4.32</v>
      </c>
      <c r="Q113" s="181">
        <f t="shared" si="9"/>
        <v>109.57529142857143</v>
      </c>
      <c r="R113" s="43">
        <f>'Ozone-Energy'!Q106</f>
        <v>0</v>
      </c>
      <c r="S113" s="43">
        <f>'Ozone-Energy'!R106</f>
        <v>0</v>
      </c>
      <c r="T113" s="43">
        <f>'Ozone-Energy'!S106</f>
        <v>0</v>
      </c>
      <c r="U113" s="43"/>
      <c r="V113" s="43"/>
      <c r="W113">
        <f>'Ozone-Energy'!V106</f>
        <v>0</v>
      </c>
      <c r="X113">
        <f>'Ozone-Energy'!W106</f>
        <v>0</v>
      </c>
      <c r="Y113">
        <f>'Ozone-Energy'!X106</f>
        <v>0</v>
      </c>
      <c r="Z113">
        <f>'Ozone-Energy'!Y106</f>
        <v>0</v>
      </c>
      <c r="AA113" s="43"/>
    </row>
    <row r="114" spans="3:27" ht="15">
      <c r="C114">
        <v>97</v>
      </c>
      <c r="D114" s="359">
        <v>13.6</v>
      </c>
      <c r="E114" s="211">
        <f t="shared" si="12"/>
        <v>14.959999999999999</v>
      </c>
      <c r="F114" s="211">
        <f>'Studio Rain System'!L119</f>
        <v>20</v>
      </c>
      <c r="G114" s="211">
        <f>'Studio Rain System'!M119</f>
        <v>0.745</v>
      </c>
      <c r="H114" s="206">
        <f>'Flow Rate'!$W$27</f>
        <v>464206.53322409093</v>
      </c>
      <c r="I114" s="178">
        <f>'Ozone-Energy'!H107</f>
        <v>2684251.4285714286</v>
      </c>
      <c r="J114" s="128">
        <f t="shared" si="14"/>
        <v>2.6842514285714287</v>
      </c>
      <c r="K114" s="193">
        <f>'Ozone-Energy'!J107</f>
        <v>74799.999999999985</v>
      </c>
      <c r="L114" s="43">
        <f t="shared" si="13"/>
        <v>74.799999999999983</v>
      </c>
      <c r="M114" s="43">
        <f>'Ozone-Energy'!L107</f>
        <v>149599999.99999997</v>
      </c>
      <c r="N114" s="179">
        <f>'Ozone-Energy'!M107</f>
        <v>149.59999999999997</v>
      </c>
      <c r="O114" s="43">
        <f>'Ozone-Energy'!N107</f>
        <v>1200</v>
      </c>
      <c r="P114" s="180">
        <f t="shared" si="17"/>
        <v>4.32</v>
      </c>
      <c r="Q114" s="181">
        <f t="shared" si="9"/>
        <v>156.60425142857139</v>
      </c>
      <c r="R114" s="43">
        <f>'Ozone-Energy'!Q107</f>
        <v>0</v>
      </c>
      <c r="S114" s="43">
        <f>'Ozone-Energy'!R107</f>
        <v>0</v>
      </c>
      <c r="T114" s="43">
        <f>'Ozone-Energy'!S107</f>
        <v>0</v>
      </c>
      <c r="U114" s="43"/>
      <c r="V114" s="43"/>
      <c r="W114">
        <f>'Ozone-Energy'!V107</f>
        <v>0</v>
      </c>
      <c r="X114">
        <f>'Ozone-Energy'!W107</f>
        <v>0</v>
      </c>
      <c r="Y114">
        <f>'Ozone-Energy'!X107</f>
        <v>0</v>
      </c>
      <c r="Z114">
        <f>'Ozone-Energy'!Y107</f>
        <v>0</v>
      </c>
      <c r="AA114" s="43"/>
    </row>
    <row r="115" spans="3:27" ht="15">
      <c r="C115">
        <v>98</v>
      </c>
      <c r="D115" s="359">
        <v>5.6</v>
      </c>
      <c r="E115" s="211">
        <f t="shared" si="12"/>
        <v>6.16</v>
      </c>
      <c r="F115" s="211">
        <f>'Studio Rain System'!L120</f>
        <v>20</v>
      </c>
      <c r="G115" s="211">
        <f>'Studio Rain System'!M120</f>
        <v>0.745</v>
      </c>
      <c r="H115" s="206">
        <f>'Flow Rate'!$W$27</f>
        <v>464206.53322409093</v>
      </c>
      <c r="I115" s="178">
        <f>'Ozone-Energy'!H108</f>
        <v>1105280</v>
      </c>
      <c r="J115" s="128">
        <f t="shared" si="14"/>
        <v>1.10528</v>
      </c>
      <c r="K115" s="193">
        <f>'Ozone-Energy'!J108</f>
        <v>30800</v>
      </c>
      <c r="L115" s="43">
        <f t="shared" si="13"/>
        <v>30.8</v>
      </c>
      <c r="M115" s="43">
        <f>'Ozone-Energy'!L108</f>
        <v>61600000</v>
      </c>
      <c r="N115" s="179">
        <f>'Ozone-Energy'!M108</f>
        <v>61.6</v>
      </c>
      <c r="O115" s="43">
        <f>'Ozone-Energy'!N108</f>
        <v>1200</v>
      </c>
      <c r="P115" s="180">
        <f t="shared" si="17"/>
        <v>4.32</v>
      </c>
      <c r="Q115" s="181">
        <f t="shared" si="9"/>
        <v>67.025280000000009</v>
      </c>
      <c r="R115" s="43">
        <f>'Ozone-Energy'!Q108</f>
        <v>0</v>
      </c>
      <c r="S115" s="43">
        <f>'Ozone-Energy'!R108</f>
        <v>0</v>
      </c>
      <c r="T115" s="43">
        <f>'Ozone-Energy'!S108</f>
        <v>0</v>
      </c>
      <c r="U115" s="43"/>
      <c r="V115" s="43"/>
      <c r="W115">
        <f>'Ozone-Energy'!V108</f>
        <v>0</v>
      </c>
      <c r="X115">
        <f>'Ozone-Energy'!W108</f>
        <v>0</v>
      </c>
      <c r="Y115">
        <f>'Ozone-Energy'!X108</f>
        <v>0</v>
      </c>
      <c r="Z115">
        <f>'Ozone-Energy'!Y108</f>
        <v>0</v>
      </c>
      <c r="AA115" s="43"/>
    </row>
    <row r="116" spans="3:27" ht="15">
      <c r="C116">
        <v>99</v>
      </c>
      <c r="D116" s="359">
        <v>0</v>
      </c>
      <c r="E116" s="211">
        <f t="shared" si="12"/>
        <v>0</v>
      </c>
      <c r="F116" s="211">
        <f>'Studio Rain System'!L121</f>
        <v>19.254999999999999</v>
      </c>
      <c r="G116" s="211">
        <f>'Studio Rain System'!M121</f>
        <v>0.745</v>
      </c>
      <c r="H116" s="206">
        <f>'Flow Rate'!$W$27</f>
        <v>464206.53322409093</v>
      </c>
      <c r="I116" s="178">
        <f>'Ozone-Energy'!H109</f>
        <v>0</v>
      </c>
      <c r="J116" s="128">
        <f t="shared" si="14"/>
        <v>0</v>
      </c>
      <c r="K116" s="193">
        <f>'Ozone-Energy'!J109</f>
        <v>0</v>
      </c>
      <c r="L116" s="43">
        <f t="shared" si="13"/>
        <v>0</v>
      </c>
      <c r="M116" s="43">
        <f>'Ozone-Energy'!L109</f>
        <v>0</v>
      </c>
      <c r="N116" s="179">
        <f>'Ozone-Energy'!M109</f>
        <v>0</v>
      </c>
      <c r="O116" s="43">
        <f>'Ozone-Energy'!N109</f>
        <v>1200</v>
      </c>
      <c r="P116" s="180">
        <f t="shared" si="17"/>
        <v>4.32</v>
      </c>
      <c r="Q116" s="181">
        <f t="shared" si="9"/>
        <v>4.32</v>
      </c>
      <c r="R116" s="43">
        <f>'Ozone-Energy'!Q109</f>
        <v>0</v>
      </c>
      <c r="S116" s="43">
        <f>'Ozone-Energy'!R109</f>
        <v>0</v>
      </c>
      <c r="T116" s="43">
        <f>'Ozone-Energy'!S109</f>
        <v>0</v>
      </c>
      <c r="U116" s="43"/>
      <c r="V116" s="43"/>
      <c r="W116">
        <f>'Ozone-Energy'!V109</f>
        <v>0</v>
      </c>
      <c r="X116">
        <f>'Ozone-Energy'!W109</f>
        <v>0</v>
      </c>
      <c r="Y116">
        <f>'Ozone-Energy'!X109</f>
        <v>0</v>
      </c>
      <c r="Z116">
        <f>'Ozone-Energy'!Y109</f>
        <v>0</v>
      </c>
      <c r="AA116" s="43"/>
    </row>
    <row r="117" spans="3:27" ht="15">
      <c r="C117">
        <v>100</v>
      </c>
      <c r="D117" s="359">
        <v>16.600000000000001</v>
      </c>
      <c r="E117" s="211">
        <f t="shared" si="12"/>
        <v>18.260000000000002</v>
      </c>
      <c r="F117" s="211">
        <f>'Studio Rain System'!L122</f>
        <v>20</v>
      </c>
      <c r="G117" s="211">
        <f>'Studio Rain System'!M122</f>
        <v>0.745</v>
      </c>
      <c r="H117" s="206">
        <f>'Flow Rate'!$W$27</f>
        <v>464206.53322409093</v>
      </c>
      <c r="I117" s="178">
        <f>'Ozone-Energy'!H110</f>
        <v>3276365.7142857146</v>
      </c>
      <c r="J117" s="128">
        <f t="shared" si="14"/>
        <v>3.2763657142857143</v>
      </c>
      <c r="K117" s="193">
        <f>'Ozone-Energy'!J110</f>
        <v>91300</v>
      </c>
      <c r="L117" s="43">
        <f t="shared" si="13"/>
        <v>91.3</v>
      </c>
      <c r="M117" s="43">
        <f>'Ozone-Energy'!L110</f>
        <v>182600000</v>
      </c>
      <c r="N117" s="179">
        <f>'Ozone-Energy'!M110</f>
        <v>182.6</v>
      </c>
      <c r="O117" s="43">
        <f>'Ozone-Energy'!N110</f>
        <v>1200</v>
      </c>
      <c r="P117" s="180">
        <f t="shared" si="17"/>
        <v>4.32</v>
      </c>
      <c r="Q117" s="181">
        <f t="shared" si="9"/>
        <v>190.19636571428569</v>
      </c>
      <c r="R117" s="43">
        <f>'Ozone-Energy'!Q110</f>
        <v>0</v>
      </c>
      <c r="S117" s="43">
        <f>'Ozone-Energy'!R110</f>
        <v>0</v>
      </c>
      <c r="T117" s="43">
        <f>'Ozone-Energy'!S110</f>
        <v>0</v>
      </c>
      <c r="U117" s="43"/>
      <c r="V117" s="43"/>
      <c r="W117">
        <f>'Ozone-Energy'!V110</f>
        <v>0</v>
      </c>
      <c r="X117">
        <f>'Ozone-Energy'!W110</f>
        <v>0</v>
      </c>
      <c r="Y117">
        <f>'Ozone-Energy'!X110</f>
        <v>0</v>
      </c>
      <c r="Z117">
        <f>'Ozone-Energy'!Y110</f>
        <v>0</v>
      </c>
      <c r="AA117" s="43"/>
    </row>
    <row r="118" spans="3:27" ht="15">
      <c r="C118">
        <v>101</v>
      </c>
      <c r="D118" s="359">
        <v>0</v>
      </c>
      <c r="E118" s="211">
        <f t="shared" si="12"/>
        <v>0</v>
      </c>
      <c r="F118" s="211">
        <f>'Studio Rain System'!L123</f>
        <v>19.254999999999999</v>
      </c>
      <c r="G118" s="211">
        <f>'Studio Rain System'!M123</f>
        <v>0.745</v>
      </c>
      <c r="H118" s="206">
        <f>'Flow Rate'!$W$27</f>
        <v>464206.53322409093</v>
      </c>
      <c r="I118" s="178">
        <f>'Ozone-Energy'!H111</f>
        <v>0</v>
      </c>
      <c r="J118" s="128">
        <f t="shared" si="14"/>
        <v>0</v>
      </c>
      <c r="K118" s="193">
        <f>'Ozone-Energy'!J111</f>
        <v>0</v>
      </c>
      <c r="L118" s="43">
        <f t="shared" si="13"/>
        <v>0</v>
      </c>
      <c r="M118" s="43">
        <f>'Ozone-Energy'!L111</f>
        <v>0</v>
      </c>
      <c r="N118" s="179">
        <f>'Ozone-Energy'!M111</f>
        <v>0</v>
      </c>
      <c r="O118" s="43">
        <f>'Ozone-Energy'!N111</f>
        <v>1200</v>
      </c>
      <c r="P118" s="180">
        <f xml:space="preserve"> O118 * 3600 / 1000000</f>
        <v>4.32</v>
      </c>
      <c r="Q118" s="181">
        <f t="shared" si="9"/>
        <v>4.32</v>
      </c>
      <c r="R118" s="43">
        <f>'Ozone-Energy'!Q111</f>
        <v>0</v>
      </c>
      <c r="S118" s="43">
        <f>'Ozone-Energy'!R111</f>
        <v>0</v>
      </c>
      <c r="T118" s="43">
        <f>'Ozone-Energy'!S111</f>
        <v>0</v>
      </c>
      <c r="U118" s="43"/>
      <c r="V118" s="43"/>
      <c r="W118">
        <f>'Ozone-Energy'!V111</f>
        <v>0</v>
      </c>
      <c r="X118">
        <f>'Ozone-Energy'!W111</f>
        <v>0</v>
      </c>
      <c r="Y118">
        <f>'Ozone-Energy'!X111</f>
        <v>0</v>
      </c>
      <c r="Z118">
        <f>'Ozone-Energy'!Y111</f>
        <v>0</v>
      </c>
      <c r="AA118" s="43"/>
    </row>
    <row r="119" spans="3:27" ht="15">
      <c r="C119">
        <v>102</v>
      </c>
      <c r="D119" s="359">
        <v>0</v>
      </c>
      <c r="E119" s="211">
        <f t="shared" si="12"/>
        <v>0</v>
      </c>
      <c r="F119" s="211">
        <f>'Studio Rain System'!L124</f>
        <v>18.509999999999998</v>
      </c>
      <c r="G119" s="211">
        <f>'Studio Rain System'!M124</f>
        <v>0.745</v>
      </c>
      <c r="H119" s="206">
        <f>'Flow Rate'!$W$27</f>
        <v>464206.53322409093</v>
      </c>
      <c r="I119" s="178">
        <f>'Ozone-Energy'!H112</f>
        <v>0</v>
      </c>
      <c r="J119" s="128">
        <f t="shared" si="14"/>
        <v>0</v>
      </c>
      <c r="K119" s="193">
        <f>'Ozone-Energy'!J112</f>
        <v>0</v>
      </c>
      <c r="L119" s="43">
        <f t="shared" si="13"/>
        <v>0</v>
      </c>
      <c r="M119" s="43">
        <f>'Ozone-Energy'!L112</f>
        <v>0</v>
      </c>
      <c r="N119" s="179">
        <f>'Ozone-Energy'!M112</f>
        <v>0</v>
      </c>
      <c r="O119" s="43">
        <f>'Ozone-Energy'!N112</f>
        <v>1200</v>
      </c>
      <c r="P119" s="180">
        <f t="shared" ref="P119:P127" si="18">O119 * 3600 / 1000000</f>
        <v>4.32</v>
      </c>
      <c r="Q119" s="181">
        <f t="shared" si="9"/>
        <v>4.32</v>
      </c>
      <c r="R119" s="43">
        <f>'Ozone-Energy'!Q112</f>
        <v>0</v>
      </c>
      <c r="S119" s="43">
        <f>'Ozone-Energy'!R112</f>
        <v>0</v>
      </c>
      <c r="T119" s="43">
        <f>'Ozone-Energy'!S112</f>
        <v>0</v>
      </c>
      <c r="U119" s="43"/>
      <c r="V119" s="43"/>
      <c r="W119">
        <f>'Ozone-Energy'!V112</f>
        <v>0</v>
      </c>
      <c r="X119">
        <f>'Ozone-Energy'!W112</f>
        <v>0</v>
      </c>
      <c r="Y119">
        <f>'Ozone-Energy'!X112</f>
        <v>0</v>
      </c>
      <c r="Z119">
        <f>'Ozone-Energy'!Y112</f>
        <v>0</v>
      </c>
      <c r="AA119" s="43"/>
    </row>
    <row r="120" spans="3:27" ht="15">
      <c r="C120">
        <v>103</v>
      </c>
      <c r="D120" s="359">
        <v>0</v>
      </c>
      <c r="E120" s="211">
        <f t="shared" si="12"/>
        <v>0</v>
      </c>
      <c r="F120" s="211">
        <f>'Studio Rain System'!L125</f>
        <v>17.764999999999997</v>
      </c>
      <c r="G120" s="211">
        <f>'Studio Rain System'!M125</f>
        <v>0.745</v>
      </c>
      <c r="H120" s="206">
        <f>'Flow Rate'!$W$27</f>
        <v>464206.53322409093</v>
      </c>
      <c r="I120" s="178">
        <f>'Ozone-Energy'!H113</f>
        <v>0</v>
      </c>
      <c r="J120" s="128">
        <f t="shared" si="14"/>
        <v>0</v>
      </c>
      <c r="K120" s="193">
        <f>'Ozone-Energy'!J113</f>
        <v>0</v>
      </c>
      <c r="L120" s="43">
        <f t="shared" si="13"/>
        <v>0</v>
      </c>
      <c r="M120" s="43">
        <f>'Ozone-Energy'!L113</f>
        <v>0</v>
      </c>
      <c r="N120" s="179">
        <f>'Ozone-Energy'!M113</f>
        <v>0</v>
      </c>
      <c r="O120" s="43">
        <f>'Ozone-Energy'!N113</f>
        <v>1200</v>
      </c>
      <c r="P120" s="180">
        <f t="shared" si="18"/>
        <v>4.32</v>
      </c>
      <c r="Q120" s="181">
        <f t="shared" si="9"/>
        <v>4.32</v>
      </c>
      <c r="R120" s="43">
        <f>'Ozone-Energy'!Q113</f>
        <v>0</v>
      </c>
      <c r="S120" s="43">
        <f>'Ozone-Energy'!R113</f>
        <v>0</v>
      </c>
      <c r="T120" s="43">
        <f>'Ozone-Energy'!S113</f>
        <v>0</v>
      </c>
      <c r="U120" s="43"/>
      <c r="V120" s="43"/>
      <c r="W120">
        <f>'Ozone-Energy'!V113</f>
        <v>0</v>
      </c>
      <c r="X120">
        <f>'Ozone-Energy'!W113</f>
        <v>0</v>
      </c>
      <c r="Y120">
        <f>'Ozone-Energy'!X113</f>
        <v>0</v>
      </c>
      <c r="Z120">
        <f>'Ozone-Energy'!Y113</f>
        <v>0</v>
      </c>
      <c r="AA120" s="43"/>
    </row>
    <row r="121" spans="3:27" ht="15">
      <c r="C121">
        <v>104</v>
      </c>
      <c r="D121" s="359">
        <v>14.8</v>
      </c>
      <c r="E121" s="211">
        <f t="shared" si="12"/>
        <v>16.28</v>
      </c>
      <c r="F121" s="211">
        <f>'Studio Rain System'!L126</f>
        <v>20</v>
      </c>
      <c r="G121" s="211">
        <f>'Studio Rain System'!M126</f>
        <v>0.745</v>
      </c>
      <c r="H121" s="206">
        <f>'Flow Rate'!$W$27</f>
        <v>464206.53322409093</v>
      </c>
      <c r="I121" s="178">
        <f>'Ozone-Energy'!H114</f>
        <v>2921097.1428571432</v>
      </c>
      <c r="J121" s="128">
        <f t="shared" si="14"/>
        <v>2.9210971428571431</v>
      </c>
      <c r="K121" s="193">
        <f>'Ozone-Energy'!J114</f>
        <v>81400.000000000015</v>
      </c>
      <c r="L121" s="43">
        <f t="shared" si="13"/>
        <v>81.40000000000002</v>
      </c>
      <c r="M121" s="43">
        <f>'Ozone-Energy'!L114</f>
        <v>162800000.00000003</v>
      </c>
      <c r="N121" s="179">
        <f>'Ozone-Energy'!M114</f>
        <v>162.80000000000004</v>
      </c>
      <c r="O121" s="43">
        <f>'Ozone-Energy'!N114</f>
        <v>1200</v>
      </c>
      <c r="P121" s="180">
        <f t="shared" si="18"/>
        <v>4.32</v>
      </c>
      <c r="Q121" s="181">
        <f t="shared" si="9"/>
        <v>170.04109714285718</v>
      </c>
      <c r="R121" s="43">
        <f>'Ozone-Energy'!Q114</f>
        <v>0</v>
      </c>
      <c r="S121" s="43">
        <f>'Ozone-Energy'!R114</f>
        <v>0</v>
      </c>
      <c r="T121" s="43">
        <f>'Ozone-Energy'!S114</f>
        <v>0</v>
      </c>
      <c r="U121" s="43"/>
      <c r="V121" s="43"/>
      <c r="W121">
        <f>'Ozone-Energy'!V114</f>
        <v>0</v>
      </c>
      <c r="X121">
        <f>'Ozone-Energy'!W114</f>
        <v>0</v>
      </c>
      <c r="Y121">
        <f>'Ozone-Energy'!X114</f>
        <v>0</v>
      </c>
      <c r="Z121">
        <f>'Ozone-Energy'!Y114</f>
        <v>0</v>
      </c>
      <c r="AA121" s="43"/>
    </row>
    <row r="122" spans="3:27" ht="15">
      <c r="C122">
        <v>105</v>
      </c>
      <c r="D122" s="359">
        <v>20.8</v>
      </c>
      <c r="E122" s="211">
        <f t="shared" si="12"/>
        <v>22.88</v>
      </c>
      <c r="F122" s="211">
        <f>'Studio Rain System'!L127</f>
        <v>20</v>
      </c>
      <c r="G122" s="211">
        <f>'Studio Rain System'!M127</f>
        <v>0.745</v>
      </c>
      <c r="H122" s="206">
        <f>'Flow Rate'!$W$27</f>
        <v>464206.53322409093</v>
      </c>
      <c r="I122" s="178">
        <f>'Ozone-Energy'!H115</f>
        <v>4105325.7142857146</v>
      </c>
      <c r="J122" s="128">
        <f t="shared" si="14"/>
        <v>4.1053257142857147</v>
      </c>
      <c r="K122" s="193">
        <f>'Ozone-Energy'!J115</f>
        <v>114400</v>
      </c>
      <c r="L122" s="43">
        <f t="shared" si="13"/>
        <v>114.4</v>
      </c>
      <c r="M122" s="43">
        <f>'Ozone-Energy'!L115</f>
        <v>228800000</v>
      </c>
      <c r="N122" s="179">
        <f>'Ozone-Energy'!M115</f>
        <v>228.8</v>
      </c>
      <c r="O122" s="43">
        <f>'Ozone-Energy'!N115</f>
        <v>1200</v>
      </c>
      <c r="P122" s="180">
        <f t="shared" si="18"/>
        <v>4.32</v>
      </c>
      <c r="Q122" s="181">
        <f t="shared" si="9"/>
        <v>237.22532571428573</v>
      </c>
      <c r="R122" s="43">
        <f>'Ozone-Energy'!Q115</f>
        <v>0</v>
      </c>
      <c r="S122" s="43">
        <f>'Ozone-Energy'!R115</f>
        <v>0</v>
      </c>
      <c r="T122" s="43">
        <f>'Ozone-Energy'!S115</f>
        <v>0</v>
      </c>
      <c r="U122" s="43"/>
      <c r="V122" s="43"/>
      <c r="W122">
        <f>'Ozone-Energy'!V115</f>
        <v>0</v>
      </c>
      <c r="X122">
        <f>'Ozone-Energy'!W115</f>
        <v>0</v>
      </c>
      <c r="Y122">
        <f>'Ozone-Energy'!X115</f>
        <v>0</v>
      </c>
      <c r="Z122">
        <f>'Ozone-Energy'!Y115</f>
        <v>0</v>
      </c>
      <c r="AA122" s="43"/>
    </row>
    <row r="123" spans="3:27" ht="15">
      <c r="C123">
        <v>106</v>
      </c>
      <c r="D123" s="359">
        <v>37.4</v>
      </c>
      <c r="E123" s="211">
        <f t="shared" si="12"/>
        <v>41.139999999999993</v>
      </c>
      <c r="F123" s="211">
        <f>'Studio Rain System'!L128</f>
        <v>20</v>
      </c>
      <c r="G123" s="211">
        <f>'Studio Rain System'!M128</f>
        <v>0.745</v>
      </c>
      <c r="H123" s="206">
        <f>'Flow Rate'!$W$27</f>
        <v>464206.53322409093</v>
      </c>
      <c r="I123" s="178">
        <f>'Ozone-Energy'!H116</f>
        <v>7381691.4285714282</v>
      </c>
      <c r="J123" s="128">
        <f t="shared" si="14"/>
        <v>7.3816914285714281</v>
      </c>
      <c r="K123" s="193">
        <f>'Ozone-Energy'!J116</f>
        <v>205699.99999999994</v>
      </c>
      <c r="L123" s="43">
        <f t="shared" si="13"/>
        <v>205.69999999999993</v>
      </c>
      <c r="M123" s="43">
        <f>'Ozone-Energy'!L116</f>
        <v>411399999.99999988</v>
      </c>
      <c r="N123" s="179">
        <f>'Ozone-Energy'!M116</f>
        <v>411.39999999999986</v>
      </c>
      <c r="O123" s="43">
        <f>'Ozone-Energy'!N116</f>
        <v>1200</v>
      </c>
      <c r="P123" s="180">
        <f t="shared" si="18"/>
        <v>4.32</v>
      </c>
      <c r="Q123" s="181">
        <f t="shared" ref="Q123:Q186" si="19">J123 + N123 + P123</f>
        <v>423.10169142857126</v>
      </c>
      <c r="R123" s="43">
        <f>'Ozone-Energy'!Q116</f>
        <v>0</v>
      </c>
      <c r="S123" s="43">
        <f>'Ozone-Energy'!R116</f>
        <v>0</v>
      </c>
      <c r="T123" s="43">
        <f>'Ozone-Energy'!S116</f>
        <v>0</v>
      </c>
      <c r="U123" s="43"/>
      <c r="V123" s="43"/>
      <c r="W123">
        <f>'Ozone-Energy'!V116</f>
        <v>0</v>
      </c>
      <c r="X123">
        <f>'Ozone-Energy'!W116</f>
        <v>0</v>
      </c>
      <c r="Y123">
        <f>'Ozone-Energy'!X116</f>
        <v>0</v>
      </c>
      <c r="Z123">
        <f>'Ozone-Energy'!Y116</f>
        <v>0</v>
      </c>
      <c r="AA123" s="43"/>
    </row>
    <row r="124" spans="3:27" ht="15">
      <c r="C124">
        <v>107</v>
      </c>
      <c r="D124" s="359">
        <v>9.8000000000000007</v>
      </c>
      <c r="E124" s="211">
        <f t="shared" si="12"/>
        <v>10.780000000000001</v>
      </c>
      <c r="F124" s="211">
        <f>'Studio Rain System'!L129</f>
        <v>20</v>
      </c>
      <c r="G124" s="211">
        <f>'Studio Rain System'!M129</f>
        <v>0.745</v>
      </c>
      <c r="H124" s="206">
        <f>'Flow Rate'!$W$27</f>
        <v>464206.53322409093</v>
      </c>
      <c r="I124" s="178">
        <f>'Ozone-Energy'!H117</f>
        <v>1934240.0000000005</v>
      </c>
      <c r="J124" s="128">
        <f t="shared" si="14"/>
        <v>1.9342400000000004</v>
      </c>
      <c r="K124" s="193">
        <f>'Ozone-Energy'!J117</f>
        <v>53900.000000000015</v>
      </c>
      <c r="L124" s="43">
        <f t="shared" si="13"/>
        <v>53.900000000000013</v>
      </c>
      <c r="M124" s="43">
        <f>'Ozone-Energy'!L117</f>
        <v>107800000.00000003</v>
      </c>
      <c r="N124" s="179">
        <f>'Ozone-Energy'!M117</f>
        <v>107.80000000000003</v>
      </c>
      <c r="O124" s="43">
        <f>'Ozone-Energy'!N117</f>
        <v>1200</v>
      </c>
      <c r="P124" s="180">
        <f t="shared" si="18"/>
        <v>4.32</v>
      </c>
      <c r="Q124" s="181">
        <f t="shared" si="19"/>
        <v>114.05424000000002</v>
      </c>
      <c r="R124" s="43">
        <f>'Ozone-Energy'!Q117</f>
        <v>0</v>
      </c>
      <c r="S124" s="43">
        <f>'Ozone-Energy'!R117</f>
        <v>0</v>
      </c>
      <c r="T124" s="43">
        <f>'Ozone-Energy'!S117</f>
        <v>0</v>
      </c>
      <c r="U124" s="43"/>
      <c r="V124" s="43"/>
      <c r="W124">
        <f>'Ozone-Energy'!V117</f>
        <v>0</v>
      </c>
      <c r="X124">
        <f>'Ozone-Energy'!W117</f>
        <v>0</v>
      </c>
      <c r="Y124">
        <f>'Ozone-Energy'!X117</f>
        <v>0</v>
      </c>
      <c r="Z124">
        <f>'Ozone-Energy'!Y117</f>
        <v>0</v>
      </c>
      <c r="AA124" s="43"/>
    </row>
    <row r="125" spans="3:27" ht="15">
      <c r="C125">
        <v>108</v>
      </c>
      <c r="D125" s="359">
        <v>1.9</v>
      </c>
      <c r="E125" s="211">
        <f t="shared" si="12"/>
        <v>2.09</v>
      </c>
      <c r="F125" s="211">
        <f>'Studio Rain System'!L130</f>
        <v>20</v>
      </c>
      <c r="G125" s="211">
        <f>'Studio Rain System'!M130</f>
        <v>0.745</v>
      </c>
      <c r="H125" s="206">
        <f>'Flow Rate'!$W$27</f>
        <v>464206.53322409093</v>
      </c>
      <c r="I125" s="178">
        <f>'Ozone-Energy'!H118</f>
        <v>375005.71428571432</v>
      </c>
      <c r="J125" s="128">
        <f t="shared" si="14"/>
        <v>0.37500571428571428</v>
      </c>
      <c r="K125" s="193">
        <f>'Ozone-Energy'!J118</f>
        <v>10450</v>
      </c>
      <c r="L125" s="43">
        <f t="shared" si="13"/>
        <v>10.45</v>
      </c>
      <c r="M125" s="43">
        <f>'Ozone-Energy'!L118</f>
        <v>20900000</v>
      </c>
      <c r="N125" s="179">
        <f>'Ozone-Energy'!M118</f>
        <v>20.9</v>
      </c>
      <c r="O125" s="43">
        <f>'Ozone-Energy'!N118</f>
        <v>1200</v>
      </c>
      <c r="P125" s="180">
        <f t="shared" si="18"/>
        <v>4.32</v>
      </c>
      <c r="Q125" s="181">
        <f t="shared" si="19"/>
        <v>25.595005714285712</v>
      </c>
      <c r="R125" s="43">
        <f>'Ozone-Energy'!Q118</f>
        <v>0</v>
      </c>
      <c r="S125" s="43">
        <f>'Ozone-Energy'!R118</f>
        <v>0</v>
      </c>
      <c r="T125" s="43">
        <f>'Ozone-Energy'!S118</f>
        <v>0</v>
      </c>
      <c r="U125" s="43"/>
      <c r="V125" s="43"/>
      <c r="W125">
        <f>'Ozone-Energy'!V118</f>
        <v>0</v>
      </c>
      <c r="X125">
        <f>'Ozone-Energy'!W118</f>
        <v>0</v>
      </c>
      <c r="Y125">
        <f>'Ozone-Energy'!X118</f>
        <v>0</v>
      </c>
      <c r="Z125">
        <f>'Ozone-Energy'!Y118</f>
        <v>0</v>
      </c>
      <c r="AA125" s="43"/>
    </row>
    <row r="126" spans="3:27" ht="15">
      <c r="C126">
        <v>109</v>
      </c>
      <c r="D126" s="359">
        <v>21</v>
      </c>
      <c r="E126" s="211">
        <f t="shared" si="12"/>
        <v>23.1</v>
      </c>
      <c r="F126" s="211">
        <f>'Studio Rain System'!L131</f>
        <v>20</v>
      </c>
      <c r="G126" s="211">
        <f>'Studio Rain System'!M131</f>
        <v>0.745</v>
      </c>
      <c r="H126" s="206">
        <f>'Flow Rate'!$W$27</f>
        <v>464206.53322409093</v>
      </c>
      <c r="I126" s="178">
        <f>'Ozone-Energy'!H119</f>
        <v>4144800.0000000005</v>
      </c>
      <c r="J126" s="128">
        <f t="shared" si="14"/>
        <v>4.1448</v>
      </c>
      <c r="K126" s="193">
        <f>'Ozone-Energy'!J119</f>
        <v>115500</v>
      </c>
      <c r="L126" s="43">
        <f t="shared" si="13"/>
        <v>115.5</v>
      </c>
      <c r="M126" s="43">
        <f>'Ozone-Energy'!L119</f>
        <v>231000000</v>
      </c>
      <c r="N126" s="179">
        <f>'Ozone-Energy'!M119</f>
        <v>231</v>
      </c>
      <c r="O126" s="43">
        <f>'Ozone-Energy'!N119</f>
        <v>1200</v>
      </c>
      <c r="P126" s="180">
        <f t="shared" si="18"/>
        <v>4.32</v>
      </c>
      <c r="Q126" s="181">
        <f t="shared" si="19"/>
        <v>239.4648</v>
      </c>
      <c r="R126" s="43">
        <f>'Ozone-Energy'!Q119</f>
        <v>0</v>
      </c>
      <c r="S126" s="43">
        <f>'Ozone-Energy'!R119</f>
        <v>0</v>
      </c>
      <c r="T126" s="43">
        <f>'Ozone-Energy'!S119</f>
        <v>0</v>
      </c>
      <c r="U126" s="43"/>
      <c r="V126" s="43"/>
      <c r="W126">
        <f>'Ozone-Energy'!V119</f>
        <v>0</v>
      </c>
      <c r="X126">
        <f>'Ozone-Energy'!W119</f>
        <v>0</v>
      </c>
      <c r="Y126">
        <f>'Ozone-Energy'!X119</f>
        <v>0</v>
      </c>
      <c r="Z126">
        <f>'Ozone-Energy'!Y119</f>
        <v>0</v>
      </c>
      <c r="AA126" s="43"/>
    </row>
    <row r="127" spans="3:27" ht="15">
      <c r="C127">
        <v>110</v>
      </c>
      <c r="D127" s="359">
        <v>30</v>
      </c>
      <c r="E127" s="211">
        <f t="shared" si="12"/>
        <v>33</v>
      </c>
      <c r="F127" s="211">
        <f>'Studio Rain System'!L132</f>
        <v>20</v>
      </c>
      <c r="G127" s="211">
        <f>'Studio Rain System'!M132</f>
        <v>0.745</v>
      </c>
      <c r="H127" s="206">
        <f>'Flow Rate'!$W$27</f>
        <v>464206.53322409093</v>
      </c>
      <c r="I127" s="178">
        <f>'Ozone-Energy'!H120</f>
        <v>5921142.8571428573</v>
      </c>
      <c r="J127" s="128">
        <f t="shared" si="14"/>
        <v>5.9211428571428568</v>
      </c>
      <c r="K127" s="193">
        <f>'Ozone-Energy'!J120</f>
        <v>165000</v>
      </c>
      <c r="L127" s="43">
        <f t="shared" si="13"/>
        <v>165</v>
      </c>
      <c r="M127" s="43">
        <f>'Ozone-Energy'!L120</f>
        <v>330000000</v>
      </c>
      <c r="N127" s="179">
        <f>'Ozone-Energy'!M120</f>
        <v>330</v>
      </c>
      <c r="O127" s="43">
        <f>'Ozone-Energy'!N120</f>
        <v>1200</v>
      </c>
      <c r="P127" s="180">
        <f t="shared" si="18"/>
        <v>4.32</v>
      </c>
      <c r="Q127" s="181">
        <f t="shared" si="19"/>
        <v>340.24114285714285</v>
      </c>
      <c r="R127" s="43">
        <f>'Ozone-Energy'!Q120</f>
        <v>0</v>
      </c>
      <c r="S127" s="43">
        <f>'Ozone-Energy'!R120</f>
        <v>0</v>
      </c>
      <c r="T127" s="43">
        <f>'Ozone-Energy'!S120</f>
        <v>0</v>
      </c>
      <c r="U127" s="43"/>
      <c r="V127" s="43"/>
      <c r="W127">
        <f>'Ozone-Energy'!V120</f>
        <v>0</v>
      </c>
      <c r="X127">
        <f>'Ozone-Energy'!W120</f>
        <v>0</v>
      </c>
      <c r="Y127">
        <f>'Ozone-Energy'!X120</f>
        <v>0</v>
      </c>
      <c r="Z127">
        <f>'Ozone-Energy'!Y120</f>
        <v>0</v>
      </c>
      <c r="AA127" s="43"/>
    </row>
    <row r="128" spans="3:27" ht="15">
      <c r="C128">
        <v>111</v>
      </c>
      <c r="D128" s="359">
        <v>0</v>
      </c>
      <c r="E128" s="211">
        <f t="shared" si="12"/>
        <v>0</v>
      </c>
      <c r="F128" s="211">
        <f>'Studio Rain System'!L133</f>
        <v>19.254999999999999</v>
      </c>
      <c r="G128" s="211">
        <f>'Studio Rain System'!M133</f>
        <v>0.745</v>
      </c>
      <c r="H128" s="206">
        <f>'Flow Rate'!$W$27</f>
        <v>464206.53322409093</v>
      </c>
      <c r="I128" s="178">
        <f>'Ozone-Energy'!H121</f>
        <v>0</v>
      </c>
      <c r="J128" s="128">
        <f t="shared" si="14"/>
        <v>0</v>
      </c>
      <c r="K128" s="193">
        <f>'Ozone-Energy'!J121</f>
        <v>0</v>
      </c>
      <c r="L128" s="43">
        <f t="shared" si="13"/>
        <v>0</v>
      </c>
      <c r="M128" s="43">
        <f>'Ozone-Energy'!L121</f>
        <v>0</v>
      </c>
      <c r="N128" s="179">
        <f>'Ozone-Energy'!M121</f>
        <v>0</v>
      </c>
      <c r="O128" s="43">
        <f>'Ozone-Energy'!N121</f>
        <v>1200</v>
      </c>
      <c r="P128" s="180">
        <f xml:space="preserve"> O128 * 3600 / 1000000</f>
        <v>4.32</v>
      </c>
      <c r="Q128" s="181">
        <f t="shared" si="19"/>
        <v>4.32</v>
      </c>
      <c r="R128" s="43">
        <f>'Ozone-Energy'!Q121</f>
        <v>0</v>
      </c>
      <c r="S128" s="43">
        <f>'Ozone-Energy'!R121</f>
        <v>0</v>
      </c>
      <c r="T128" s="43">
        <f>'Ozone-Energy'!S121</f>
        <v>0</v>
      </c>
      <c r="U128" s="43"/>
      <c r="V128" s="43"/>
      <c r="W128">
        <f>'Ozone-Energy'!V121</f>
        <v>0</v>
      </c>
      <c r="X128">
        <f>'Ozone-Energy'!W121</f>
        <v>0</v>
      </c>
      <c r="Y128">
        <f>'Ozone-Energy'!X121</f>
        <v>0</v>
      </c>
      <c r="Z128">
        <f>'Ozone-Energy'!Y121</f>
        <v>0</v>
      </c>
      <c r="AA128" s="43"/>
    </row>
    <row r="129" spans="3:27" ht="15">
      <c r="C129">
        <v>112</v>
      </c>
      <c r="D129" s="359">
        <v>4.4000000000000004</v>
      </c>
      <c r="E129" s="211">
        <f t="shared" si="12"/>
        <v>4.84</v>
      </c>
      <c r="F129" s="211">
        <f>'Studio Rain System'!L134</f>
        <v>20</v>
      </c>
      <c r="G129" s="211">
        <f>'Studio Rain System'!M134</f>
        <v>0.745</v>
      </c>
      <c r="H129" s="206">
        <f>'Flow Rate'!$W$27</f>
        <v>464206.53322409093</v>
      </c>
      <c r="I129" s="178">
        <f>'Ozone-Energy'!H122</f>
        <v>868434.2857142858</v>
      </c>
      <c r="J129" s="128">
        <f t="shared" si="14"/>
        <v>0.86843428571428571</v>
      </c>
      <c r="K129" s="193">
        <f>'Ozone-Energy'!J122</f>
        <v>24200</v>
      </c>
      <c r="L129" s="43">
        <f t="shared" si="13"/>
        <v>24.2</v>
      </c>
      <c r="M129" s="43">
        <f>'Ozone-Energy'!L122</f>
        <v>48400000</v>
      </c>
      <c r="N129" s="179">
        <f>'Ozone-Energy'!M122</f>
        <v>48.4</v>
      </c>
      <c r="O129" s="43">
        <f>'Ozone-Energy'!N122</f>
        <v>1200</v>
      </c>
      <c r="P129" s="180">
        <f t="shared" ref="P129:P137" si="20">O129 * 3600 / 1000000</f>
        <v>4.32</v>
      </c>
      <c r="Q129" s="181">
        <f t="shared" si="19"/>
        <v>53.588434285714285</v>
      </c>
      <c r="R129" s="43">
        <f>'Ozone-Energy'!Q122</f>
        <v>0</v>
      </c>
      <c r="S129" s="43">
        <f>'Ozone-Energy'!R122</f>
        <v>0</v>
      </c>
      <c r="T129" s="43">
        <f>'Ozone-Energy'!S122</f>
        <v>0</v>
      </c>
      <c r="U129" s="43"/>
      <c r="V129" s="43"/>
      <c r="W129">
        <f>'Ozone-Energy'!V122</f>
        <v>0</v>
      </c>
      <c r="X129">
        <f>'Ozone-Energy'!W122</f>
        <v>0</v>
      </c>
      <c r="Y129">
        <f>'Ozone-Energy'!X122</f>
        <v>0</v>
      </c>
      <c r="Z129">
        <f>'Ozone-Energy'!Y122</f>
        <v>0</v>
      </c>
      <c r="AA129" s="43"/>
    </row>
    <row r="130" spans="3:27" ht="15">
      <c r="C130">
        <v>113</v>
      </c>
      <c r="D130" s="359">
        <v>12.8</v>
      </c>
      <c r="E130" s="211">
        <f t="shared" si="12"/>
        <v>14.08</v>
      </c>
      <c r="F130" s="211">
        <f>'Studio Rain System'!L135</f>
        <v>20</v>
      </c>
      <c r="G130" s="211">
        <f>'Studio Rain System'!M135</f>
        <v>0.745</v>
      </c>
      <c r="H130" s="206">
        <f>'Flow Rate'!$W$27</f>
        <v>464206.53322409093</v>
      </c>
      <c r="I130" s="178">
        <f>'Ozone-Energy'!H123</f>
        <v>2526354.2857142859</v>
      </c>
      <c r="J130" s="128">
        <f t="shared" si="14"/>
        <v>2.526354285714286</v>
      </c>
      <c r="K130" s="193">
        <f>'Ozone-Energy'!J123</f>
        <v>70400</v>
      </c>
      <c r="L130" s="43">
        <f t="shared" si="13"/>
        <v>70.400000000000006</v>
      </c>
      <c r="M130" s="43">
        <f>'Ozone-Energy'!L123</f>
        <v>140800000</v>
      </c>
      <c r="N130" s="179">
        <f>'Ozone-Energy'!M123</f>
        <v>140.80000000000001</v>
      </c>
      <c r="O130" s="43">
        <f>'Ozone-Energy'!N123</f>
        <v>1200</v>
      </c>
      <c r="P130" s="180">
        <f t="shared" si="20"/>
        <v>4.32</v>
      </c>
      <c r="Q130" s="181">
        <f t="shared" si="19"/>
        <v>147.6463542857143</v>
      </c>
      <c r="R130" s="43">
        <f>'Ozone-Energy'!Q123</f>
        <v>0</v>
      </c>
      <c r="S130" s="43">
        <f>'Ozone-Energy'!R123</f>
        <v>0</v>
      </c>
      <c r="T130" s="43">
        <f>'Ozone-Energy'!S123</f>
        <v>0</v>
      </c>
      <c r="U130" s="43"/>
      <c r="V130" s="43"/>
      <c r="W130">
        <f>'Ozone-Energy'!V123</f>
        <v>0</v>
      </c>
      <c r="X130">
        <f>'Ozone-Energy'!W123</f>
        <v>0</v>
      </c>
      <c r="Y130">
        <f>'Ozone-Energy'!X123</f>
        <v>0</v>
      </c>
      <c r="Z130">
        <f>'Ozone-Energy'!Y123</f>
        <v>0</v>
      </c>
      <c r="AA130" s="43"/>
    </row>
    <row r="131" spans="3:27" ht="15">
      <c r="C131">
        <v>114</v>
      </c>
      <c r="D131" s="359">
        <v>26</v>
      </c>
      <c r="E131" s="211">
        <f t="shared" si="12"/>
        <v>28.599999999999998</v>
      </c>
      <c r="F131" s="211">
        <f>'Studio Rain System'!L136</f>
        <v>20</v>
      </c>
      <c r="G131" s="211">
        <f>'Studio Rain System'!M136</f>
        <v>0.745</v>
      </c>
      <c r="H131" s="206">
        <f>'Flow Rate'!$W$27</f>
        <v>464206.53322409093</v>
      </c>
      <c r="I131" s="178">
        <f>'Ozone-Energy'!H124</f>
        <v>5131657.1428571427</v>
      </c>
      <c r="J131" s="128">
        <f t="shared" si="14"/>
        <v>5.1316571428571427</v>
      </c>
      <c r="K131" s="193">
        <f>'Ozone-Energy'!J124</f>
        <v>142999.99999999997</v>
      </c>
      <c r="L131" s="43">
        <f t="shared" si="13"/>
        <v>142.99999999999997</v>
      </c>
      <c r="M131" s="43">
        <f>'Ozone-Energy'!L124</f>
        <v>285999999.99999994</v>
      </c>
      <c r="N131" s="179">
        <f>'Ozone-Energy'!M124</f>
        <v>285.99999999999994</v>
      </c>
      <c r="O131" s="43">
        <f>'Ozone-Energy'!N124</f>
        <v>1200</v>
      </c>
      <c r="P131" s="180">
        <f t="shared" si="20"/>
        <v>4.32</v>
      </c>
      <c r="Q131" s="181">
        <f t="shared" si="19"/>
        <v>295.45165714285707</v>
      </c>
      <c r="R131" s="43">
        <f>'Ozone-Energy'!Q124</f>
        <v>0</v>
      </c>
      <c r="S131" s="43">
        <f>'Ozone-Energy'!R124</f>
        <v>0</v>
      </c>
      <c r="T131" s="43">
        <f>'Ozone-Energy'!S124</f>
        <v>0</v>
      </c>
      <c r="U131" s="43"/>
      <c r="V131" s="43"/>
      <c r="W131">
        <f>'Ozone-Energy'!V124</f>
        <v>0</v>
      </c>
      <c r="X131">
        <f>'Ozone-Energy'!W124</f>
        <v>0</v>
      </c>
      <c r="Y131">
        <f>'Ozone-Energy'!X124</f>
        <v>0</v>
      </c>
      <c r="Z131">
        <f>'Ozone-Energy'!Y124</f>
        <v>0</v>
      </c>
      <c r="AA131" s="43"/>
    </row>
    <row r="132" spans="3:27" ht="15">
      <c r="C132">
        <v>115</v>
      </c>
      <c r="D132" s="359">
        <v>1.8</v>
      </c>
      <c r="E132" s="211">
        <f t="shared" si="12"/>
        <v>1.98</v>
      </c>
      <c r="F132" s="211">
        <f>'Studio Rain System'!L137</f>
        <v>20</v>
      </c>
      <c r="G132" s="211">
        <f>'Studio Rain System'!M137</f>
        <v>0.745</v>
      </c>
      <c r="H132" s="206">
        <f>'Flow Rate'!$W$27</f>
        <v>464206.53322409093</v>
      </c>
      <c r="I132" s="178">
        <f>'Ozone-Energy'!H125</f>
        <v>355268.57142857148</v>
      </c>
      <c r="J132" s="128">
        <f t="shared" si="14"/>
        <v>0.35526857142857149</v>
      </c>
      <c r="K132" s="193">
        <f>'Ozone-Energy'!J125</f>
        <v>9900</v>
      </c>
      <c r="L132" s="43">
        <f t="shared" si="13"/>
        <v>9.9</v>
      </c>
      <c r="M132" s="43">
        <f>'Ozone-Energy'!L125</f>
        <v>19800000</v>
      </c>
      <c r="N132" s="179">
        <f>'Ozone-Energy'!M125</f>
        <v>19.8</v>
      </c>
      <c r="O132" s="43">
        <f>'Ozone-Energy'!N125</f>
        <v>1200</v>
      </c>
      <c r="P132" s="180">
        <f t="shared" si="20"/>
        <v>4.32</v>
      </c>
      <c r="Q132" s="181">
        <f t="shared" si="19"/>
        <v>24.475268571428572</v>
      </c>
      <c r="R132" s="43">
        <f>'Ozone-Energy'!Q125</f>
        <v>0</v>
      </c>
      <c r="S132" s="43">
        <f>'Ozone-Energy'!R125</f>
        <v>0</v>
      </c>
      <c r="T132" s="43">
        <f>'Ozone-Energy'!S125</f>
        <v>0</v>
      </c>
      <c r="U132" s="43"/>
      <c r="V132" s="43"/>
      <c r="W132">
        <f>'Ozone-Energy'!V125</f>
        <v>0</v>
      </c>
      <c r="X132">
        <f>'Ozone-Energy'!W125</f>
        <v>0</v>
      </c>
      <c r="Y132">
        <f>'Ozone-Energy'!X125</f>
        <v>0</v>
      </c>
      <c r="Z132">
        <f>'Ozone-Energy'!Y125</f>
        <v>0</v>
      </c>
      <c r="AA132" s="43"/>
    </row>
    <row r="133" spans="3:27" ht="15">
      <c r="C133">
        <v>116</v>
      </c>
      <c r="D133" s="359">
        <v>35</v>
      </c>
      <c r="E133" s="211">
        <f t="shared" si="12"/>
        <v>38.500000000000007</v>
      </c>
      <c r="F133" s="211">
        <f>'Studio Rain System'!L138</f>
        <v>20</v>
      </c>
      <c r="G133" s="211">
        <f>'Studio Rain System'!M138</f>
        <v>0.745</v>
      </c>
      <c r="H133" s="206">
        <f>'Flow Rate'!$W$27</f>
        <v>464206.53322409093</v>
      </c>
      <c r="I133" s="178">
        <f>'Ozone-Energy'!H126</f>
        <v>6908000.0000000019</v>
      </c>
      <c r="J133" s="128">
        <f t="shared" si="14"/>
        <v>6.9080000000000013</v>
      </c>
      <c r="K133" s="193">
        <f>'Ozone-Energy'!J126</f>
        <v>192500.00000000006</v>
      </c>
      <c r="L133" s="43">
        <f t="shared" si="13"/>
        <v>192.50000000000006</v>
      </c>
      <c r="M133" s="43">
        <f>'Ozone-Energy'!L126</f>
        <v>385000000.00000012</v>
      </c>
      <c r="N133" s="179">
        <f>'Ozone-Energy'!M126</f>
        <v>385.00000000000011</v>
      </c>
      <c r="O133" s="43">
        <f>'Ozone-Energy'!N126</f>
        <v>1200</v>
      </c>
      <c r="P133" s="180">
        <f t="shared" si="20"/>
        <v>4.32</v>
      </c>
      <c r="Q133" s="181">
        <f t="shared" si="19"/>
        <v>396.22800000000012</v>
      </c>
      <c r="R133" s="43">
        <f>'Ozone-Energy'!Q126</f>
        <v>0</v>
      </c>
      <c r="S133" s="43">
        <f>'Ozone-Energy'!R126</f>
        <v>0</v>
      </c>
      <c r="T133" s="43">
        <f>'Ozone-Energy'!S126</f>
        <v>0</v>
      </c>
      <c r="U133" s="43"/>
      <c r="V133" s="43"/>
      <c r="W133">
        <f>'Ozone-Energy'!V126</f>
        <v>0</v>
      </c>
      <c r="X133">
        <f>'Ozone-Energy'!W126</f>
        <v>0</v>
      </c>
      <c r="Y133">
        <f>'Ozone-Energy'!X126</f>
        <v>0</v>
      </c>
      <c r="Z133">
        <f>'Ozone-Energy'!Y126</f>
        <v>0</v>
      </c>
      <c r="AA133" s="43"/>
    </row>
    <row r="134" spans="3:27" ht="15">
      <c r="C134">
        <v>117</v>
      </c>
      <c r="D134" s="359">
        <v>7.2</v>
      </c>
      <c r="E134" s="211">
        <f t="shared" si="12"/>
        <v>7.92</v>
      </c>
      <c r="F134" s="211">
        <f>'Studio Rain System'!L139</f>
        <v>20</v>
      </c>
      <c r="G134" s="211">
        <f>'Studio Rain System'!M139</f>
        <v>0.745</v>
      </c>
      <c r="H134" s="206">
        <f>'Flow Rate'!$W$27</f>
        <v>464206.53322409093</v>
      </c>
      <c r="I134" s="178">
        <f>'Ozone-Energy'!H127</f>
        <v>1421074.2857142859</v>
      </c>
      <c r="J134" s="128">
        <f t="shared" si="14"/>
        <v>1.421074285714286</v>
      </c>
      <c r="K134" s="193">
        <f>'Ozone-Energy'!J127</f>
        <v>39600</v>
      </c>
      <c r="L134" s="43">
        <f t="shared" si="13"/>
        <v>39.6</v>
      </c>
      <c r="M134" s="43">
        <f>'Ozone-Energy'!L127</f>
        <v>79200000</v>
      </c>
      <c r="N134" s="179">
        <f>'Ozone-Energy'!M127</f>
        <v>79.2</v>
      </c>
      <c r="O134" s="43">
        <f>'Ozone-Energy'!N127</f>
        <v>1200</v>
      </c>
      <c r="P134" s="180">
        <f t="shared" si="20"/>
        <v>4.32</v>
      </c>
      <c r="Q134" s="181">
        <f t="shared" si="19"/>
        <v>84.941074285714279</v>
      </c>
      <c r="R134" s="43">
        <f>'Ozone-Energy'!Q127</f>
        <v>0</v>
      </c>
      <c r="S134" s="43">
        <f>'Ozone-Energy'!R127</f>
        <v>0</v>
      </c>
      <c r="T134" s="43">
        <f>'Ozone-Energy'!S127</f>
        <v>0</v>
      </c>
      <c r="U134" s="43"/>
      <c r="V134" s="43"/>
      <c r="W134">
        <f>'Ozone-Energy'!V127</f>
        <v>0</v>
      </c>
      <c r="X134">
        <f>'Ozone-Energy'!W127</f>
        <v>0</v>
      </c>
      <c r="Y134">
        <f>'Ozone-Energy'!X127</f>
        <v>0</v>
      </c>
      <c r="Z134">
        <f>'Ozone-Energy'!Y127</f>
        <v>0</v>
      </c>
      <c r="AA134" s="43"/>
    </row>
    <row r="135" spans="3:27" ht="15">
      <c r="C135">
        <v>118</v>
      </c>
      <c r="D135" s="359">
        <v>0.8</v>
      </c>
      <c r="E135" s="211">
        <f t="shared" si="12"/>
        <v>0.88</v>
      </c>
      <c r="F135" s="211">
        <f>'Studio Rain System'!L140</f>
        <v>20</v>
      </c>
      <c r="G135" s="211">
        <f>'Studio Rain System'!M140</f>
        <v>0.745</v>
      </c>
      <c r="H135" s="206">
        <f>'Flow Rate'!$W$27</f>
        <v>464206.53322409093</v>
      </c>
      <c r="I135" s="178">
        <f>'Ozone-Energy'!H128</f>
        <v>157897.14285714287</v>
      </c>
      <c r="J135" s="128">
        <f t="shared" si="14"/>
        <v>0.15789714285714287</v>
      </c>
      <c r="K135" s="193">
        <f>'Ozone-Energy'!J128</f>
        <v>4400</v>
      </c>
      <c r="L135" s="43">
        <f t="shared" si="13"/>
        <v>4.4000000000000004</v>
      </c>
      <c r="M135" s="43">
        <f>'Ozone-Energy'!L128</f>
        <v>8800000</v>
      </c>
      <c r="N135" s="179">
        <f>'Ozone-Energy'!M128</f>
        <v>8.8000000000000007</v>
      </c>
      <c r="O135" s="43">
        <f>'Ozone-Energy'!N128</f>
        <v>1200</v>
      </c>
      <c r="P135" s="180">
        <f t="shared" si="20"/>
        <v>4.32</v>
      </c>
      <c r="Q135" s="181">
        <f t="shared" si="19"/>
        <v>13.277897142857144</v>
      </c>
      <c r="R135" s="43">
        <f>'Ozone-Energy'!Q128</f>
        <v>0</v>
      </c>
      <c r="S135" s="43">
        <f>'Ozone-Energy'!R128</f>
        <v>0</v>
      </c>
      <c r="T135" s="43">
        <f>'Ozone-Energy'!S128</f>
        <v>0</v>
      </c>
      <c r="U135" s="43"/>
      <c r="V135" s="43"/>
      <c r="W135">
        <f>'Ozone-Energy'!V128</f>
        <v>0</v>
      </c>
      <c r="X135">
        <f>'Ozone-Energy'!W128</f>
        <v>0</v>
      </c>
      <c r="Y135">
        <f>'Ozone-Energy'!X128</f>
        <v>0</v>
      </c>
      <c r="Z135">
        <f>'Ozone-Energy'!Y128</f>
        <v>0</v>
      </c>
      <c r="AA135" s="43"/>
    </row>
    <row r="136" spans="3:27" ht="15">
      <c r="C136">
        <v>119</v>
      </c>
      <c r="D136" s="359">
        <v>0.1</v>
      </c>
      <c r="E136" s="211">
        <f t="shared" si="12"/>
        <v>0.11</v>
      </c>
      <c r="F136" s="211">
        <f>'Studio Rain System'!L141</f>
        <v>19.364999999999998</v>
      </c>
      <c r="G136" s="211">
        <f>'Studio Rain System'!M141</f>
        <v>0.745</v>
      </c>
      <c r="H136" s="206">
        <f>'Flow Rate'!$W$27</f>
        <v>464206.53322409093</v>
      </c>
      <c r="I136" s="178">
        <f>'Ozone-Energy'!H129</f>
        <v>19737.142857142859</v>
      </c>
      <c r="J136" s="128">
        <f t="shared" si="14"/>
        <v>1.9737142857142859E-2</v>
      </c>
      <c r="K136" s="193">
        <f>'Ozone-Energy'!J129</f>
        <v>550</v>
      </c>
      <c r="L136" s="43">
        <f t="shared" si="13"/>
        <v>0.55000000000000004</v>
      </c>
      <c r="M136" s="43">
        <f>'Ozone-Energy'!L129</f>
        <v>1100000</v>
      </c>
      <c r="N136" s="179">
        <f>'Ozone-Energy'!M129</f>
        <v>1.1000000000000001</v>
      </c>
      <c r="O136" s="43">
        <f>'Ozone-Energy'!N129</f>
        <v>1200</v>
      </c>
      <c r="P136" s="180">
        <f t="shared" si="20"/>
        <v>4.32</v>
      </c>
      <c r="Q136" s="181">
        <f t="shared" si="19"/>
        <v>5.439737142857143</v>
      </c>
      <c r="R136" s="43">
        <f>'Ozone-Energy'!Q129</f>
        <v>0</v>
      </c>
      <c r="S136" s="43">
        <f>'Ozone-Energy'!R129</f>
        <v>0</v>
      </c>
      <c r="T136" s="43">
        <f>'Ozone-Energy'!S129</f>
        <v>0</v>
      </c>
      <c r="U136" s="43"/>
      <c r="V136" s="43"/>
      <c r="W136">
        <f>'Ozone-Energy'!V129</f>
        <v>0</v>
      </c>
      <c r="X136">
        <f>'Ozone-Energy'!W129</f>
        <v>0</v>
      </c>
      <c r="Y136">
        <f>'Ozone-Energy'!X129</f>
        <v>0</v>
      </c>
      <c r="Z136">
        <f>'Ozone-Energy'!Y129</f>
        <v>0</v>
      </c>
      <c r="AA136" s="43"/>
    </row>
    <row r="137" spans="3:27" ht="15">
      <c r="C137">
        <v>120</v>
      </c>
      <c r="D137" s="359">
        <v>0</v>
      </c>
      <c r="E137" s="211">
        <f t="shared" si="12"/>
        <v>0</v>
      </c>
      <c r="F137" s="211">
        <f>'Studio Rain System'!L142</f>
        <v>18.619999999999997</v>
      </c>
      <c r="G137" s="211">
        <f>'Studio Rain System'!M142</f>
        <v>0.745</v>
      </c>
      <c r="H137" s="206">
        <f>'Flow Rate'!$W$27</f>
        <v>464206.53322409093</v>
      </c>
      <c r="I137" s="178">
        <f>'Ozone-Energy'!H130</f>
        <v>0</v>
      </c>
      <c r="J137" s="128">
        <f t="shared" si="14"/>
        <v>0</v>
      </c>
      <c r="K137" s="193">
        <f>'Ozone-Energy'!J130</f>
        <v>0</v>
      </c>
      <c r="L137" s="43">
        <f t="shared" si="13"/>
        <v>0</v>
      </c>
      <c r="M137" s="43">
        <f>'Ozone-Energy'!L130</f>
        <v>0</v>
      </c>
      <c r="N137" s="179">
        <f>'Ozone-Energy'!M130</f>
        <v>0</v>
      </c>
      <c r="O137" s="43">
        <f>'Ozone-Energy'!N130</f>
        <v>1200</v>
      </c>
      <c r="P137" s="180">
        <f t="shared" si="20"/>
        <v>4.32</v>
      </c>
      <c r="Q137" s="181">
        <f t="shared" si="19"/>
        <v>4.32</v>
      </c>
      <c r="R137" s="43">
        <f>'Ozone-Energy'!Q130</f>
        <v>0</v>
      </c>
      <c r="S137" s="43">
        <f>'Ozone-Energy'!R130</f>
        <v>0</v>
      </c>
      <c r="T137" s="43">
        <f>'Ozone-Energy'!S130</f>
        <v>0</v>
      </c>
      <c r="U137" s="43"/>
      <c r="V137" s="43"/>
      <c r="W137">
        <f>'Ozone-Energy'!V130</f>
        <v>0</v>
      </c>
      <c r="X137">
        <f>'Ozone-Energy'!W130</f>
        <v>0</v>
      </c>
      <c r="Y137">
        <f>'Ozone-Energy'!X130</f>
        <v>0</v>
      </c>
      <c r="Z137">
        <f>'Ozone-Energy'!Y130</f>
        <v>0</v>
      </c>
      <c r="AA137" s="43"/>
    </row>
    <row r="138" spans="3:27" ht="15">
      <c r="C138">
        <v>121</v>
      </c>
      <c r="D138" s="359">
        <v>0</v>
      </c>
      <c r="E138" s="211">
        <f t="shared" si="12"/>
        <v>0</v>
      </c>
      <c r="F138" s="211">
        <f>'Studio Rain System'!L143</f>
        <v>17.874999999999996</v>
      </c>
      <c r="G138" s="211">
        <f>'Studio Rain System'!M143</f>
        <v>0.745</v>
      </c>
      <c r="H138" s="206">
        <f>'Flow Rate'!$W$27</f>
        <v>464206.53322409093</v>
      </c>
      <c r="I138" s="178">
        <f>'Ozone-Energy'!H131</f>
        <v>0</v>
      </c>
      <c r="J138" s="128">
        <f t="shared" si="14"/>
        <v>0</v>
      </c>
      <c r="K138" s="193">
        <f>'Ozone-Energy'!J131</f>
        <v>0</v>
      </c>
      <c r="L138" s="43">
        <f t="shared" si="13"/>
        <v>0</v>
      </c>
      <c r="M138" s="43">
        <f>'Ozone-Energy'!L131</f>
        <v>0</v>
      </c>
      <c r="N138" s="179">
        <f>'Ozone-Energy'!M131</f>
        <v>0</v>
      </c>
      <c r="O138" s="43">
        <f>'Ozone-Energy'!N131</f>
        <v>1200</v>
      </c>
      <c r="P138" s="180">
        <f xml:space="preserve"> O138 * 3600 / 1000000</f>
        <v>4.32</v>
      </c>
      <c r="Q138" s="181">
        <f t="shared" si="19"/>
        <v>4.32</v>
      </c>
      <c r="R138" s="43">
        <f>'Ozone-Energy'!Q131</f>
        <v>0</v>
      </c>
      <c r="S138" s="43">
        <f>'Ozone-Energy'!R131</f>
        <v>0</v>
      </c>
      <c r="T138" s="43">
        <f>'Ozone-Energy'!S131</f>
        <v>0</v>
      </c>
      <c r="U138" s="43"/>
      <c r="V138" s="43"/>
      <c r="W138">
        <f>'Ozone-Energy'!V131</f>
        <v>0</v>
      </c>
      <c r="X138">
        <f>'Ozone-Energy'!W131</f>
        <v>0</v>
      </c>
      <c r="Y138">
        <f>'Ozone-Energy'!X131</f>
        <v>0</v>
      </c>
      <c r="Z138">
        <f>'Ozone-Energy'!Y131</f>
        <v>0</v>
      </c>
      <c r="AA138" s="43"/>
    </row>
    <row r="139" spans="3:27" ht="15">
      <c r="C139">
        <v>122</v>
      </c>
      <c r="D139" s="359">
        <v>2</v>
      </c>
      <c r="E139" s="211">
        <f t="shared" si="12"/>
        <v>2.2000000000000002</v>
      </c>
      <c r="F139" s="211">
        <f>'Studio Rain System'!L144</f>
        <v>19.329999999999995</v>
      </c>
      <c r="G139" s="211">
        <f>'Studio Rain System'!M144</f>
        <v>0.745</v>
      </c>
      <c r="H139" s="206">
        <f>'Flow Rate'!$W$27</f>
        <v>464206.53322409093</v>
      </c>
      <c r="I139" s="178">
        <f>'Ozone-Energy'!H132</f>
        <v>394742.85714285716</v>
      </c>
      <c r="J139" s="128">
        <f t="shared" si="14"/>
        <v>0.39474285714285712</v>
      </c>
      <c r="K139" s="193">
        <f>'Ozone-Energy'!J132</f>
        <v>11000</v>
      </c>
      <c r="L139" s="43">
        <f t="shared" si="13"/>
        <v>11</v>
      </c>
      <c r="M139" s="43">
        <f>'Ozone-Energy'!L132</f>
        <v>22000000</v>
      </c>
      <c r="N139" s="179">
        <f>'Ozone-Energy'!M132</f>
        <v>22</v>
      </c>
      <c r="O139" s="43">
        <f>'Ozone-Energy'!N132</f>
        <v>1200</v>
      </c>
      <c r="P139" s="180">
        <f t="shared" ref="P139:P147" si="21">O139 * 3600 / 1000000</f>
        <v>4.32</v>
      </c>
      <c r="Q139" s="181">
        <f t="shared" si="19"/>
        <v>26.714742857142859</v>
      </c>
      <c r="R139" s="43">
        <f>'Ozone-Energy'!Q132</f>
        <v>0</v>
      </c>
      <c r="S139" s="43">
        <f>'Ozone-Energy'!R132</f>
        <v>0</v>
      </c>
      <c r="T139" s="43">
        <f>'Ozone-Energy'!S132</f>
        <v>0</v>
      </c>
      <c r="U139" s="43"/>
      <c r="V139" s="43"/>
      <c r="W139">
        <f>'Ozone-Energy'!V132</f>
        <v>0</v>
      </c>
      <c r="X139">
        <f>'Ozone-Energy'!W132</f>
        <v>0</v>
      </c>
      <c r="Y139">
        <f>'Ozone-Energy'!X132</f>
        <v>0</v>
      </c>
      <c r="Z139">
        <f>'Ozone-Energy'!Y132</f>
        <v>0</v>
      </c>
      <c r="AA139" s="43"/>
    </row>
    <row r="140" spans="3:27" ht="15">
      <c r="C140">
        <v>123</v>
      </c>
      <c r="D140" s="359">
        <v>4.5999999999999996</v>
      </c>
      <c r="E140" s="211">
        <f t="shared" si="12"/>
        <v>5.0599999999999996</v>
      </c>
      <c r="F140" s="211">
        <f>'Studio Rain System'!L145</f>
        <v>20</v>
      </c>
      <c r="G140" s="211">
        <f>'Studio Rain System'!M145</f>
        <v>0.745</v>
      </c>
      <c r="H140" s="206">
        <f>'Flow Rate'!$W$27</f>
        <v>464206.53322409093</v>
      </c>
      <c r="I140" s="178">
        <f>'Ozone-Energy'!H133</f>
        <v>907908.57142857148</v>
      </c>
      <c r="J140" s="128">
        <f t="shared" si="14"/>
        <v>0.9079085714285714</v>
      </c>
      <c r="K140" s="193">
        <f>'Ozone-Energy'!J133</f>
        <v>25300</v>
      </c>
      <c r="L140" s="43">
        <f t="shared" si="13"/>
        <v>25.3</v>
      </c>
      <c r="M140" s="43">
        <f>'Ozone-Energy'!L133</f>
        <v>50600000</v>
      </c>
      <c r="N140" s="179">
        <f>'Ozone-Energy'!M133</f>
        <v>50.6</v>
      </c>
      <c r="O140" s="43">
        <f>'Ozone-Energy'!N133</f>
        <v>1200</v>
      </c>
      <c r="P140" s="180">
        <f t="shared" si="21"/>
        <v>4.32</v>
      </c>
      <c r="Q140" s="181">
        <f t="shared" si="19"/>
        <v>55.827908571428573</v>
      </c>
      <c r="R140" s="43">
        <f>'Ozone-Energy'!Q133</f>
        <v>0</v>
      </c>
      <c r="S140" s="43">
        <f>'Ozone-Energy'!R133</f>
        <v>0</v>
      </c>
      <c r="T140" s="43">
        <f>'Ozone-Energy'!S133</f>
        <v>0</v>
      </c>
      <c r="U140" s="43"/>
      <c r="V140" s="43"/>
      <c r="W140">
        <f>'Ozone-Energy'!V133</f>
        <v>0</v>
      </c>
      <c r="X140">
        <f>'Ozone-Energy'!W133</f>
        <v>0</v>
      </c>
      <c r="Y140">
        <f>'Ozone-Energy'!X133</f>
        <v>0</v>
      </c>
      <c r="Z140">
        <f>'Ozone-Energy'!Y133</f>
        <v>0</v>
      </c>
      <c r="AA140" s="43"/>
    </row>
    <row r="141" spans="3:27" ht="15">
      <c r="C141">
        <v>124</v>
      </c>
      <c r="D141" s="359">
        <v>3.8</v>
      </c>
      <c r="E141" s="211">
        <f t="shared" si="12"/>
        <v>4.18</v>
      </c>
      <c r="F141" s="211">
        <f>'Studio Rain System'!L146</f>
        <v>20</v>
      </c>
      <c r="G141" s="211">
        <f>'Studio Rain System'!M146</f>
        <v>0.745</v>
      </c>
      <c r="H141" s="206">
        <f>'Flow Rate'!$W$27</f>
        <v>464206.53322409093</v>
      </c>
      <c r="I141" s="178">
        <f>'Ozone-Energy'!H134</f>
        <v>750011.42857142864</v>
      </c>
      <c r="J141" s="128">
        <f t="shared" si="14"/>
        <v>0.75001142857142855</v>
      </c>
      <c r="K141" s="193">
        <f>'Ozone-Energy'!J134</f>
        <v>20900</v>
      </c>
      <c r="L141" s="43">
        <f t="shared" si="13"/>
        <v>20.9</v>
      </c>
      <c r="M141" s="43">
        <f>'Ozone-Energy'!L134</f>
        <v>41800000</v>
      </c>
      <c r="N141" s="179">
        <f>'Ozone-Energy'!M134</f>
        <v>41.8</v>
      </c>
      <c r="O141" s="43">
        <f>'Ozone-Energy'!N134</f>
        <v>1200</v>
      </c>
      <c r="P141" s="180">
        <f t="shared" si="21"/>
        <v>4.32</v>
      </c>
      <c r="Q141" s="181">
        <f t="shared" si="19"/>
        <v>46.870011428571424</v>
      </c>
      <c r="R141" s="43">
        <f>'Ozone-Energy'!Q134</f>
        <v>0</v>
      </c>
      <c r="S141" s="43">
        <f>'Ozone-Energy'!R134</f>
        <v>0</v>
      </c>
      <c r="T141" s="43">
        <f>'Ozone-Energy'!S134</f>
        <v>0</v>
      </c>
      <c r="U141" s="43"/>
      <c r="V141" s="43"/>
      <c r="W141">
        <f>'Ozone-Energy'!V134</f>
        <v>0</v>
      </c>
      <c r="X141">
        <f>'Ozone-Energy'!W134</f>
        <v>0</v>
      </c>
      <c r="Y141">
        <f>'Ozone-Energy'!X134</f>
        <v>0</v>
      </c>
      <c r="Z141">
        <f>'Ozone-Energy'!Y134</f>
        <v>0</v>
      </c>
      <c r="AA141" s="43"/>
    </row>
    <row r="142" spans="3:27" ht="15">
      <c r="C142">
        <v>125</v>
      </c>
      <c r="D142" s="359">
        <v>0</v>
      </c>
      <c r="E142" s="211">
        <f t="shared" si="12"/>
        <v>0</v>
      </c>
      <c r="F142" s="211">
        <f>'Studio Rain System'!L147</f>
        <v>19.254999999999999</v>
      </c>
      <c r="G142" s="211">
        <f>'Studio Rain System'!M147</f>
        <v>0.745</v>
      </c>
      <c r="H142" s="206">
        <f>'Flow Rate'!$W$27</f>
        <v>464206.53322409093</v>
      </c>
      <c r="I142" s="178">
        <f>'Ozone-Energy'!H135</f>
        <v>0</v>
      </c>
      <c r="J142" s="128">
        <f t="shared" si="14"/>
        <v>0</v>
      </c>
      <c r="K142" s="193">
        <f>'Ozone-Energy'!J135</f>
        <v>0</v>
      </c>
      <c r="L142" s="43">
        <f t="shared" si="13"/>
        <v>0</v>
      </c>
      <c r="M142" s="43">
        <f>'Ozone-Energy'!L135</f>
        <v>0</v>
      </c>
      <c r="N142" s="179">
        <f>'Ozone-Energy'!M135</f>
        <v>0</v>
      </c>
      <c r="O142" s="43">
        <f>'Ozone-Energy'!N135</f>
        <v>1200</v>
      </c>
      <c r="P142" s="180">
        <f t="shared" si="21"/>
        <v>4.32</v>
      </c>
      <c r="Q142" s="181">
        <f t="shared" si="19"/>
        <v>4.32</v>
      </c>
      <c r="R142" s="43">
        <f>'Ozone-Energy'!Q135</f>
        <v>0</v>
      </c>
      <c r="S142" s="43">
        <f>'Ozone-Energy'!R135</f>
        <v>0</v>
      </c>
      <c r="T142" s="43">
        <f>'Ozone-Energy'!S135</f>
        <v>0</v>
      </c>
      <c r="U142" s="43"/>
      <c r="V142" s="43"/>
      <c r="W142">
        <f>'Ozone-Energy'!V135</f>
        <v>0</v>
      </c>
      <c r="X142">
        <f>'Ozone-Energy'!W135</f>
        <v>0</v>
      </c>
      <c r="Y142">
        <f>'Ozone-Energy'!X135</f>
        <v>0</v>
      </c>
      <c r="Z142">
        <f>'Ozone-Energy'!Y135</f>
        <v>0</v>
      </c>
      <c r="AA142" s="43"/>
    </row>
    <row r="143" spans="3:27" ht="15">
      <c r="C143">
        <v>126</v>
      </c>
      <c r="D143" s="359">
        <v>0</v>
      </c>
      <c r="E143" s="211">
        <f t="shared" si="12"/>
        <v>0</v>
      </c>
      <c r="F143" s="211">
        <f>'Studio Rain System'!L148</f>
        <v>18.509999999999998</v>
      </c>
      <c r="G143" s="211">
        <f>'Studio Rain System'!M148</f>
        <v>0.745</v>
      </c>
      <c r="H143" s="206">
        <f>'Flow Rate'!$W$27</f>
        <v>464206.53322409093</v>
      </c>
      <c r="I143" s="178">
        <f>'Ozone-Energy'!H136</f>
        <v>0</v>
      </c>
      <c r="J143" s="128">
        <f t="shared" si="14"/>
        <v>0</v>
      </c>
      <c r="K143" s="193">
        <f>'Ozone-Energy'!J136</f>
        <v>0</v>
      </c>
      <c r="L143" s="43">
        <f t="shared" si="13"/>
        <v>0</v>
      </c>
      <c r="M143" s="43">
        <f>'Ozone-Energy'!L136</f>
        <v>0</v>
      </c>
      <c r="N143" s="179">
        <f>'Ozone-Energy'!M136</f>
        <v>0</v>
      </c>
      <c r="O143" s="43">
        <f>'Ozone-Energy'!N136</f>
        <v>1200</v>
      </c>
      <c r="P143" s="180">
        <f t="shared" si="21"/>
        <v>4.32</v>
      </c>
      <c r="Q143" s="181">
        <f t="shared" si="19"/>
        <v>4.32</v>
      </c>
      <c r="R143" s="43">
        <f>'Ozone-Energy'!Q136</f>
        <v>0</v>
      </c>
      <c r="S143" s="43">
        <f>'Ozone-Energy'!R136</f>
        <v>0</v>
      </c>
      <c r="T143" s="43">
        <f>'Ozone-Energy'!S136</f>
        <v>0</v>
      </c>
      <c r="U143" s="43"/>
      <c r="V143" s="43"/>
      <c r="W143">
        <f>'Ozone-Energy'!V136</f>
        <v>0</v>
      </c>
      <c r="X143">
        <f>'Ozone-Energy'!W136</f>
        <v>0</v>
      </c>
      <c r="Y143">
        <f>'Ozone-Energy'!X136</f>
        <v>0</v>
      </c>
      <c r="Z143">
        <f>'Ozone-Energy'!Y136</f>
        <v>0</v>
      </c>
      <c r="AA143" s="43"/>
    </row>
    <row r="144" spans="3:27" ht="15">
      <c r="C144">
        <v>127</v>
      </c>
      <c r="D144" s="359">
        <v>0</v>
      </c>
      <c r="E144" s="211">
        <f t="shared" si="12"/>
        <v>0</v>
      </c>
      <c r="F144" s="211">
        <f>'Studio Rain System'!L149</f>
        <v>17.764999999999997</v>
      </c>
      <c r="G144" s="211">
        <f>'Studio Rain System'!M149</f>
        <v>0.745</v>
      </c>
      <c r="H144" s="206">
        <f>'Flow Rate'!$W$27</f>
        <v>464206.53322409093</v>
      </c>
      <c r="I144" s="178">
        <f>'Ozone-Energy'!H137</f>
        <v>0</v>
      </c>
      <c r="J144" s="128">
        <f t="shared" si="14"/>
        <v>0</v>
      </c>
      <c r="K144" s="193">
        <f>'Ozone-Energy'!J137</f>
        <v>0</v>
      </c>
      <c r="L144" s="43">
        <f t="shared" si="13"/>
        <v>0</v>
      </c>
      <c r="M144" s="43">
        <f>'Ozone-Energy'!L137</f>
        <v>0</v>
      </c>
      <c r="N144" s="179">
        <f>'Ozone-Energy'!M137</f>
        <v>0</v>
      </c>
      <c r="O144" s="43">
        <f>'Ozone-Energy'!N137</f>
        <v>1200</v>
      </c>
      <c r="P144" s="180">
        <f t="shared" si="21"/>
        <v>4.32</v>
      </c>
      <c r="Q144" s="181">
        <f t="shared" si="19"/>
        <v>4.32</v>
      </c>
      <c r="R144" s="43">
        <f>'Ozone-Energy'!Q137</f>
        <v>0</v>
      </c>
      <c r="S144" s="43">
        <f>'Ozone-Energy'!R137</f>
        <v>0</v>
      </c>
      <c r="T144" s="43">
        <f>'Ozone-Energy'!S137</f>
        <v>0</v>
      </c>
      <c r="U144" s="43"/>
      <c r="V144" s="43"/>
      <c r="W144">
        <f>'Ozone-Energy'!V137</f>
        <v>0</v>
      </c>
      <c r="X144">
        <f>'Ozone-Energy'!W137</f>
        <v>0</v>
      </c>
      <c r="Y144">
        <f>'Ozone-Energy'!X137</f>
        <v>0</v>
      </c>
      <c r="Z144">
        <f>'Ozone-Energy'!Y137</f>
        <v>0</v>
      </c>
      <c r="AA144" s="43"/>
    </row>
    <row r="145" spans="3:27" ht="15">
      <c r="C145">
        <v>128</v>
      </c>
      <c r="D145" s="359">
        <v>0</v>
      </c>
      <c r="E145" s="211">
        <f t="shared" si="12"/>
        <v>0</v>
      </c>
      <c r="F145" s="211">
        <f>'Studio Rain System'!L150</f>
        <v>17.019999999999996</v>
      </c>
      <c r="G145" s="211">
        <f>'Studio Rain System'!M150</f>
        <v>0.745</v>
      </c>
      <c r="H145" s="206">
        <f>'Flow Rate'!$W$27</f>
        <v>464206.53322409093</v>
      </c>
      <c r="I145" s="178">
        <f>'Ozone-Energy'!H138</f>
        <v>0</v>
      </c>
      <c r="J145" s="128">
        <f t="shared" si="14"/>
        <v>0</v>
      </c>
      <c r="K145" s="193">
        <f>'Ozone-Energy'!J138</f>
        <v>0</v>
      </c>
      <c r="L145" s="43">
        <f t="shared" si="13"/>
        <v>0</v>
      </c>
      <c r="M145" s="43">
        <f>'Ozone-Energy'!L138</f>
        <v>0</v>
      </c>
      <c r="N145" s="179">
        <f>'Ozone-Energy'!M138</f>
        <v>0</v>
      </c>
      <c r="O145" s="43">
        <f>'Ozone-Energy'!N138</f>
        <v>1200</v>
      </c>
      <c r="P145" s="180">
        <f t="shared" si="21"/>
        <v>4.32</v>
      </c>
      <c r="Q145" s="181">
        <f t="shared" si="19"/>
        <v>4.32</v>
      </c>
      <c r="R145" s="43">
        <f>'Ozone-Energy'!Q138</f>
        <v>0</v>
      </c>
      <c r="S145" s="43">
        <f>'Ozone-Energy'!R138</f>
        <v>0</v>
      </c>
      <c r="T145" s="43">
        <f>'Ozone-Energy'!S138</f>
        <v>0</v>
      </c>
      <c r="U145" s="43"/>
      <c r="V145" s="43"/>
      <c r="W145">
        <f>'Ozone-Energy'!V138</f>
        <v>0</v>
      </c>
      <c r="X145">
        <f>'Ozone-Energy'!W138</f>
        <v>0</v>
      </c>
      <c r="Y145">
        <f>'Ozone-Energy'!X138</f>
        <v>0</v>
      </c>
      <c r="Z145">
        <f>'Ozone-Energy'!Y138</f>
        <v>0</v>
      </c>
      <c r="AA145" s="43"/>
    </row>
    <row r="146" spans="3:27" ht="15">
      <c r="C146">
        <v>129</v>
      </c>
      <c r="D146" s="359">
        <v>0</v>
      </c>
      <c r="E146" s="211">
        <f t="shared" ref="E146:E209" si="22">(D146/1000)*$J$7</f>
        <v>0</v>
      </c>
      <c r="F146" s="211">
        <f>'Studio Rain System'!L151</f>
        <v>16.274999999999995</v>
      </c>
      <c r="G146" s="211">
        <f>'Studio Rain System'!M151</f>
        <v>0.745</v>
      </c>
      <c r="H146" s="206">
        <f>'Flow Rate'!$W$27</f>
        <v>464206.53322409093</v>
      </c>
      <c r="I146" s="178">
        <f>'Ozone-Energy'!H139</f>
        <v>0</v>
      </c>
      <c r="J146" s="128">
        <f t="shared" si="14"/>
        <v>0</v>
      </c>
      <c r="K146" s="193">
        <f>'Ozone-Energy'!J139</f>
        <v>0</v>
      </c>
      <c r="L146" s="43">
        <f t="shared" ref="L146:L209" si="23">K146/1000</f>
        <v>0</v>
      </c>
      <c r="M146" s="43">
        <f>'Ozone-Energy'!L139</f>
        <v>0</v>
      </c>
      <c r="N146" s="179">
        <f>'Ozone-Energy'!M139</f>
        <v>0</v>
      </c>
      <c r="O146" s="43">
        <f>'Ozone-Energy'!N139</f>
        <v>1200</v>
      </c>
      <c r="P146" s="180">
        <f t="shared" si="21"/>
        <v>4.32</v>
      </c>
      <c r="Q146" s="181">
        <f t="shared" si="19"/>
        <v>4.32</v>
      </c>
      <c r="R146" s="43">
        <f>'Ozone-Energy'!Q139</f>
        <v>0</v>
      </c>
      <c r="S146" s="43">
        <f>'Ozone-Energy'!R139</f>
        <v>0</v>
      </c>
      <c r="T146" s="43">
        <f>'Ozone-Energy'!S139</f>
        <v>0</v>
      </c>
      <c r="U146" s="43"/>
      <c r="V146" s="43"/>
      <c r="W146">
        <f>'Ozone-Energy'!V139</f>
        <v>0</v>
      </c>
      <c r="X146">
        <f>'Ozone-Energy'!W139</f>
        <v>0</v>
      </c>
      <c r="Y146">
        <f>'Ozone-Energy'!X139</f>
        <v>0</v>
      </c>
      <c r="Z146">
        <f>'Ozone-Energy'!Y139</f>
        <v>0</v>
      </c>
      <c r="AA146" s="43"/>
    </row>
    <row r="147" spans="3:27" ht="15">
      <c r="C147">
        <v>130</v>
      </c>
      <c r="D147" s="359">
        <v>0.2</v>
      </c>
      <c r="E147" s="211">
        <f t="shared" si="22"/>
        <v>0.22</v>
      </c>
      <c r="F147" s="211">
        <f>'Studio Rain System'!L152</f>
        <v>15.749999999999995</v>
      </c>
      <c r="G147" s="211">
        <f>'Studio Rain System'!M152</f>
        <v>0.745</v>
      </c>
      <c r="H147" s="206">
        <f>'Flow Rate'!$W$27</f>
        <v>464206.53322409093</v>
      </c>
      <c r="I147" s="178">
        <f>'Ozone-Energy'!H140</f>
        <v>39474.285714285717</v>
      </c>
      <c r="J147" s="128">
        <f t="shared" ref="J147:J210" si="24">I147 * 10^(-6)</f>
        <v>3.9474285714285719E-2</v>
      </c>
      <c r="K147" s="193">
        <f>'Ozone-Energy'!J140</f>
        <v>1100</v>
      </c>
      <c r="L147" s="43">
        <f t="shared" si="23"/>
        <v>1.1000000000000001</v>
      </c>
      <c r="M147" s="43">
        <f>'Ozone-Energy'!L140</f>
        <v>2200000</v>
      </c>
      <c r="N147" s="179">
        <f>'Ozone-Energy'!M140</f>
        <v>2.2000000000000002</v>
      </c>
      <c r="O147" s="43">
        <f>'Ozone-Energy'!N140</f>
        <v>1200</v>
      </c>
      <c r="P147" s="180">
        <f t="shared" si="21"/>
        <v>4.32</v>
      </c>
      <c r="Q147" s="181">
        <f t="shared" si="19"/>
        <v>6.5594742857142858</v>
      </c>
      <c r="R147" s="43">
        <f>'Ozone-Energy'!Q140</f>
        <v>0</v>
      </c>
      <c r="S147" s="43">
        <f>'Ozone-Energy'!R140</f>
        <v>0</v>
      </c>
      <c r="T147" s="43">
        <f>'Ozone-Energy'!S140</f>
        <v>0</v>
      </c>
      <c r="U147" s="43"/>
      <c r="V147" s="43"/>
      <c r="W147">
        <f>'Ozone-Energy'!V140</f>
        <v>0</v>
      </c>
      <c r="X147">
        <f>'Ozone-Energy'!W140</f>
        <v>0</v>
      </c>
      <c r="Y147">
        <f>'Ozone-Energy'!X140</f>
        <v>0</v>
      </c>
      <c r="Z147">
        <f>'Ozone-Energy'!Y140</f>
        <v>0</v>
      </c>
      <c r="AA147" s="43"/>
    </row>
    <row r="148" spans="3:27" ht="15">
      <c r="C148">
        <v>131</v>
      </c>
      <c r="D148" s="359">
        <v>0</v>
      </c>
      <c r="E148" s="211">
        <f t="shared" si="22"/>
        <v>0</v>
      </c>
      <c r="F148" s="211">
        <f>'Studio Rain System'!L153</f>
        <v>15.004999999999995</v>
      </c>
      <c r="G148" s="211">
        <f>'Studio Rain System'!M153</f>
        <v>0.745</v>
      </c>
      <c r="H148" s="206">
        <f>'Flow Rate'!$W$27</f>
        <v>464206.53322409093</v>
      </c>
      <c r="I148" s="178">
        <f>'Ozone-Energy'!H141</f>
        <v>0</v>
      </c>
      <c r="J148" s="128">
        <f t="shared" si="24"/>
        <v>0</v>
      </c>
      <c r="K148" s="193">
        <f>'Ozone-Energy'!J141</f>
        <v>0</v>
      </c>
      <c r="L148" s="43">
        <f t="shared" si="23"/>
        <v>0</v>
      </c>
      <c r="M148" s="43">
        <f>'Ozone-Energy'!L141</f>
        <v>0</v>
      </c>
      <c r="N148" s="179">
        <f>'Ozone-Energy'!M141</f>
        <v>0</v>
      </c>
      <c r="O148" s="43">
        <f>'Ozone-Energy'!N141</f>
        <v>1200</v>
      </c>
      <c r="P148" s="180">
        <f xml:space="preserve"> O148 * 3600 / 1000000</f>
        <v>4.32</v>
      </c>
      <c r="Q148" s="181">
        <f t="shared" si="19"/>
        <v>4.32</v>
      </c>
      <c r="R148" s="43">
        <f>'Ozone-Energy'!Q141</f>
        <v>0</v>
      </c>
      <c r="S148" s="43">
        <f>'Ozone-Energy'!R141</f>
        <v>0</v>
      </c>
      <c r="T148" s="43">
        <f>'Ozone-Energy'!S141</f>
        <v>0</v>
      </c>
      <c r="U148" s="43"/>
      <c r="V148" s="43"/>
      <c r="W148">
        <f>'Ozone-Energy'!V141</f>
        <v>0</v>
      </c>
      <c r="X148">
        <f>'Ozone-Energy'!W141</f>
        <v>0</v>
      </c>
      <c r="Y148">
        <f>'Ozone-Energy'!X141</f>
        <v>0</v>
      </c>
      <c r="Z148">
        <f>'Ozone-Energy'!Y141</f>
        <v>0</v>
      </c>
      <c r="AA148" s="43"/>
    </row>
    <row r="149" spans="3:27" ht="15">
      <c r="C149">
        <v>132</v>
      </c>
      <c r="D149" s="359">
        <v>0.2</v>
      </c>
      <c r="E149" s="211">
        <f t="shared" si="22"/>
        <v>0.22</v>
      </c>
      <c r="F149" s="211">
        <f>'Studio Rain System'!L154</f>
        <v>14.479999999999997</v>
      </c>
      <c r="G149" s="211">
        <f>'Studio Rain System'!M154</f>
        <v>0.745</v>
      </c>
      <c r="H149" s="206">
        <f>'Flow Rate'!$W$27</f>
        <v>464206.53322409093</v>
      </c>
      <c r="I149" s="178">
        <f>'Ozone-Energy'!H142</f>
        <v>39474.285714285717</v>
      </c>
      <c r="J149" s="128">
        <f t="shared" si="24"/>
        <v>3.9474285714285719E-2</v>
      </c>
      <c r="K149" s="193">
        <f>'Ozone-Energy'!J142</f>
        <v>1100</v>
      </c>
      <c r="L149" s="43">
        <f t="shared" si="23"/>
        <v>1.1000000000000001</v>
      </c>
      <c r="M149" s="43">
        <f>'Ozone-Energy'!L142</f>
        <v>2200000</v>
      </c>
      <c r="N149" s="179">
        <f>'Ozone-Energy'!M142</f>
        <v>2.2000000000000002</v>
      </c>
      <c r="O149" s="43">
        <f>'Ozone-Energy'!N142</f>
        <v>1200</v>
      </c>
      <c r="P149" s="180">
        <f t="shared" ref="P149:P157" si="25">O149 * 3600 / 1000000</f>
        <v>4.32</v>
      </c>
      <c r="Q149" s="181">
        <f t="shared" si="19"/>
        <v>6.5594742857142858</v>
      </c>
      <c r="R149" s="43">
        <f>'Ozone-Energy'!Q142</f>
        <v>0</v>
      </c>
      <c r="S149" s="43">
        <f>'Ozone-Energy'!R142</f>
        <v>0</v>
      </c>
      <c r="T149" s="43">
        <f>'Ozone-Energy'!S142</f>
        <v>0</v>
      </c>
      <c r="U149" s="43"/>
      <c r="V149" s="43"/>
      <c r="W149">
        <f>'Ozone-Energy'!V142</f>
        <v>0</v>
      </c>
      <c r="X149">
        <f>'Ozone-Energy'!W142</f>
        <v>0</v>
      </c>
      <c r="Y149">
        <f>'Ozone-Energy'!X142</f>
        <v>0</v>
      </c>
      <c r="Z149">
        <f>'Ozone-Energy'!Y142</f>
        <v>0</v>
      </c>
      <c r="AA149" s="43"/>
    </row>
    <row r="150" spans="3:27" ht="15">
      <c r="C150">
        <v>133</v>
      </c>
      <c r="D150" s="359">
        <v>0</v>
      </c>
      <c r="E150" s="211">
        <f t="shared" si="22"/>
        <v>0</v>
      </c>
      <c r="F150" s="211">
        <f>'Studio Rain System'!L155</f>
        <v>13.734999999999998</v>
      </c>
      <c r="G150" s="211">
        <f>'Studio Rain System'!M155</f>
        <v>0.745</v>
      </c>
      <c r="H150" s="206">
        <f>'Flow Rate'!$W$27</f>
        <v>464206.53322409093</v>
      </c>
      <c r="I150" s="178">
        <f>'Ozone-Energy'!H143</f>
        <v>0</v>
      </c>
      <c r="J150" s="128">
        <f t="shared" si="24"/>
        <v>0</v>
      </c>
      <c r="K150" s="193">
        <f>'Ozone-Energy'!J143</f>
        <v>0</v>
      </c>
      <c r="L150" s="43">
        <f t="shared" si="23"/>
        <v>0</v>
      </c>
      <c r="M150" s="43">
        <f>'Ozone-Energy'!L143</f>
        <v>0</v>
      </c>
      <c r="N150" s="179">
        <f>'Ozone-Energy'!M143</f>
        <v>0</v>
      </c>
      <c r="O150" s="43">
        <f>'Ozone-Energy'!N143</f>
        <v>1200</v>
      </c>
      <c r="P150" s="180">
        <f t="shared" si="25"/>
        <v>4.32</v>
      </c>
      <c r="Q150" s="181">
        <f t="shared" si="19"/>
        <v>4.32</v>
      </c>
      <c r="R150" s="43">
        <f>'Ozone-Energy'!Q143</f>
        <v>0</v>
      </c>
      <c r="S150" s="43">
        <f>'Ozone-Energy'!R143</f>
        <v>0</v>
      </c>
      <c r="T150" s="43">
        <f>'Ozone-Energy'!S143</f>
        <v>0</v>
      </c>
      <c r="U150" s="43"/>
      <c r="V150" s="43"/>
      <c r="W150">
        <f>'Ozone-Energy'!V143</f>
        <v>0</v>
      </c>
      <c r="X150">
        <f>'Ozone-Energy'!W143</f>
        <v>0</v>
      </c>
      <c r="Y150">
        <f>'Ozone-Energy'!X143</f>
        <v>0</v>
      </c>
      <c r="Z150">
        <f>'Ozone-Energy'!Y143</f>
        <v>0</v>
      </c>
      <c r="AA150" s="43"/>
    </row>
    <row r="151" spans="3:27" ht="15">
      <c r="C151">
        <v>134</v>
      </c>
      <c r="D151" s="359">
        <v>0</v>
      </c>
      <c r="E151" s="211">
        <f t="shared" si="22"/>
        <v>0</v>
      </c>
      <c r="F151" s="211">
        <f>'Studio Rain System'!L156</f>
        <v>12.989999999999998</v>
      </c>
      <c r="G151" s="211">
        <f>'Studio Rain System'!M156</f>
        <v>0.745</v>
      </c>
      <c r="H151" s="206">
        <f>'Flow Rate'!$W$27</f>
        <v>464206.53322409093</v>
      </c>
      <c r="I151" s="178">
        <f>'Ozone-Energy'!H144</f>
        <v>0</v>
      </c>
      <c r="J151" s="128">
        <f t="shared" si="24"/>
        <v>0</v>
      </c>
      <c r="K151" s="193">
        <f>'Ozone-Energy'!J144</f>
        <v>0</v>
      </c>
      <c r="L151" s="43">
        <f t="shared" si="23"/>
        <v>0</v>
      </c>
      <c r="M151" s="43">
        <f>'Ozone-Energy'!L144</f>
        <v>0</v>
      </c>
      <c r="N151" s="179">
        <f>'Ozone-Energy'!M144</f>
        <v>0</v>
      </c>
      <c r="O151" s="43">
        <f>'Ozone-Energy'!N144</f>
        <v>1200</v>
      </c>
      <c r="P151" s="180">
        <f t="shared" si="25"/>
        <v>4.32</v>
      </c>
      <c r="Q151" s="181">
        <f t="shared" si="19"/>
        <v>4.32</v>
      </c>
      <c r="R151" s="43">
        <f>'Ozone-Energy'!Q144</f>
        <v>0</v>
      </c>
      <c r="S151" s="43">
        <f>'Ozone-Energy'!R144</f>
        <v>0</v>
      </c>
      <c r="T151" s="43">
        <f>'Ozone-Energy'!S144</f>
        <v>0</v>
      </c>
      <c r="U151" s="43"/>
      <c r="V151" s="43"/>
      <c r="W151">
        <f>'Ozone-Energy'!V144</f>
        <v>0</v>
      </c>
      <c r="X151">
        <f>'Ozone-Energy'!W144</f>
        <v>0</v>
      </c>
      <c r="Y151">
        <f>'Ozone-Energy'!X144</f>
        <v>0</v>
      </c>
      <c r="Z151">
        <f>'Ozone-Energy'!Y144</f>
        <v>0</v>
      </c>
      <c r="AA151" s="43"/>
    </row>
    <row r="152" spans="3:27" ht="15">
      <c r="C152">
        <v>135</v>
      </c>
      <c r="D152" s="359">
        <v>0</v>
      </c>
      <c r="E152" s="211">
        <f t="shared" si="22"/>
        <v>0</v>
      </c>
      <c r="F152" s="211">
        <f>'Studio Rain System'!L157</f>
        <v>12.244999999999999</v>
      </c>
      <c r="G152" s="211">
        <f>'Studio Rain System'!M157</f>
        <v>0.745</v>
      </c>
      <c r="H152" s="206">
        <f>'Flow Rate'!$W$27</f>
        <v>464206.53322409093</v>
      </c>
      <c r="I152" s="178">
        <f>'Ozone-Energy'!H145</f>
        <v>0</v>
      </c>
      <c r="J152" s="128">
        <f t="shared" si="24"/>
        <v>0</v>
      </c>
      <c r="K152" s="193">
        <f>'Ozone-Energy'!J145</f>
        <v>0</v>
      </c>
      <c r="L152" s="43">
        <f t="shared" si="23"/>
        <v>0</v>
      </c>
      <c r="M152" s="43">
        <f>'Ozone-Energy'!L145</f>
        <v>0</v>
      </c>
      <c r="N152" s="179">
        <f>'Ozone-Energy'!M145</f>
        <v>0</v>
      </c>
      <c r="O152" s="43">
        <f>'Ozone-Energy'!N145</f>
        <v>1200</v>
      </c>
      <c r="P152" s="180">
        <f t="shared" si="25"/>
        <v>4.32</v>
      </c>
      <c r="Q152" s="181">
        <f t="shared" si="19"/>
        <v>4.32</v>
      </c>
      <c r="R152" s="43">
        <f>'Ozone-Energy'!Q145</f>
        <v>0</v>
      </c>
      <c r="S152" s="43">
        <f>'Ozone-Energy'!R145</f>
        <v>0</v>
      </c>
      <c r="T152" s="43">
        <f>'Ozone-Energy'!S145</f>
        <v>0</v>
      </c>
      <c r="U152" s="43"/>
      <c r="V152" s="43"/>
      <c r="W152">
        <f>'Ozone-Energy'!V145</f>
        <v>0</v>
      </c>
      <c r="X152">
        <f>'Ozone-Energy'!W145</f>
        <v>0</v>
      </c>
      <c r="Y152">
        <f>'Ozone-Energy'!X145</f>
        <v>0</v>
      </c>
      <c r="Z152">
        <f>'Ozone-Energy'!Y145</f>
        <v>0</v>
      </c>
      <c r="AA152" s="43"/>
    </row>
    <row r="153" spans="3:27" ht="15">
      <c r="C153">
        <v>136</v>
      </c>
      <c r="D153" s="359">
        <v>2.8</v>
      </c>
      <c r="E153" s="211">
        <f t="shared" si="22"/>
        <v>3.08</v>
      </c>
      <c r="F153" s="211">
        <f>'Studio Rain System'!L158</f>
        <v>14.58</v>
      </c>
      <c r="G153" s="211">
        <f>'Studio Rain System'!M158</f>
        <v>0.745</v>
      </c>
      <c r="H153" s="206">
        <f>'Flow Rate'!$W$27</f>
        <v>464206.53322409093</v>
      </c>
      <c r="I153" s="178">
        <f>'Ozone-Energy'!H146</f>
        <v>552640</v>
      </c>
      <c r="J153" s="128">
        <f t="shared" si="24"/>
        <v>0.55264000000000002</v>
      </c>
      <c r="K153" s="193">
        <f>'Ozone-Energy'!J146</f>
        <v>15400</v>
      </c>
      <c r="L153" s="43">
        <f t="shared" si="23"/>
        <v>15.4</v>
      </c>
      <c r="M153" s="43">
        <f>'Ozone-Energy'!L146</f>
        <v>30800000</v>
      </c>
      <c r="N153" s="179">
        <f>'Ozone-Energy'!M146</f>
        <v>30.8</v>
      </c>
      <c r="O153" s="43">
        <f>'Ozone-Energy'!N146</f>
        <v>1200</v>
      </c>
      <c r="P153" s="180">
        <f t="shared" si="25"/>
        <v>4.32</v>
      </c>
      <c r="Q153" s="181">
        <f t="shared" si="19"/>
        <v>35.672640000000001</v>
      </c>
      <c r="R153" s="43">
        <f>'Ozone-Energy'!Q146</f>
        <v>0</v>
      </c>
      <c r="S153" s="43">
        <f>'Ozone-Energy'!R146</f>
        <v>0</v>
      </c>
      <c r="T153" s="43">
        <f>'Ozone-Energy'!S146</f>
        <v>0</v>
      </c>
      <c r="U153" s="43"/>
      <c r="V153" s="43"/>
      <c r="W153">
        <f>'Ozone-Energy'!V146</f>
        <v>0</v>
      </c>
      <c r="X153">
        <f>'Ozone-Energy'!W146</f>
        <v>0</v>
      </c>
      <c r="Y153">
        <f>'Ozone-Energy'!X146</f>
        <v>0</v>
      </c>
      <c r="Z153">
        <f>'Ozone-Energy'!Y146</f>
        <v>0</v>
      </c>
      <c r="AA153" s="43"/>
    </row>
    <row r="154" spans="3:27" ht="15">
      <c r="C154">
        <v>137</v>
      </c>
      <c r="D154" s="359">
        <v>0</v>
      </c>
      <c r="E154" s="211">
        <f t="shared" si="22"/>
        <v>0</v>
      </c>
      <c r="F154" s="211">
        <f>'Studio Rain System'!L159</f>
        <v>13.835000000000001</v>
      </c>
      <c r="G154" s="211">
        <f>'Studio Rain System'!M159</f>
        <v>0.745</v>
      </c>
      <c r="H154" s="206">
        <f>'Flow Rate'!$W$27</f>
        <v>464206.53322409093</v>
      </c>
      <c r="I154" s="178">
        <f>'Ozone-Energy'!H147</f>
        <v>0</v>
      </c>
      <c r="J154" s="128">
        <f t="shared" si="24"/>
        <v>0</v>
      </c>
      <c r="K154" s="193">
        <f>'Ozone-Energy'!J147</f>
        <v>0</v>
      </c>
      <c r="L154" s="43">
        <f t="shared" si="23"/>
        <v>0</v>
      </c>
      <c r="M154" s="43">
        <f>'Ozone-Energy'!L147</f>
        <v>0</v>
      </c>
      <c r="N154" s="179">
        <f>'Ozone-Energy'!M147</f>
        <v>0</v>
      </c>
      <c r="O154" s="43">
        <f>'Ozone-Energy'!N147</f>
        <v>1200</v>
      </c>
      <c r="P154" s="180">
        <f t="shared" si="25"/>
        <v>4.32</v>
      </c>
      <c r="Q154" s="181">
        <f t="shared" si="19"/>
        <v>4.32</v>
      </c>
      <c r="R154" s="43">
        <f>'Ozone-Energy'!Q147</f>
        <v>0</v>
      </c>
      <c r="S154" s="43">
        <f>'Ozone-Energy'!R147</f>
        <v>0</v>
      </c>
      <c r="T154" s="43">
        <f>'Ozone-Energy'!S147</f>
        <v>0</v>
      </c>
      <c r="U154" s="43"/>
      <c r="V154" s="43"/>
      <c r="W154">
        <f>'Ozone-Energy'!V147</f>
        <v>0</v>
      </c>
      <c r="X154">
        <f>'Ozone-Energy'!W147</f>
        <v>0</v>
      </c>
      <c r="Y154">
        <f>'Ozone-Energy'!X147</f>
        <v>0</v>
      </c>
      <c r="Z154">
        <f>'Ozone-Energy'!Y147</f>
        <v>0</v>
      </c>
      <c r="AA154" s="43"/>
    </row>
    <row r="155" spans="3:27" ht="15">
      <c r="C155">
        <v>138</v>
      </c>
      <c r="D155" s="359">
        <v>0</v>
      </c>
      <c r="E155" s="211">
        <f t="shared" si="22"/>
        <v>0</v>
      </c>
      <c r="F155" s="211">
        <f>'Studio Rain System'!L160</f>
        <v>13.090000000000002</v>
      </c>
      <c r="G155" s="211">
        <f>'Studio Rain System'!M160</f>
        <v>0.745</v>
      </c>
      <c r="H155" s="206">
        <f>'Flow Rate'!$W$27</f>
        <v>464206.53322409093</v>
      </c>
      <c r="I155" s="178">
        <f>'Ozone-Energy'!H148</f>
        <v>0</v>
      </c>
      <c r="J155" s="128">
        <f t="shared" si="24"/>
        <v>0</v>
      </c>
      <c r="K155" s="193">
        <f>'Ozone-Energy'!J148</f>
        <v>0</v>
      </c>
      <c r="L155" s="43">
        <f t="shared" si="23"/>
        <v>0</v>
      </c>
      <c r="M155" s="43">
        <f>'Ozone-Energy'!L148</f>
        <v>0</v>
      </c>
      <c r="N155" s="179">
        <f>'Ozone-Energy'!M148</f>
        <v>0</v>
      </c>
      <c r="O155" s="43">
        <f>'Ozone-Energy'!N148</f>
        <v>1200</v>
      </c>
      <c r="P155" s="180">
        <f t="shared" si="25"/>
        <v>4.32</v>
      </c>
      <c r="Q155" s="181">
        <f t="shared" si="19"/>
        <v>4.32</v>
      </c>
      <c r="R155" s="43">
        <f>'Ozone-Energy'!Q148</f>
        <v>0</v>
      </c>
      <c r="S155" s="43">
        <f>'Ozone-Energy'!R148</f>
        <v>0</v>
      </c>
      <c r="T155" s="43">
        <f>'Ozone-Energy'!S148</f>
        <v>0</v>
      </c>
      <c r="U155" s="43"/>
      <c r="V155" s="43"/>
      <c r="W155">
        <f>'Ozone-Energy'!V148</f>
        <v>0</v>
      </c>
      <c r="X155">
        <f>'Ozone-Energy'!W148</f>
        <v>0</v>
      </c>
      <c r="Y155">
        <f>'Ozone-Energy'!X148</f>
        <v>0</v>
      </c>
      <c r="Z155">
        <f>'Ozone-Energy'!Y148</f>
        <v>0</v>
      </c>
      <c r="AA155" s="43"/>
    </row>
    <row r="156" spans="3:27" ht="15">
      <c r="C156">
        <v>139</v>
      </c>
      <c r="D156" s="359">
        <v>0</v>
      </c>
      <c r="E156" s="211">
        <f t="shared" si="22"/>
        <v>0</v>
      </c>
      <c r="F156" s="211">
        <f>'Studio Rain System'!L161</f>
        <v>12.345000000000002</v>
      </c>
      <c r="G156" s="211">
        <f>'Studio Rain System'!M161</f>
        <v>0.745</v>
      </c>
      <c r="H156" s="206">
        <f>'Flow Rate'!$W$27</f>
        <v>464206.53322409093</v>
      </c>
      <c r="I156" s="178">
        <f>'Ozone-Energy'!H149</f>
        <v>0</v>
      </c>
      <c r="J156" s="128">
        <f t="shared" si="24"/>
        <v>0</v>
      </c>
      <c r="K156" s="193">
        <f>'Ozone-Energy'!J149</f>
        <v>0</v>
      </c>
      <c r="L156" s="43">
        <f t="shared" si="23"/>
        <v>0</v>
      </c>
      <c r="M156" s="43">
        <f>'Ozone-Energy'!L149</f>
        <v>0</v>
      </c>
      <c r="N156" s="179">
        <f>'Ozone-Energy'!M149</f>
        <v>0</v>
      </c>
      <c r="O156" s="43">
        <f>'Ozone-Energy'!N149</f>
        <v>1200</v>
      </c>
      <c r="P156" s="180">
        <f t="shared" si="25"/>
        <v>4.32</v>
      </c>
      <c r="Q156" s="181">
        <f t="shared" si="19"/>
        <v>4.32</v>
      </c>
      <c r="R156" s="43">
        <f>'Ozone-Energy'!Q149</f>
        <v>0</v>
      </c>
      <c r="S156" s="43">
        <f>'Ozone-Energy'!R149</f>
        <v>0</v>
      </c>
      <c r="T156" s="43">
        <f>'Ozone-Energy'!S149</f>
        <v>0</v>
      </c>
      <c r="U156" s="43"/>
      <c r="V156" s="43"/>
      <c r="W156">
        <f>'Ozone-Energy'!V149</f>
        <v>0</v>
      </c>
      <c r="X156">
        <f>'Ozone-Energy'!W149</f>
        <v>0</v>
      </c>
      <c r="Y156">
        <f>'Ozone-Energy'!X149</f>
        <v>0</v>
      </c>
      <c r="Z156">
        <f>'Ozone-Energy'!Y149</f>
        <v>0</v>
      </c>
      <c r="AA156" s="43"/>
    </row>
    <row r="157" spans="3:27" ht="15">
      <c r="C157">
        <v>140</v>
      </c>
      <c r="D157" s="359">
        <v>0</v>
      </c>
      <c r="E157" s="211">
        <f t="shared" si="22"/>
        <v>0</v>
      </c>
      <c r="F157" s="211">
        <f>'Studio Rain System'!L162</f>
        <v>11.600000000000003</v>
      </c>
      <c r="G157" s="211">
        <f>'Studio Rain System'!M162</f>
        <v>0.745</v>
      </c>
      <c r="H157" s="206">
        <f>'Flow Rate'!$W$27</f>
        <v>464206.53322409093</v>
      </c>
      <c r="I157" s="178">
        <f>'Ozone-Energy'!H150</f>
        <v>0</v>
      </c>
      <c r="J157" s="128">
        <f t="shared" si="24"/>
        <v>0</v>
      </c>
      <c r="K157" s="193">
        <f>'Ozone-Energy'!J150</f>
        <v>0</v>
      </c>
      <c r="L157" s="43">
        <f t="shared" si="23"/>
        <v>0</v>
      </c>
      <c r="M157" s="43">
        <f>'Ozone-Energy'!L150</f>
        <v>0</v>
      </c>
      <c r="N157" s="179">
        <f>'Ozone-Energy'!M150</f>
        <v>0</v>
      </c>
      <c r="O157" s="43">
        <f>'Ozone-Energy'!N150</f>
        <v>1200</v>
      </c>
      <c r="P157" s="180">
        <f t="shared" si="25"/>
        <v>4.32</v>
      </c>
      <c r="Q157" s="181">
        <f t="shared" si="19"/>
        <v>4.32</v>
      </c>
      <c r="R157" s="43">
        <f>'Ozone-Energy'!Q150</f>
        <v>0</v>
      </c>
      <c r="S157" s="43">
        <f>'Ozone-Energy'!R150</f>
        <v>0</v>
      </c>
      <c r="T157" s="43">
        <f>'Ozone-Energy'!S150</f>
        <v>0</v>
      </c>
      <c r="U157" s="43"/>
      <c r="V157" s="43"/>
      <c r="W157">
        <f>'Ozone-Energy'!V150</f>
        <v>0</v>
      </c>
      <c r="X157">
        <f>'Ozone-Energy'!W150</f>
        <v>0</v>
      </c>
      <c r="Y157">
        <f>'Ozone-Energy'!X150</f>
        <v>0</v>
      </c>
      <c r="Z157">
        <f>'Ozone-Energy'!Y150</f>
        <v>0</v>
      </c>
      <c r="AA157" s="43"/>
    </row>
    <row r="158" spans="3:27" ht="15">
      <c r="C158">
        <v>141</v>
      </c>
      <c r="D158" s="359">
        <v>8.1999999999999993</v>
      </c>
      <c r="E158" s="211">
        <f t="shared" si="22"/>
        <v>9.02</v>
      </c>
      <c r="F158" s="211">
        <f>'Studio Rain System'!L163</f>
        <v>19.875000000000004</v>
      </c>
      <c r="G158" s="211">
        <f>'Studio Rain System'!M163</f>
        <v>0.745</v>
      </c>
      <c r="H158" s="206">
        <f>'Flow Rate'!$W$27</f>
        <v>464206.53322409093</v>
      </c>
      <c r="I158" s="178">
        <f>'Ozone-Energy'!H151</f>
        <v>1618445.7142857143</v>
      </c>
      <c r="J158" s="128">
        <f t="shared" si="24"/>
        <v>1.6184457142857143</v>
      </c>
      <c r="K158" s="193">
        <f>'Ozone-Energy'!J151</f>
        <v>45100</v>
      </c>
      <c r="L158" s="43">
        <f t="shared" si="23"/>
        <v>45.1</v>
      </c>
      <c r="M158" s="43">
        <f>'Ozone-Energy'!L151</f>
        <v>90200000</v>
      </c>
      <c r="N158" s="179">
        <f>'Ozone-Energy'!M151</f>
        <v>90.2</v>
      </c>
      <c r="O158" s="43">
        <f>'Ozone-Energy'!N151</f>
        <v>1200</v>
      </c>
      <c r="P158" s="180">
        <f xml:space="preserve"> O158 * 3600 / 1000000</f>
        <v>4.32</v>
      </c>
      <c r="Q158" s="181">
        <f t="shared" si="19"/>
        <v>96.138445714285723</v>
      </c>
      <c r="R158" s="43">
        <f>'Ozone-Energy'!Q151</f>
        <v>0</v>
      </c>
      <c r="S158" s="43">
        <f>'Ozone-Energy'!R151</f>
        <v>0</v>
      </c>
      <c r="T158" s="43">
        <f>'Ozone-Energy'!S151</f>
        <v>0</v>
      </c>
      <c r="U158" s="43"/>
      <c r="V158" s="43"/>
      <c r="W158">
        <f>'Ozone-Energy'!V151</f>
        <v>0</v>
      </c>
      <c r="X158">
        <f>'Ozone-Energy'!W151</f>
        <v>0</v>
      </c>
      <c r="Y158">
        <f>'Ozone-Energy'!X151</f>
        <v>0</v>
      </c>
      <c r="Z158">
        <f>'Ozone-Energy'!Y151</f>
        <v>0</v>
      </c>
      <c r="AA158" s="43"/>
    </row>
    <row r="159" spans="3:27" ht="15">
      <c r="C159">
        <v>142</v>
      </c>
      <c r="D159" s="359">
        <v>29.6</v>
      </c>
      <c r="E159" s="211">
        <f t="shared" si="22"/>
        <v>32.56</v>
      </c>
      <c r="F159" s="211">
        <f>'Studio Rain System'!L164</f>
        <v>20</v>
      </c>
      <c r="G159" s="211">
        <f>'Studio Rain System'!M164</f>
        <v>0.745</v>
      </c>
      <c r="H159" s="206">
        <f>'Flow Rate'!$W$27</f>
        <v>464206.53322409093</v>
      </c>
      <c r="I159" s="178">
        <f>'Ozone-Energy'!H152</f>
        <v>5842194.2857142864</v>
      </c>
      <c r="J159" s="128">
        <f t="shared" si="24"/>
        <v>5.8421942857142861</v>
      </c>
      <c r="K159" s="193">
        <f>'Ozone-Energy'!J152</f>
        <v>162800.00000000003</v>
      </c>
      <c r="L159" s="43">
        <f t="shared" si="23"/>
        <v>162.80000000000004</v>
      </c>
      <c r="M159" s="43">
        <f>'Ozone-Energy'!L152</f>
        <v>325600000.00000006</v>
      </c>
      <c r="N159" s="179">
        <f>'Ozone-Energy'!M152</f>
        <v>325.60000000000008</v>
      </c>
      <c r="O159" s="43">
        <f>'Ozone-Energy'!N152</f>
        <v>1200</v>
      </c>
      <c r="P159" s="180">
        <f t="shared" ref="P159:P167" si="26">O159 * 3600 / 1000000</f>
        <v>4.32</v>
      </c>
      <c r="Q159" s="181">
        <f t="shared" si="19"/>
        <v>335.76219428571437</v>
      </c>
      <c r="R159" s="43">
        <f>'Ozone-Energy'!Q152</f>
        <v>0</v>
      </c>
      <c r="S159" s="43">
        <f>'Ozone-Energy'!R152</f>
        <v>0</v>
      </c>
      <c r="T159" s="43">
        <f>'Ozone-Energy'!S152</f>
        <v>0</v>
      </c>
      <c r="U159" s="43"/>
      <c r="V159" s="43"/>
      <c r="W159">
        <f>'Ozone-Energy'!V152</f>
        <v>0</v>
      </c>
      <c r="X159">
        <f>'Ozone-Energy'!W152</f>
        <v>0</v>
      </c>
      <c r="Y159">
        <f>'Ozone-Energy'!X152</f>
        <v>0</v>
      </c>
      <c r="Z159">
        <f>'Ozone-Energy'!Y152</f>
        <v>0</v>
      </c>
      <c r="AA159" s="43"/>
    </row>
    <row r="160" spans="3:27" ht="15">
      <c r="C160">
        <v>143</v>
      </c>
      <c r="D160" s="359">
        <v>0.8</v>
      </c>
      <c r="E160" s="211">
        <f t="shared" si="22"/>
        <v>0.88</v>
      </c>
      <c r="F160" s="211">
        <f>'Studio Rain System'!L165</f>
        <v>20</v>
      </c>
      <c r="G160" s="211">
        <f>'Studio Rain System'!M165</f>
        <v>0.745</v>
      </c>
      <c r="H160" s="206">
        <f>'Flow Rate'!$W$27</f>
        <v>464206.53322409093</v>
      </c>
      <c r="I160" s="178">
        <f>'Ozone-Energy'!H153</f>
        <v>157897.14285714287</v>
      </c>
      <c r="J160" s="128">
        <f t="shared" si="24"/>
        <v>0.15789714285714287</v>
      </c>
      <c r="K160" s="193">
        <f>'Ozone-Energy'!J153</f>
        <v>4400</v>
      </c>
      <c r="L160" s="43">
        <f t="shared" si="23"/>
        <v>4.4000000000000004</v>
      </c>
      <c r="M160" s="43">
        <f>'Ozone-Energy'!L153</f>
        <v>8800000</v>
      </c>
      <c r="N160" s="179">
        <f>'Ozone-Energy'!M153</f>
        <v>8.8000000000000007</v>
      </c>
      <c r="O160" s="43">
        <f>'Ozone-Energy'!N153</f>
        <v>1200</v>
      </c>
      <c r="P160" s="180">
        <f t="shared" si="26"/>
        <v>4.32</v>
      </c>
      <c r="Q160" s="181">
        <f t="shared" si="19"/>
        <v>13.277897142857144</v>
      </c>
      <c r="R160" s="43">
        <f>'Ozone-Energy'!Q153</f>
        <v>0</v>
      </c>
      <c r="S160" s="43">
        <f>'Ozone-Energy'!R153</f>
        <v>0</v>
      </c>
      <c r="T160" s="43">
        <f>'Ozone-Energy'!S153</f>
        <v>0</v>
      </c>
      <c r="U160" s="43"/>
      <c r="V160" s="43"/>
      <c r="W160">
        <f>'Ozone-Energy'!V153</f>
        <v>0</v>
      </c>
      <c r="X160">
        <f>'Ozone-Energy'!W153</f>
        <v>0</v>
      </c>
      <c r="Y160">
        <f>'Ozone-Energy'!X153</f>
        <v>0</v>
      </c>
      <c r="Z160">
        <f>'Ozone-Energy'!Y153</f>
        <v>0</v>
      </c>
      <c r="AA160" s="43"/>
    </row>
    <row r="161" spans="3:27" ht="15">
      <c r="C161">
        <v>144</v>
      </c>
      <c r="D161" s="359">
        <v>5.2</v>
      </c>
      <c r="E161" s="211">
        <f t="shared" si="22"/>
        <v>5.72</v>
      </c>
      <c r="F161" s="211">
        <f>'Studio Rain System'!L166</f>
        <v>20</v>
      </c>
      <c r="G161" s="211">
        <f>'Studio Rain System'!M166</f>
        <v>0.745</v>
      </c>
      <c r="H161" s="206">
        <f>'Flow Rate'!$W$27</f>
        <v>464206.53322409093</v>
      </c>
      <c r="I161" s="178">
        <f>'Ozone-Energy'!H154</f>
        <v>1026331.4285714286</v>
      </c>
      <c r="J161" s="128">
        <f t="shared" si="24"/>
        <v>1.0263314285714287</v>
      </c>
      <c r="K161" s="193">
        <f>'Ozone-Energy'!J154</f>
        <v>28600</v>
      </c>
      <c r="L161" s="43">
        <f t="shared" si="23"/>
        <v>28.6</v>
      </c>
      <c r="M161" s="43">
        <f>'Ozone-Energy'!L154</f>
        <v>57200000</v>
      </c>
      <c r="N161" s="179">
        <f>'Ozone-Energy'!M154</f>
        <v>57.2</v>
      </c>
      <c r="O161" s="43">
        <f>'Ozone-Energy'!N154</f>
        <v>1200</v>
      </c>
      <c r="P161" s="180">
        <f t="shared" si="26"/>
        <v>4.32</v>
      </c>
      <c r="Q161" s="181">
        <f t="shared" si="19"/>
        <v>62.546331428571435</v>
      </c>
      <c r="R161" s="43">
        <f>'Ozone-Energy'!Q154</f>
        <v>0</v>
      </c>
      <c r="S161" s="43">
        <f>'Ozone-Energy'!R154</f>
        <v>0</v>
      </c>
      <c r="T161" s="43">
        <f>'Ozone-Energy'!S154</f>
        <v>0</v>
      </c>
      <c r="U161" s="43"/>
      <c r="V161" s="43"/>
      <c r="W161">
        <f>'Ozone-Energy'!V154</f>
        <v>0</v>
      </c>
      <c r="X161">
        <f>'Ozone-Energy'!W154</f>
        <v>0</v>
      </c>
      <c r="Y161">
        <f>'Ozone-Energy'!X154</f>
        <v>0</v>
      </c>
      <c r="Z161">
        <f>'Ozone-Energy'!Y154</f>
        <v>0</v>
      </c>
      <c r="AA161" s="43"/>
    </row>
    <row r="162" spans="3:27" ht="15">
      <c r="C162">
        <v>145</v>
      </c>
      <c r="D162" s="359">
        <v>23.4</v>
      </c>
      <c r="E162" s="211">
        <f t="shared" si="22"/>
        <v>25.74</v>
      </c>
      <c r="F162" s="211">
        <f>'Studio Rain System'!L167</f>
        <v>20</v>
      </c>
      <c r="G162" s="211">
        <f>'Studio Rain System'!M167</f>
        <v>0.745</v>
      </c>
      <c r="H162" s="206">
        <f>'Flow Rate'!$W$27</f>
        <v>464206.53322409093</v>
      </c>
      <c r="I162" s="178">
        <f>'Ozone-Energy'!H155</f>
        <v>4618491.4285714291</v>
      </c>
      <c r="J162" s="128">
        <f t="shared" si="24"/>
        <v>4.6184914285714287</v>
      </c>
      <c r="K162" s="193">
        <f>'Ozone-Energy'!J155</f>
        <v>128700</v>
      </c>
      <c r="L162" s="43">
        <f t="shared" si="23"/>
        <v>128.69999999999999</v>
      </c>
      <c r="M162" s="43">
        <f>'Ozone-Energy'!L155</f>
        <v>257399999.99999997</v>
      </c>
      <c r="N162" s="179">
        <f>'Ozone-Energy'!M155</f>
        <v>257.39999999999998</v>
      </c>
      <c r="O162" s="43">
        <f>'Ozone-Energy'!N155</f>
        <v>1200</v>
      </c>
      <c r="P162" s="180">
        <f t="shared" si="26"/>
        <v>4.32</v>
      </c>
      <c r="Q162" s="181">
        <f t="shared" si="19"/>
        <v>266.33849142857139</v>
      </c>
      <c r="R162" s="43">
        <f>'Ozone-Energy'!Q155</f>
        <v>0</v>
      </c>
      <c r="S162" s="43">
        <f>'Ozone-Energy'!R155</f>
        <v>0</v>
      </c>
      <c r="T162" s="43">
        <f>'Ozone-Energy'!S155</f>
        <v>0</v>
      </c>
      <c r="U162" s="43"/>
      <c r="V162" s="43"/>
      <c r="W162">
        <f>'Ozone-Energy'!V155</f>
        <v>0</v>
      </c>
      <c r="X162">
        <f>'Ozone-Energy'!W155</f>
        <v>0</v>
      </c>
      <c r="Y162">
        <f>'Ozone-Energy'!X155</f>
        <v>0</v>
      </c>
      <c r="Z162">
        <f>'Ozone-Energy'!Y155</f>
        <v>0</v>
      </c>
      <c r="AA162" s="43"/>
    </row>
    <row r="163" spans="3:27" ht="15">
      <c r="C163">
        <v>146</v>
      </c>
      <c r="D163" s="359">
        <v>0</v>
      </c>
      <c r="E163" s="211">
        <f t="shared" si="22"/>
        <v>0</v>
      </c>
      <c r="F163" s="211">
        <f>'Studio Rain System'!L168</f>
        <v>19.254999999999999</v>
      </c>
      <c r="G163" s="211">
        <f>'Studio Rain System'!M168</f>
        <v>0.745</v>
      </c>
      <c r="H163" s="206">
        <f>'Flow Rate'!$W$27</f>
        <v>464206.53322409093</v>
      </c>
      <c r="I163" s="178">
        <f>'Ozone-Energy'!H156</f>
        <v>0</v>
      </c>
      <c r="J163" s="128">
        <f t="shared" si="24"/>
        <v>0</v>
      </c>
      <c r="K163" s="193">
        <f>'Ozone-Energy'!J156</f>
        <v>0</v>
      </c>
      <c r="L163" s="43">
        <f t="shared" si="23"/>
        <v>0</v>
      </c>
      <c r="M163" s="43">
        <f>'Ozone-Energy'!L156</f>
        <v>0</v>
      </c>
      <c r="N163" s="179">
        <f>'Ozone-Energy'!M156</f>
        <v>0</v>
      </c>
      <c r="O163" s="43">
        <f>'Ozone-Energy'!N156</f>
        <v>1200</v>
      </c>
      <c r="P163" s="180">
        <f t="shared" si="26"/>
        <v>4.32</v>
      </c>
      <c r="Q163" s="181">
        <f t="shared" si="19"/>
        <v>4.32</v>
      </c>
      <c r="R163" s="43">
        <f>'Ozone-Energy'!Q156</f>
        <v>0</v>
      </c>
      <c r="S163" s="43">
        <f>'Ozone-Energy'!R156</f>
        <v>0</v>
      </c>
      <c r="T163" s="43">
        <f>'Ozone-Energy'!S156</f>
        <v>0</v>
      </c>
      <c r="U163" s="43"/>
      <c r="V163" s="43"/>
      <c r="W163">
        <f>'Ozone-Energy'!V156</f>
        <v>0</v>
      </c>
      <c r="X163">
        <f>'Ozone-Energy'!W156</f>
        <v>0</v>
      </c>
      <c r="Y163">
        <f>'Ozone-Energy'!X156</f>
        <v>0</v>
      </c>
      <c r="Z163">
        <f>'Ozone-Energy'!Y156</f>
        <v>0</v>
      </c>
      <c r="AA163" s="43"/>
    </row>
    <row r="164" spans="3:27" ht="15">
      <c r="C164">
        <v>147</v>
      </c>
      <c r="D164" s="359">
        <v>4.4000000000000004</v>
      </c>
      <c r="E164" s="211">
        <f t="shared" si="22"/>
        <v>4.84</v>
      </c>
      <c r="F164" s="211">
        <f>'Studio Rain System'!L169</f>
        <v>20</v>
      </c>
      <c r="G164" s="211">
        <f>'Studio Rain System'!M169</f>
        <v>0.745</v>
      </c>
      <c r="H164" s="206">
        <f>'Flow Rate'!$W$27</f>
        <v>464206.53322409093</v>
      </c>
      <c r="I164" s="178">
        <f>'Ozone-Energy'!H157</f>
        <v>868434.2857142858</v>
      </c>
      <c r="J164" s="128">
        <f t="shared" si="24"/>
        <v>0.86843428571428571</v>
      </c>
      <c r="K164" s="193">
        <f>'Ozone-Energy'!J157</f>
        <v>24200</v>
      </c>
      <c r="L164" s="43">
        <f t="shared" si="23"/>
        <v>24.2</v>
      </c>
      <c r="M164" s="43">
        <f>'Ozone-Energy'!L157</f>
        <v>48400000</v>
      </c>
      <c r="N164" s="179">
        <f>'Ozone-Energy'!M157</f>
        <v>48.4</v>
      </c>
      <c r="O164" s="43">
        <f>'Ozone-Energy'!N157</f>
        <v>1200</v>
      </c>
      <c r="P164" s="180">
        <f t="shared" si="26"/>
        <v>4.32</v>
      </c>
      <c r="Q164" s="181">
        <f t="shared" si="19"/>
        <v>53.588434285714285</v>
      </c>
      <c r="R164" s="43">
        <f>'Ozone-Energy'!Q157</f>
        <v>0</v>
      </c>
      <c r="S164" s="43">
        <f>'Ozone-Energy'!R157</f>
        <v>0</v>
      </c>
      <c r="T164" s="43">
        <f>'Ozone-Energy'!S157</f>
        <v>0</v>
      </c>
      <c r="U164" s="43"/>
      <c r="V164" s="43"/>
      <c r="W164">
        <f>'Ozone-Energy'!V157</f>
        <v>0</v>
      </c>
      <c r="X164">
        <f>'Ozone-Energy'!W157</f>
        <v>0</v>
      </c>
      <c r="Y164">
        <f>'Ozone-Energy'!X157</f>
        <v>0</v>
      </c>
      <c r="Z164">
        <f>'Ozone-Energy'!Y157</f>
        <v>0</v>
      </c>
      <c r="AA164" s="43"/>
    </row>
    <row r="165" spans="3:27" ht="15">
      <c r="C165">
        <v>148</v>
      </c>
      <c r="D165" s="359">
        <v>0</v>
      </c>
      <c r="E165" s="211">
        <f t="shared" si="22"/>
        <v>0</v>
      </c>
      <c r="F165" s="211">
        <f>'Studio Rain System'!L170</f>
        <v>19.254999999999999</v>
      </c>
      <c r="G165" s="211">
        <f>'Studio Rain System'!M170</f>
        <v>0.745</v>
      </c>
      <c r="H165" s="206">
        <f>'Flow Rate'!$W$27</f>
        <v>464206.53322409093</v>
      </c>
      <c r="I165" s="178">
        <f>'Ozone-Energy'!H158</f>
        <v>0</v>
      </c>
      <c r="J165" s="128">
        <f t="shared" si="24"/>
        <v>0</v>
      </c>
      <c r="K165" s="193">
        <f>'Ozone-Energy'!J158</f>
        <v>0</v>
      </c>
      <c r="L165" s="43">
        <f t="shared" si="23"/>
        <v>0</v>
      </c>
      <c r="M165" s="43">
        <f>'Ozone-Energy'!L158</f>
        <v>0</v>
      </c>
      <c r="N165" s="179">
        <f>'Ozone-Energy'!M158</f>
        <v>0</v>
      </c>
      <c r="O165" s="43">
        <f>'Ozone-Energy'!N158</f>
        <v>1200</v>
      </c>
      <c r="P165" s="180">
        <f t="shared" si="26"/>
        <v>4.32</v>
      </c>
      <c r="Q165" s="181">
        <f t="shared" si="19"/>
        <v>4.32</v>
      </c>
      <c r="R165" s="43">
        <f>'Ozone-Energy'!Q158</f>
        <v>0</v>
      </c>
      <c r="S165" s="43">
        <f>'Ozone-Energy'!R158</f>
        <v>0</v>
      </c>
      <c r="T165" s="43">
        <f>'Ozone-Energy'!S158</f>
        <v>0</v>
      </c>
      <c r="U165" s="43"/>
      <c r="V165" s="43"/>
      <c r="W165">
        <f>'Ozone-Energy'!V158</f>
        <v>0</v>
      </c>
      <c r="X165">
        <f>'Ozone-Energy'!W158</f>
        <v>0</v>
      </c>
      <c r="Y165">
        <f>'Ozone-Energy'!X158</f>
        <v>0</v>
      </c>
      <c r="Z165">
        <f>'Ozone-Energy'!Y158</f>
        <v>0</v>
      </c>
      <c r="AA165" s="43"/>
    </row>
    <row r="166" spans="3:27" ht="15">
      <c r="C166">
        <v>149</v>
      </c>
      <c r="D166" s="359">
        <v>0</v>
      </c>
      <c r="E166" s="211">
        <f t="shared" si="22"/>
        <v>0</v>
      </c>
      <c r="F166" s="211">
        <f>'Studio Rain System'!L171</f>
        <v>18.509999999999998</v>
      </c>
      <c r="G166" s="211">
        <f>'Studio Rain System'!M171</f>
        <v>0.745</v>
      </c>
      <c r="H166" s="206">
        <f>'Flow Rate'!$W$27</f>
        <v>464206.53322409093</v>
      </c>
      <c r="I166" s="178">
        <f>'Ozone-Energy'!H159</f>
        <v>0</v>
      </c>
      <c r="J166" s="128">
        <f t="shared" si="24"/>
        <v>0</v>
      </c>
      <c r="K166" s="193">
        <f>'Ozone-Energy'!J159</f>
        <v>0</v>
      </c>
      <c r="L166" s="43">
        <f t="shared" si="23"/>
        <v>0</v>
      </c>
      <c r="M166" s="43">
        <f>'Ozone-Energy'!L159</f>
        <v>0</v>
      </c>
      <c r="N166" s="179">
        <f>'Ozone-Energy'!M159</f>
        <v>0</v>
      </c>
      <c r="O166" s="43">
        <f>'Ozone-Energy'!N159</f>
        <v>1200</v>
      </c>
      <c r="P166" s="180">
        <f t="shared" si="26"/>
        <v>4.32</v>
      </c>
      <c r="Q166" s="181">
        <f t="shared" si="19"/>
        <v>4.32</v>
      </c>
      <c r="R166" s="43">
        <f>'Ozone-Energy'!Q159</f>
        <v>0</v>
      </c>
      <c r="S166" s="43">
        <f>'Ozone-Energy'!R159</f>
        <v>0</v>
      </c>
      <c r="T166" s="43">
        <f>'Ozone-Energy'!S159</f>
        <v>0</v>
      </c>
      <c r="U166" s="43"/>
      <c r="V166" s="43"/>
      <c r="W166">
        <f>'Ozone-Energy'!V159</f>
        <v>0</v>
      </c>
      <c r="X166">
        <f>'Ozone-Energy'!W159</f>
        <v>0</v>
      </c>
      <c r="Y166">
        <f>'Ozone-Energy'!X159</f>
        <v>0</v>
      </c>
      <c r="Z166">
        <f>'Ozone-Energy'!Y159</f>
        <v>0</v>
      </c>
      <c r="AA166" s="43"/>
    </row>
    <row r="167" spans="3:27" ht="15">
      <c r="C167">
        <v>150</v>
      </c>
      <c r="D167" s="359">
        <v>0</v>
      </c>
      <c r="E167" s="211">
        <f t="shared" si="22"/>
        <v>0</v>
      </c>
      <c r="F167" s="211">
        <f>'Studio Rain System'!L172</f>
        <v>17.764999999999997</v>
      </c>
      <c r="G167" s="211">
        <f>'Studio Rain System'!M172</f>
        <v>0.745</v>
      </c>
      <c r="H167" s="206">
        <f>'Flow Rate'!$W$27</f>
        <v>464206.53322409093</v>
      </c>
      <c r="I167" s="178">
        <f>'Ozone-Energy'!H160</f>
        <v>0</v>
      </c>
      <c r="J167" s="128">
        <f t="shared" si="24"/>
        <v>0</v>
      </c>
      <c r="K167" s="193">
        <f>'Ozone-Energy'!J160</f>
        <v>0</v>
      </c>
      <c r="L167" s="43">
        <f t="shared" si="23"/>
        <v>0</v>
      </c>
      <c r="M167" s="43">
        <f>'Ozone-Energy'!L160</f>
        <v>0</v>
      </c>
      <c r="N167" s="179">
        <f>'Ozone-Energy'!M160</f>
        <v>0</v>
      </c>
      <c r="O167" s="43">
        <f>'Ozone-Energy'!N160</f>
        <v>1200</v>
      </c>
      <c r="P167" s="180">
        <f t="shared" si="26"/>
        <v>4.32</v>
      </c>
      <c r="Q167" s="181">
        <f t="shared" si="19"/>
        <v>4.32</v>
      </c>
      <c r="R167" s="43">
        <f>'Ozone-Energy'!Q160</f>
        <v>0</v>
      </c>
      <c r="S167" s="43">
        <f>'Ozone-Energy'!R160</f>
        <v>0</v>
      </c>
      <c r="T167" s="43">
        <f>'Ozone-Energy'!S160</f>
        <v>0</v>
      </c>
      <c r="U167" s="43"/>
      <c r="V167" s="43"/>
      <c r="W167">
        <f>'Ozone-Energy'!V160</f>
        <v>0</v>
      </c>
      <c r="X167">
        <f>'Ozone-Energy'!W160</f>
        <v>0</v>
      </c>
      <c r="Y167">
        <f>'Ozone-Energy'!X160</f>
        <v>0</v>
      </c>
      <c r="Z167">
        <f>'Ozone-Energy'!Y160</f>
        <v>0</v>
      </c>
      <c r="AA167" s="43"/>
    </row>
    <row r="168" spans="3:27" ht="15">
      <c r="C168">
        <v>151</v>
      </c>
      <c r="D168" s="359">
        <v>0</v>
      </c>
      <c r="E168" s="211">
        <f t="shared" si="22"/>
        <v>0</v>
      </c>
      <c r="F168" s="211">
        <f>'Studio Rain System'!L173</f>
        <v>17.019999999999996</v>
      </c>
      <c r="G168" s="211">
        <f>'Studio Rain System'!M173</f>
        <v>0.745</v>
      </c>
      <c r="H168" s="206">
        <f>'Flow Rate'!$W$27</f>
        <v>464206.53322409093</v>
      </c>
      <c r="I168" s="178">
        <f>'Ozone-Energy'!H161</f>
        <v>0</v>
      </c>
      <c r="J168" s="128">
        <f t="shared" si="24"/>
        <v>0</v>
      </c>
      <c r="K168" s="193">
        <f>'Ozone-Energy'!J161</f>
        <v>0</v>
      </c>
      <c r="L168" s="43">
        <f t="shared" si="23"/>
        <v>0</v>
      </c>
      <c r="M168" s="43">
        <f>'Ozone-Energy'!L161</f>
        <v>0</v>
      </c>
      <c r="N168" s="179">
        <f>'Ozone-Energy'!M161</f>
        <v>0</v>
      </c>
      <c r="O168" s="43">
        <f>'Ozone-Energy'!N161</f>
        <v>1200</v>
      </c>
      <c r="P168" s="180">
        <f xml:space="preserve"> O168 * 3600 / 1000000</f>
        <v>4.32</v>
      </c>
      <c r="Q168" s="181">
        <f t="shared" si="19"/>
        <v>4.32</v>
      </c>
      <c r="R168" s="43">
        <f>'Ozone-Energy'!Q161</f>
        <v>0</v>
      </c>
      <c r="S168" s="43">
        <f>'Ozone-Energy'!R161</f>
        <v>0</v>
      </c>
      <c r="T168" s="43">
        <f>'Ozone-Energy'!S161</f>
        <v>0</v>
      </c>
      <c r="U168" s="43"/>
      <c r="V168" s="43"/>
      <c r="W168">
        <f>'Ozone-Energy'!V161</f>
        <v>0</v>
      </c>
      <c r="X168">
        <f>'Ozone-Energy'!W161</f>
        <v>0</v>
      </c>
      <c r="Y168">
        <f>'Ozone-Energy'!X161</f>
        <v>0</v>
      </c>
      <c r="Z168">
        <f>'Ozone-Energy'!Y161</f>
        <v>0</v>
      </c>
      <c r="AA168" s="43"/>
    </row>
    <row r="169" spans="3:27" ht="15">
      <c r="C169">
        <v>152</v>
      </c>
      <c r="D169" s="359">
        <v>0</v>
      </c>
      <c r="E169" s="211">
        <f t="shared" si="22"/>
        <v>0</v>
      </c>
      <c r="F169" s="211">
        <f>'Studio Rain System'!L174</f>
        <v>16.274999999999995</v>
      </c>
      <c r="G169" s="211">
        <f>'Studio Rain System'!M174</f>
        <v>0.745</v>
      </c>
      <c r="H169" s="206">
        <f>'Flow Rate'!$W$27</f>
        <v>464206.53322409093</v>
      </c>
      <c r="I169" s="178">
        <f>'Ozone-Energy'!H162</f>
        <v>0</v>
      </c>
      <c r="J169" s="128">
        <f t="shared" si="24"/>
        <v>0</v>
      </c>
      <c r="K169" s="193">
        <f>'Ozone-Energy'!J162</f>
        <v>0</v>
      </c>
      <c r="L169" s="43">
        <f t="shared" si="23"/>
        <v>0</v>
      </c>
      <c r="M169" s="43">
        <f>'Ozone-Energy'!L162</f>
        <v>0</v>
      </c>
      <c r="N169" s="179">
        <f>'Ozone-Energy'!M162</f>
        <v>0</v>
      </c>
      <c r="O169" s="43">
        <f>'Ozone-Energy'!N162</f>
        <v>1200</v>
      </c>
      <c r="P169" s="180">
        <f t="shared" ref="P169:P177" si="27">O169 * 3600 / 1000000</f>
        <v>4.32</v>
      </c>
      <c r="Q169" s="181">
        <f t="shared" si="19"/>
        <v>4.32</v>
      </c>
      <c r="R169" s="43">
        <f>'Ozone-Energy'!Q162</f>
        <v>0</v>
      </c>
      <c r="S169" s="43">
        <f>'Ozone-Energy'!R162</f>
        <v>0</v>
      </c>
      <c r="T169" s="43">
        <f>'Ozone-Energy'!S162</f>
        <v>0</v>
      </c>
      <c r="U169" s="43"/>
      <c r="V169" s="43"/>
      <c r="W169">
        <f>'Ozone-Energy'!V162</f>
        <v>0</v>
      </c>
      <c r="X169">
        <f>'Ozone-Energy'!W162</f>
        <v>0</v>
      </c>
      <c r="Y169">
        <f>'Ozone-Energy'!X162</f>
        <v>0</v>
      </c>
      <c r="Z169">
        <f>'Ozone-Energy'!Y162</f>
        <v>0</v>
      </c>
      <c r="AA169" s="43"/>
    </row>
    <row r="170" spans="3:27" ht="15">
      <c r="C170">
        <v>153</v>
      </c>
      <c r="D170" s="359">
        <v>0</v>
      </c>
      <c r="E170" s="211">
        <f t="shared" si="22"/>
        <v>0</v>
      </c>
      <c r="F170" s="211">
        <f>'Studio Rain System'!L175</f>
        <v>15.529999999999996</v>
      </c>
      <c r="G170" s="211">
        <f>'Studio Rain System'!M175</f>
        <v>0.745</v>
      </c>
      <c r="H170" s="206">
        <f>'Flow Rate'!$W$27</f>
        <v>464206.53322409093</v>
      </c>
      <c r="I170" s="178">
        <f>'Ozone-Energy'!H163</f>
        <v>0</v>
      </c>
      <c r="J170" s="128">
        <f t="shared" si="24"/>
        <v>0</v>
      </c>
      <c r="K170" s="193">
        <f>'Ozone-Energy'!J163</f>
        <v>0</v>
      </c>
      <c r="L170" s="43">
        <f t="shared" si="23"/>
        <v>0</v>
      </c>
      <c r="M170" s="43">
        <f>'Ozone-Energy'!L163</f>
        <v>0</v>
      </c>
      <c r="N170" s="179">
        <f>'Ozone-Energy'!M163</f>
        <v>0</v>
      </c>
      <c r="O170" s="43">
        <f>'Ozone-Energy'!N163</f>
        <v>1200</v>
      </c>
      <c r="P170" s="180">
        <f t="shared" si="27"/>
        <v>4.32</v>
      </c>
      <c r="Q170" s="181">
        <f t="shared" si="19"/>
        <v>4.32</v>
      </c>
      <c r="R170" s="43">
        <f>'Ozone-Energy'!Q163</f>
        <v>0</v>
      </c>
      <c r="S170" s="43">
        <f>'Ozone-Energy'!R163</f>
        <v>0</v>
      </c>
      <c r="T170" s="43">
        <f>'Ozone-Energy'!S163</f>
        <v>0</v>
      </c>
      <c r="U170" s="43"/>
      <c r="V170" s="43"/>
      <c r="W170">
        <f>'Ozone-Energy'!V163</f>
        <v>0</v>
      </c>
      <c r="X170">
        <f>'Ozone-Energy'!W163</f>
        <v>0</v>
      </c>
      <c r="Y170">
        <f>'Ozone-Energy'!X163</f>
        <v>0</v>
      </c>
      <c r="Z170">
        <f>'Ozone-Energy'!Y163</f>
        <v>0</v>
      </c>
      <c r="AA170" s="43"/>
    </row>
    <row r="171" spans="3:27" ht="15">
      <c r="C171">
        <v>154</v>
      </c>
      <c r="D171" s="359">
        <v>0</v>
      </c>
      <c r="E171" s="211">
        <f t="shared" si="22"/>
        <v>0</v>
      </c>
      <c r="F171" s="211">
        <f>'Studio Rain System'!L176</f>
        <v>14.784999999999997</v>
      </c>
      <c r="G171" s="211">
        <f>'Studio Rain System'!M176</f>
        <v>0.745</v>
      </c>
      <c r="H171" s="206">
        <f>'Flow Rate'!$W$27</f>
        <v>464206.53322409093</v>
      </c>
      <c r="I171" s="178">
        <f>'Ozone-Energy'!H164</f>
        <v>0</v>
      </c>
      <c r="J171" s="128">
        <f t="shared" si="24"/>
        <v>0</v>
      </c>
      <c r="K171" s="193">
        <f>'Ozone-Energy'!J164</f>
        <v>0</v>
      </c>
      <c r="L171" s="43">
        <f t="shared" si="23"/>
        <v>0</v>
      </c>
      <c r="M171" s="43">
        <f>'Ozone-Energy'!L164</f>
        <v>0</v>
      </c>
      <c r="N171" s="179">
        <f>'Ozone-Energy'!M164</f>
        <v>0</v>
      </c>
      <c r="O171" s="43">
        <f>'Ozone-Energy'!N164</f>
        <v>1200</v>
      </c>
      <c r="P171" s="180">
        <f t="shared" si="27"/>
        <v>4.32</v>
      </c>
      <c r="Q171" s="181">
        <f t="shared" si="19"/>
        <v>4.32</v>
      </c>
      <c r="R171" s="43">
        <f>'Ozone-Energy'!Q164</f>
        <v>0</v>
      </c>
      <c r="S171" s="43">
        <f>'Ozone-Energy'!R164</f>
        <v>0</v>
      </c>
      <c r="T171" s="43">
        <f>'Ozone-Energy'!S164</f>
        <v>0</v>
      </c>
      <c r="U171" s="43"/>
      <c r="V171" s="43"/>
      <c r="W171">
        <f>'Ozone-Energy'!V164</f>
        <v>0</v>
      </c>
      <c r="X171">
        <f>'Ozone-Energy'!W164</f>
        <v>0</v>
      </c>
      <c r="Y171">
        <f>'Ozone-Energy'!X164</f>
        <v>0</v>
      </c>
      <c r="Z171">
        <f>'Ozone-Energy'!Y164</f>
        <v>0</v>
      </c>
      <c r="AA171" s="43"/>
    </row>
    <row r="172" spans="3:27" ht="15">
      <c r="C172">
        <v>155</v>
      </c>
      <c r="D172" s="359">
        <v>0</v>
      </c>
      <c r="E172" s="211">
        <f t="shared" si="22"/>
        <v>0</v>
      </c>
      <c r="F172" s="211">
        <f>'Studio Rain System'!L177</f>
        <v>14.039999999999997</v>
      </c>
      <c r="G172" s="211">
        <f>'Studio Rain System'!M177</f>
        <v>0.745</v>
      </c>
      <c r="H172" s="206">
        <f>'Flow Rate'!$W$27</f>
        <v>464206.53322409093</v>
      </c>
      <c r="I172" s="178">
        <f>'Ozone-Energy'!H165</f>
        <v>0</v>
      </c>
      <c r="J172" s="128">
        <f t="shared" si="24"/>
        <v>0</v>
      </c>
      <c r="K172" s="193">
        <f>'Ozone-Energy'!J165</f>
        <v>0</v>
      </c>
      <c r="L172" s="43">
        <f t="shared" si="23"/>
        <v>0</v>
      </c>
      <c r="M172" s="43">
        <f>'Ozone-Energy'!L165</f>
        <v>0</v>
      </c>
      <c r="N172" s="179">
        <f>'Ozone-Energy'!M165</f>
        <v>0</v>
      </c>
      <c r="O172" s="43">
        <f>'Ozone-Energy'!N165</f>
        <v>1200</v>
      </c>
      <c r="P172" s="180">
        <f t="shared" si="27"/>
        <v>4.32</v>
      </c>
      <c r="Q172" s="181">
        <f t="shared" si="19"/>
        <v>4.32</v>
      </c>
      <c r="R172" s="43">
        <f>'Ozone-Energy'!Q165</f>
        <v>0</v>
      </c>
      <c r="S172" s="43">
        <f>'Ozone-Energy'!R165</f>
        <v>0</v>
      </c>
      <c r="T172" s="43">
        <f>'Ozone-Energy'!S165</f>
        <v>0</v>
      </c>
      <c r="U172" s="43"/>
      <c r="V172" s="43"/>
      <c r="W172">
        <f>'Ozone-Energy'!V165</f>
        <v>0</v>
      </c>
      <c r="X172">
        <f>'Ozone-Energy'!W165</f>
        <v>0</v>
      </c>
      <c r="Y172">
        <f>'Ozone-Energy'!X165</f>
        <v>0</v>
      </c>
      <c r="Z172">
        <f>'Ozone-Energy'!Y165</f>
        <v>0</v>
      </c>
      <c r="AA172" s="43"/>
    </row>
    <row r="173" spans="3:27" ht="15">
      <c r="C173">
        <v>156</v>
      </c>
      <c r="D173" s="359">
        <v>0</v>
      </c>
      <c r="E173" s="211">
        <f t="shared" si="22"/>
        <v>0</v>
      </c>
      <c r="F173" s="211">
        <f>'Studio Rain System'!L178</f>
        <v>13.294999999999998</v>
      </c>
      <c r="G173" s="211">
        <f>'Studio Rain System'!M178</f>
        <v>0.745</v>
      </c>
      <c r="H173" s="206">
        <f>'Flow Rate'!$W$27</f>
        <v>464206.53322409093</v>
      </c>
      <c r="I173" s="178">
        <f>'Ozone-Energy'!H166</f>
        <v>0</v>
      </c>
      <c r="J173" s="128">
        <f t="shared" si="24"/>
        <v>0</v>
      </c>
      <c r="K173" s="193">
        <f>'Ozone-Energy'!J166</f>
        <v>0</v>
      </c>
      <c r="L173" s="43">
        <f t="shared" si="23"/>
        <v>0</v>
      </c>
      <c r="M173" s="43">
        <f>'Ozone-Energy'!L166</f>
        <v>0</v>
      </c>
      <c r="N173" s="179">
        <f>'Ozone-Energy'!M166</f>
        <v>0</v>
      </c>
      <c r="O173" s="43">
        <f>'Ozone-Energy'!N166</f>
        <v>1200</v>
      </c>
      <c r="P173" s="180">
        <f t="shared" si="27"/>
        <v>4.32</v>
      </c>
      <c r="Q173" s="181">
        <f t="shared" si="19"/>
        <v>4.32</v>
      </c>
      <c r="R173" s="43">
        <f>'Ozone-Energy'!Q166</f>
        <v>0</v>
      </c>
      <c r="S173" s="43">
        <f>'Ozone-Energy'!R166</f>
        <v>0</v>
      </c>
      <c r="T173" s="43">
        <f>'Ozone-Energy'!S166</f>
        <v>0</v>
      </c>
      <c r="U173" s="43"/>
      <c r="V173" s="43"/>
      <c r="W173">
        <f>'Ozone-Energy'!V166</f>
        <v>0</v>
      </c>
      <c r="X173">
        <f>'Ozone-Energy'!W166</f>
        <v>0</v>
      </c>
      <c r="Y173">
        <f>'Ozone-Energy'!X166</f>
        <v>0</v>
      </c>
      <c r="Z173">
        <f>'Ozone-Energy'!Y166</f>
        <v>0</v>
      </c>
      <c r="AA173" s="43"/>
    </row>
    <row r="174" spans="3:27" ht="15">
      <c r="C174">
        <v>157</v>
      </c>
      <c r="D174" s="359">
        <v>0</v>
      </c>
      <c r="E174" s="211">
        <f t="shared" si="22"/>
        <v>0</v>
      </c>
      <c r="F174" s="211">
        <f>'Studio Rain System'!L179</f>
        <v>12.549999999999999</v>
      </c>
      <c r="G174" s="211">
        <f>'Studio Rain System'!M179</f>
        <v>0.745</v>
      </c>
      <c r="H174" s="206">
        <f>'Flow Rate'!$W$27</f>
        <v>464206.53322409093</v>
      </c>
      <c r="I174" s="178">
        <f>'Ozone-Energy'!H167</f>
        <v>0</v>
      </c>
      <c r="J174" s="128">
        <f t="shared" si="24"/>
        <v>0</v>
      </c>
      <c r="K174" s="193">
        <f>'Ozone-Energy'!J167</f>
        <v>0</v>
      </c>
      <c r="L174" s="43">
        <f t="shared" si="23"/>
        <v>0</v>
      </c>
      <c r="M174" s="43">
        <f>'Ozone-Energy'!L167</f>
        <v>0</v>
      </c>
      <c r="N174" s="179">
        <f>'Ozone-Energy'!M167</f>
        <v>0</v>
      </c>
      <c r="O174" s="43">
        <f>'Ozone-Energy'!N167</f>
        <v>1200</v>
      </c>
      <c r="P174" s="180">
        <f t="shared" si="27"/>
        <v>4.32</v>
      </c>
      <c r="Q174" s="181">
        <f t="shared" si="19"/>
        <v>4.32</v>
      </c>
      <c r="R174" s="43">
        <f>'Ozone-Energy'!Q167</f>
        <v>0</v>
      </c>
      <c r="S174" s="43">
        <f>'Ozone-Energy'!R167</f>
        <v>0</v>
      </c>
      <c r="T174" s="43">
        <f>'Ozone-Energy'!S167</f>
        <v>0</v>
      </c>
      <c r="U174" s="43"/>
      <c r="V174" s="43"/>
      <c r="W174">
        <f>'Ozone-Energy'!V167</f>
        <v>0</v>
      </c>
      <c r="X174">
        <f>'Ozone-Energy'!W167</f>
        <v>0</v>
      </c>
      <c r="Y174">
        <f>'Ozone-Energy'!X167</f>
        <v>0</v>
      </c>
      <c r="Z174">
        <f>'Ozone-Energy'!Y167</f>
        <v>0</v>
      </c>
      <c r="AA174" s="43"/>
    </row>
    <row r="175" spans="3:27" ht="15">
      <c r="C175">
        <v>158</v>
      </c>
      <c r="D175" s="359">
        <v>0</v>
      </c>
      <c r="E175" s="211">
        <f t="shared" si="22"/>
        <v>0</v>
      </c>
      <c r="F175" s="211">
        <f>'Studio Rain System'!L180</f>
        <v>11.805</v>
      </c>
      <c r="G175" s="211">
        <f>'Studio Rain System'!M180</f>
        <v>0.745</v>
      </c>
      <c r="H175" s="206">
        <f>'Flow Rate'!$W$27</f>
        <v>464206.53322409093</v>
      </c>
      <c r="I175" s="178">
        <f>'Ozone-Energy'!H168</f>
        <v>0</v>
      </c>
      <c r="J175" s="128">
        <f t="shared" si="24"/>
        <v>0</v>
      </c>
      <c r="K175" s="193">
        <f>'Ozone-Energy'!J168</f>
        <v>0</v>
      </c>
      <c r="L175" s="43">
        <f t="shared" si="23"/>
        <v>0</v>
      </c>
      <c r="M175" s="43">
        <f>'Ozone-Energy'!L168</f>
        <v>0</v>
      </c>
      <c r="N175" s="179">
        <f>'Ozone-Energy'!M168</f>
        <v>0</v>
      </c>
      <c r="O175" s="43">
        <f>'Ozone-Energy'!N168</f>
        <v>1200</v>
      </c>
      <c r="P175" s="180">
        <f t="shared" si="27"/>
        <v>4.32</v>
      </c>
      <c r="Q175" s="181">
        <f t="shared" si="19"/>
        <v>4.32</v>
      </c>
      <c r="R175" s="43">
        <f>'Ozone-Energy'!Q168</f>
        <v>0</v>
      </c>
      <c r="S175" s="43">
        <f>'Ozone-Energy'!R168</f>
        <v>0</v>
      </c>
      <c r="T175" s="43">
        <f>'Ozone-Energy'!S168</f>
        <v>0</v>
      </c>
      <c r="U175" s="43"/>
      <c r="V175" s="43"/>
      <c r="W175">
        <f>'Ozone-Energy'!V168</f>
        <v>0</v>
      </c>
      <c r="X175">
        <f>'Ozone-Energy'!W168</f>
        <v>0</v>
      </c>
      <c r="Y175">
        <f>'Ozone-Energy'!X168</f>
        <v>0</v>
      </c>
      <c r="Z175">
        <f>'Ozone-Energy'!Y168</f>
        <v>0</v>
      </c>
      <c r="AA175" s="43"/>
    </row>
    <row r="176" spans="3:27" ht="15">
      <c r="C176">
        <v>159</v>
      </c>
      <c r="D176" s="359">
        <v>0.2</v>
      </c>
      <c r="E176" s="211">
        <f t="shared" si="22"/>
        <v>0.22</v>
      </c>
      <c r="F176" s="211">
        <f>'Studio Rain System'!L181</f>
        <v>11.280000000000001</v>
      </c>
      <c r="G176" s="211">
        <f>'Studio Rain System'!M181</f>
        <v>0.745</v>
      </c>
      <c r="H176" s="206">
        <f>'Flow Rate'!$W$27</f>
        <v>464206.53322409093</v>
      </c>
      <c r="I176" s="178">
        <f>'Ozone-Energy'!H169</f>
        <v>39474.285714285717</v>
      </c>
      <c r="J176" s="128">
        <f t="shared" si="24"/>
        <v>3.9474285714285719E-2</v>
      </c>
      <c r="K176" s="193">
        <f>'Ozone-Energy'!J169</f>
        <v>1100</v>
      </c>
      <c r="L176" s="43">
        <f t="shared" si="23"/>
        <v>1.1000000000000001</v>
      </c>
      <c r="M176" s="43">
        <f>'Ozone-Energy'!L169</f>
        <v>2200000</v>
      </c>
      <c r="N176" s="179">
        <f>'Ozone-Energy'!M169</f>
        <v>2.2000000000000002</v>
      </c>
      <c r="O176" s="43">
        <f>'Ozone-Energy'!N169</f>
        <v>1200</v>
      </c>
      <c r="P176" s="180">
        <f t="shared" si="27"/>
        <v>4.32</v>
      </c>
      <c r="Q176" s="181">
        <f t="shared" si="19"/>
        <v>6.5594742857142858</v>
      </c>
      <c r="R176" s="43">
        <f>'Ozone-Energy'!Q169</f>
        <v>0</v>
      </c>
      <c r="S176" s="43">
        <f>'Ozone-Energy'!R169</f>
        <v>0</v>
      </c>
      <c r="T176" s="43">
        <f>'Ozone-Energy'!S169</f>
        <v>0</v>
      </c>
      <c r="U176" s="43"/>
      <c r="V176" s="43"/>
      <c r="W176">
        <f>'Ozone-Energy'!V169</f>
        <v>0</v>
      </c>
      <c r="X176">
        <f>'Ozone-Energy'!W169</f>
        <v>0</v>
      </c>
      <c r="Y176">
        <f>'Ozone-Energy'!X169</f>
        <v>0</v>
      </c>
      <c r="Z176">
        <f>'Ozone-Energy'!Y169</f>
        <v>0</v>
      </c>
      <c r="AA176" s="43"/>
    </row>
    <row r="177" spans="3:27" ht="15">
      <c r="C177">
        <v>160</v>
      </c>
      <c r="D177" s="359">
        <v>0</v>
      </c>
      <c r="E177" s="211">
        <f t="shared" si="22"/>
        <v>0</v>
      </c>
      <c r="F177" s="211">
        <f>'Studio Rain System'!L182</f>
        <v>10.535000000000002</v>
      </c>
      <c r="G177" s="211">
        <f>'Studio Rain System'!M182</f>
        <v>0.745</v>
      </c>
      <c r="H177" s="206">
        <f>'Flow Rate'!$W$27</f>
        <v>464206.53322409093</v>
      </c>
      <c r="I177" s="178">
        <f>'Ozone-Energy'!H170</f>
        <v>0</v>
      </c>
      <c r="J177" s="128">
        <f t="shared" si="24"/>
        <v>0</v>
      </c>
      <c r="K177" s="193">
        <f>'Ozone-Energy'!J170</f>
        <v>0</v>
      </c>
      <c r="L177" s="43">
        <f t="shared" si="23"/>
        <v>0</v>
      </c>
      <c r="M177" s="43">
        <f>'Ozone-Energy'!L170</f>
        <v>0</v>
      </c>
      <c r="N177" s="179">
        <f>'Ozone-Energy'!M170</f>
        <v>0</v>
      </c>
      <c r="O177" s="43">
        <f>'Ozone-Energy'!N170</f>
        <v>1200</v>
      </c>
      <c r="P177" s="180">
        <f t="shared" si="27"/>
        <v>4.32</v>
      </c>
      <c r="Q177" s="181">
        <f t="shared" si="19"/>
        <v>4.32</v>
      </c>
      <c r="R177" s="43">
        <f>'Ozone-Energy'!Q170</f>
        <v>0</v>
      </c>
      <c r="S177" s="43">
        <f>'Ozone-Energy'!R170</f>
        <v>0</v>
      </c>
      <c r="T177" s="43">
        <f>'Ozone-Energy'!S170</f>
        <v>0</v>
      </c>
      <c r="U177" s="43"/>
      <c r="V177" s="43"/>
      <c r="W177">
        <f>'Ozone-Energy'!V170</f>
        <v>0</v>
      </c>
      <c r="X177">
        <f>'Ozone-Energy'!W170</f>
        <v>0</v>
      </c>
      <c r="Y177">
        <f>'Ozone-Energy'!X170</f>
        <v>0</v>
      </c>
      <c r="Z177">
        <f>'Ozone-Energy'!Y170</f>
        <v>0</v>
      </c>
      <c r="AA177" s="43"/>
    </row>
    <row r="178" spans="3:27" ht="15">
      <c r="C178">
        <v>161</v>
      </c>
      <c r="D178" s="359">
        <v>0</v>
      </c>
      <c r="E178" s="211">
        <f t="shared" si="22"/>
        <v>0</v>
      </c>
      <c r="F178" s="211">
        <f>'Studio Rain System'!L183</f>
        <v>9.7900000000000027</v>
      </c>
      <c r="G178" s="211">
        <f>'Studio Rain System'!M183</f>
        <v>0.745</v>
      </c>
      <c r="H178" s="206">
        <f>'Flow Rate'!$W$27</f>
        <v>464206.53322409093</v>
      </c>
      <c r="I178" s="178">
        <f>'Ozone-Energy'!H171</f>
        <v>0</v>
      </c>
      <c r="J178" s="128">
        <f t="shared" si="24"/>
        <v>0</v>
      </c>
      <c r="K178" s="193">
        <f>'Ozone-Energy'!J171</f>
        <v>0</v>
      </c>
      <c r="L178" s="43">
        <f t="shared" si="23"/>
        <v>0</v>
      </c>
      <c r="M178" s="43">
        <f>'Ozone-Energy'!L171</f>
        <v>0</v>
      </c>
      <c r="N178" s="179">
        <f>'Ozone-Energy'!M171</f>
        <v>0</v>
      </c>
      <c r="O178" s="43">
        <f>'Ozone-Energy'!N171</f>
        <v>1200</v>
      </c>
      <c r="P178" s="180">
        <f xml:space="preserve"> O178 * 3600 / 1000000</f>
        <v>4.32</v>
      </c>
      <c r="Q178" s="181">
        <f t="shared" si="19"/>
        <v>4.32</v>
      </c>
      <c r="R178" s="43">
        <f>'Ozone-Energy'!Q171</f>
        <v>0</v>
      </c>
      <c r="S178" s="43">
        <f>'Ozone-Energy'!R171</f>
        <v>0</v>
      </c>
      <c r="T178" s="43">
        <f>'Ozone-Energy'!S171</f>
        <v>0</v>
      </c>
      <c r="U178" s="43"/>
      <c r="V178" s="43"/>
      <c r="W178">
        <f>'Ozone-Energy'!V171</f>
        <v>0</v>
      </c>
      <c r="X178">
        <f>'Ozone-Energy'!W171</f>
        <v>0</v>
      </c>
      <c r="Y178">
        <f>'Ozone-Energy'!X171</f>
        <v>0</v>
      </c>
      <c r="Z178">
        <f>'Ozone-Energy'!Y171</f>
        <v>0</v>
      </c>
      <c r="AA178" s="43"/>
    </row>
    <row r="179" spans="3:27" ht="15">
      <c r="C179">
        <v>162</v>
      </c>
      <c r="D179" s="359">
        <v>0</v>
      </c>
      <c r="E179" s="211">
        <f t="shared" si="22"/>
        <v>0</v>
      </c>
      <c r="F179" s="211">
        <f>'Studio Rain System'!L184</f>
        <v>9.0450000000000035</v>
      </c>
      <c r="G179" s="211">
        <f>'Studio Rain System'!M184</f>
        <v>0.745</v>
      </c>
      <c r="H179" s="206">
        <f>'Flow Rate'!$W$27</f>
        <v>464206.53322409093</v>
      </c>
      <c r="I179" s="178">
        <f>'Ozone-Energy'!H172</f>
        <v>0</v>
      </c>
      <c r="J179" s="128">
        <f t="shared" si="24"/>
        <v>0</v>
      </c>
      <c r="K179" s="193">
        <f>'Ozone-Energy'!J172</f>
        <v>0</v>
      </c>
      <c r="L179" s="43">
        <f t="shared" si="23"/>
        <v>0</v>
      </c>
      <c r="M179" s="43">
        <f>'Ozone-Energy'!L172</f>
        <v>0</v>
      </c>
      <c r="N179" s="179">
        <f>'Ozone-Energy'!M172</f>
        <v>0</v>
      </c>
      <c r="O179" s="43">
        <f>'Ozone-Energy'!N172</f>
        <v>1200</v>
      </c>
      <c r="P179" s="180">
        <f t="shared" ref="P179:P187" si="28">O179 * 3600 / 1000000</f>
        <v>4.32</v>
      </c>
      <c r="Q179" s="181">
        <f t="shared" si="19"/>
        <v>4.32</v>
      </c>
      <c r="R179" s="43">
        <f>'Ozone-Energy'!Q172</f>
        <v>0</v>
      </c>
      <c r="S179" s="43">
        <f>'Ozone-Energy'!R172</f>
        <v>0</v>
      </c>
      <c r="T179" s="43">
        <f>'Ozone-Energy'!S172</f>
        <v>0</v>
      </c>
      <c r="U179" s="43"/>
      <c r="V179" s="43"/>
      <c r="W179">
        <f>'Ozone-Energy'!V172</f>
        <v>0</v>
      </c>
      <c r="X179">
        <f>'Ozone-Energy'!W172</f>
        <v>0</v>
      </c>
      <c r="Y179">
        <f>'Ozone-Energy'!X172</f>
        <v>0</v>
      </c>
      <c r="Z179">
        <f>'Ozone-Energy'!Y172</f>
        <v>0</v>
      </c>
      <c r="AA179" s="43"/>
    </row>
    <row r="180" spans="3:27" ht="15">
      <c r="C180">
        <v>163</v>
      </c>
      <c r="D180" s="359">
        <v>0</v>
      </c>
      <c r="E180" s="211">
        <f t="shared" si="22"/>
        <v>0</v>
      </c>
      <c r="F180" s="211">
        <f>'Studio Rain System'!L185</f>
        <v>8.3000000000000043</v>
      </c>
      <c r="G180" s="211">
        <f>'Studio Rain System'!M185</f>
        <v>0.745</v>
      </c>
      <c r="H180" s="206">
        <f>'Flow Rate'!$W$27</f>
        <v>464206.53322409093</v>
      </c>
      <c r="I180" s="178">
        <f>'Ozone-Energy'!H173</f>
        <v>0</v>
      </c>
      <c r="J180" s="128">
        <f t="shared" si="24"/>
        <v>0</v>
      </c>
      <c r="K180" s="193">
        <f>'Ozone-Energy'!J173</f>
        <v>0</v>
      </c>
      <c r="L180" s="43">
        <f t="shared" si="23"/>
        <v>0</v>
      </c>
      <c r="M180" s="43">
        <f>'Ozone-Energy'!L173</f>
        <v>0</v>
      </c>
      <c r="N180" s="179">
        <f>'Ozone-Energy'!M173</f>
        <v>0</v>
      </c>
      <c r="O180" s="43">
        <f>'Ozone-Energy'!N173</f>
        <v>1200</v>
      </c>
      <c r="P180" s="180">
        <f t="shared" si="28"/>
        <v>4.32</v>
      </c>
      <c r="Q180" s="181">
        <f t="shared" si="19"/>
        <v>4.32</v>
      </c>
      <c r="R180" s="43">
        <f>'Ozone-Energy'!Q173</f>
        <v>0</v>
      </c>
      <c r="S180" s="43">
        <f>'Ozone-Energy'!R173</f>
        <v>0</v>
      </c>
      <c r="T180" s="43">
        <f>'Ozone-Energy'!S173</f>
        <v>0</v>
      </c>
      <c r="U180" s="43"/>
      <c r="V180" s="43"/>
      <c r="W180">
        <f>'Ozone-Energy'!V173</f>
        <v>0</v>
      </c>
      <c r="X180">
        <f>'Ozone-Energy'!W173</f>
        <v>0</v>
      </c>
      <c r="Y180">
        <f>'Ozone-Energy'!X173</f>
        <v>0</v>
      </c>
      <c r="Z180">
        <f>'Ozone-Energy'!Y173</f>
        <v>0</v>
      </c>
      <c r="AA180" s="43"/>
    </row>
    <row r="181" spans="3:27" ht="15">
      <c r="C181">
        <v>164</v>
      </c>
      <c r="D181" s="359">
        <v>0</v>
      </c>
      <c r="E181" s="211">
        <f t="shared" si="22"/>
        <v>0</v>
      </c>
      <c r="F181" s="211">
        <f>'Studio Rain System'!L186</f>
        <v>7.5550000000000042</v>
      </c>
      <c r="G181" s="211">
        <f>'Studio Rain System'!M186</f>
        <v>0.745</v>
      </c>
      <c r="H181" s="206">
        <f>'Flow Rate'!$W$27</f>
        <v>464206.53322409093</v>
      </c>
      <c r="I181" s="178">
        <f>'Ozone-Energy'!H174</f>
        <v>0</v>
      </c>
      <c r="J181" s="128">
        <f t="shared" si="24"/>
        <v>0</v>
      </c>
      <c r="K181" s="193">
        <f>'Ozone-Energy'!J174</f>
        <v>0</v>
      </c>
      <c r="L181" s="43">
        <f t="shared" si="23"/>
        <v>0</v>
      </c>
      <c r="M181" s="43">
        <f>'Ozone-Energy'!L174</f>
        <v>0</v>
      </c>
      <c r="N181" s="179">
        <f>'Ozone-Energy'!M174</f>
        <v>0</v>
      </c>
      <c r="O181" s="43">
        <f>'Ozone-Energy'!N174</f>
        <v>1200</v>
      </c>
      <c r="P181" s="180">
        <f t="shared" si="28"/>
        <v>4.32</v>
      </c>
      <c r="Q181" s="181">
        <f t="shared" si="19"/>
        <v>4.32</v>
      </c>
      <c r="R181" s="43">
        <f>'Ozone-Energy'!Q174</f>
        <v>0</v>
      </c>
      <c r="S181" s="43">
        <f>'Ozone-Energy'!R174</f>
        <v>0</v>
      </c>
      <c r="T181" s="43">
        <f>'Ozone-Energy'!S174</f>
        <v>0</v>
      </c>
      <c r="U181" s="43"/>
      <c r="V181" s="43"/>
      <c r="W181">
        <f>'Ozone-Energy'!V174</f>
        <v>0</v>
      </c>
      <c r="X181">
        <f>'Ozone-Energy'!W174</f>
        <v>0</v>
      </c>
      <c r="Y181">
        <f>'Ozone-Energy'!X174</f>
        <v>0</v>
      </c>
      <c r="Z181">
        <f>'Ozone-Energy'!Y174</f>
        <v>0</v>
      </c>
      <c r="AA181" s="43"/>
    </row>
    <row r="182" spans="3:27" ht="15">
      <c r="C182">
        <v>165</v>
      </c>
      <c r="D182" s="359">
        <v>3.6</v>
      </c>
      <c r="E182" s="211">
        <f t="shared" si="22"/>
        <v>3.96</v>
      </c>
      <c r="F182" s="211">
        <f>'Studio Rain System'!L187</f>
        <v>10.770000000000005</v>
      </c>
      <c r="G182" s="211">
        <f>'Studio Rain System'!M187</f>
        <v>0.745</v>
      </c>
      <c r="H182" s="206">
        <f>'Flow Rate'!$W$27</f>
        <v>464206.53322409093</v>
      </c>
      <c r="I182" s="178">
        <f>'Ozone-Energy'!H175</f>
        <v>710537.14285714296</v>
      </c>
      <c r="J182" s="128">
        <f t="shared" si="24"/>
        <v>0.71053714285714298</v>
      </c>
      <c r="K182" s="193">
        <f>'Ozone-Energy'!J175</f>
        <v>19800</v>
      </c>
      <c r="L182" s="43">
        <f t="shared" si="23"/>
        <v>19.8</v>
      </c>
      <c r="M182" s="43">
        <f>'Ozone-Energy'!L175</f>
        <v>39600000</v>
      </c>
      <c r="N182" s="179">
        <f>'Ozone-Energy'!M175</f>
        <v>39.6</v>
      </c>
      <c r="O182" s="43">
        <f>'Ozone-Energy'!N175</f>
        <v>1200</v>
      </c>
      <c r="P182" s="180">
        <f t="shared" si="28"/>
        <v>4.32</v>
      </c>
      <c r="Q182" s="181">
        <f t="shared" si="19"/>
        <v>44.630537142857143</v>
      </c>
      <c r="R182" s="43">
        <f>'Ozone-Energy'!Q175</f>
        <v>0</v>
      </c>
      <c r="S182" s="43">
        <f>'Ozone-Energy'!R175</f>
        <v>0</v>
      </c>
      <c r="T182" s="43">
        <f>'Ozone-Energy'!S175</f>
        <v>0</v>
      </c>
      <c r="U182" s="43"/>
      <c r="V182" s="43"/>
      <c r="W182">
        <f>'Ozone-Energy'!V175</f>
        <v>0</v>
      </c>
      <c r="X182">
        <f>'Ozone-Energy'!W175</f>
        <v>0</v>
      </c>
      <c r="Y182">
        <f>'Ozone-Energy'!X175</f>
        <v>0</v>
      </c>
      <c r="Z182">
        <f>'Ozone-Energy'!Y175</f>
        <v>0</v>
      </c>
      <c r="AA182" s="43"/>
    </row>
    <row r="183" spans="3:27" ht="15">
      <c r="C183">
        <v>166</v>
      </c>
      <c r="D183" s="359">
        <v>0</v>
      </c>
      <c r="E183" s="211">
        <f t="shared" si="22"/>
        <v>0</v>
      </c>
      <c r="F183" s="211">
        <f>'Studio Rain System'!L188</f>
        <v>10.025000000000006</v>
      </c>
      <c r="G183" s="211">
        <f>'Studio Rain System'!M188</f>
        <v>0.745</v>
      </c>
      <c r="H183" s="206">
        <f>'Flow Rate'!$W$27</f>
        <v>464206.53322409093</v>
      </c>
      <c r="I183" s="178">
        <f>'Ozone-Energy'!H176</f>
        <v>0</v>
      </c>
      <c r="J183" s="128">
        <f t="shared" si="24"/>
        <v>0</v>
      </c>
      <c r="K183" s="193">
        <f>'Ozone-Energy'!J176</f>
        <v>0</v>
      </c>
      <c r="L183" s="43">
        <f t="shared" si="23"/>
        <v>0</v>
      </c>
      <c r="M183" s="43">
        <f>'Ozone-Energy'!L176</f>
        <v>0</v>
      </c>
      <c r="N183" s="179">
        <f>'Ozone-Energy'!M176</f>
        <v>0</v>
      </c>
      <c r="O183" s="43">
        <f>'Ozone-Energy'!N176</f>
        <v>1200</v>
      </c>
      <c r="P183" s="180">
        <f t="shared" si="28"/>
        <v>4.32</v>
      </c>
      <c r="Q183" s="181">
        <f t="shared" si="19"/>
        <v>4.32</v>
      </c>
      <c r="R183" s="43">
        <f>'Ozone-Energy'!Q176</f>
        <v>0</v>
      </c>
      <c r="S183" s="43">
        <f>'Ozone-Energy'!R176</f>
        <v>0</v>
      </c>
      <c r="T183" s="43">
        <f>'Ozone-Energy'!S176</f>
        <v>0</v>
      </c>
      <c r="U183" s="43"/>
      <c r="V183" s="43"/>
      <c r="W183">
        <f>'Ozone-Energy'!V176</f>
        <v>0</v>
      </c>
      <c r="X183">
        <f>'Ozone-Energy'!W176</f>
        <v>0</v>
      </c>
      <c r="Y183">
        <f>'Ozone-Energy'!X176</f>
        <v>0</v>
      </c>
      <c r="Z183">
        <f>'Ozone-Energy'!Y176</f>
        <v>0</v>
      </c>
      <c r="AA183" s="43"/>
    </row>
    <row r="184" spans="3:27" ht="15">
      <c r="C184">
        <v>167</v>
      </c>
      <c r="D184" s="359">
        <v>0</v>
      </c>
      <c r="E184" s="211">
        <f t="shared" si="22"/>
        <v>0</v>
      </c>
      <c r="F184" s="211">
        <f>'Studio Rain System'!L189</f>
        <v>9.2800000000000065</v>
      </c>
      <c r="G184" s="211">
        <f>'Studio Rain System'!M189</f>
        <v>0.745</v>
      </c>
      <c r="H184" s="206">
        <f>'Flow Rate'!$W$27</f>
        <v>464206.53322409093</v>
      </c>
      <c r="I184" s="178">
        <f>'Ozone-Energy'!H177</f>
        <v>0</v>
      </c>
      <c r="J184" s="128">
        <f t="shared" si="24"/>
        <v>0</v>
      </c>
      <c r="K184" s="193">
        <f>'Ozone-Energy'!J177</f>
        <v>0</v>
      </c>
      <c r="L184" s="43">
        <f t="shared" si="23"/>
        <v>0</v>
      </c>
      <c r="M184" s="43">
        <f>'Ozone-Energy'!L177</f>
        <v>0</v>
      </c>
      <c r="N184" s="179">
        <f>'Ozone-Energy'!M177</f>
        <v>0</v>
      </c>
      <c r="O184" s="43">
        <f>'Ozone-Energy'!N177</f>
        <v>1200</v>
      </c>
      <c r="P184" s="180">
        <f t="shared" si="28"/>
        <v>4.32</v>
      </c>
      <c r="Q184" s="181">
        <f t="shared" si="19"/>
        <v>4.32</v>
      </c>
      <c r="R184" s="43">
        <f>'Ozone-Energy'!Q177</f>
        <v>0</v>
      </c>
      <c r="S184" s="43">
        <f>'Ozone-Energy'!R177</f>
        <v>0</v>
      </c>
      <c r="T184" s="43">
        <f>'Ozone-Energy'!S177</f>
        <v>0</v>
      </c>
      <c r="U184" s="43"/>
      <c r="V184" s="43"/>
      <c r="W184">
        <f>'Ozone-Energy'!V177</f>
        <v>0</v>
      </c>
      <c r="X184">
        <f>'Ozone-Energy'!W177</f>
        <v>0</v>
      </c>
      <c r="Y184">
        <f>'Ozone-Energy'!X177</f>
        <v>0</v>
      </c>
      <c r="Z184">
        <f>'Ozone-Energy'!Y177</f>
        <v>0</v>
      </c>
      <c r="AA184" s="43"/>
    </row>
    <row r="185" spans="3:27" ht="15">
      <c r="C185">
        <v>168</v>
      </c>
      <c r="D185" s="359">
        <v>0</v>
      </c>
      <c r="E185" s="211">
        <f t="shared" si="22"/>
        <v>0</v>
      </c>
      <c r="F185" s="211">
        <f>'Studio Rain System'!L190</f>
        <v>8.5350000000000072</v>
      </c>
      <c r="G185" s="211">
        <f>'Studio Rain System'!M190</f>
        <v>0.745</v>
      </c>
      <c r="H185" s="206">
        <f>'Flow Rate'!$W$27</f>
        <v>464206.53322409093</v>
      </c>
      <c r="I185" s="178">
        <f>'Ozone-Energy'!H178</f>
        <v>0</v>
      </c>
      <c r="J185" s="128">
        <f t="shared" si="24"/>
        <v>0</v>
      </c>
      <c r="K185" s="193">
        <f>'Ozone-Energy'!J178</f>
        <v>0</v>
      </c>
      <c r="L185" s="43">
        <f t="shared" si="23"/>
        <v>0</v>
      </c>
      <c r="M185" s="43">
        <f>'Ozone-Energy'!L178</f>
        <v>0</v>
      </c>
      <c r="N185" s="179">
        <f>'Ozone-Energy'!M178</f>
        <v>0</v>
      </c>
      <c r="O185" s="43">
        <f>'Ozone-Energy'!N178</f>
        <v>1200</v>
      </c>
      <c r="P185" s="180">
        <f t="shared" si="28"/>
        <v>4.32</v>
      </c>
      <c r="Q185" s="181">
        <f t="shared" si="19"/>
        <v>4.32</v>
      </c>
      <c r="R185" s="43">
        <f>'Ozone-Energy'!Q178</f>
        <v>0</v>
      </c>
      <c r="S185" s="43">
        <f>'Ozone-Energy'!R178</f>
        <v>0</v>
      </c>
      <c r="T185" s="43">
        <f>'Ozone-Energy'!S178</f>
        <v>0</v>
      </c>
      <c r="U185" s="43"/>
      <c r="V185" s="43"/>
      <c r="W185">
        <f>'Ozone-Energy'!V178</f>
        <v>0</v>
      </c>
      <c r="X185">
        <f>'Ozone-Energy'!W178</f>
        <v>0</v>
      </c>
      <c r="Y185">
        <f>'Ozone-Energy'!X178</f>
        <v>0</v>
      </c>
      <c r="Z185">
        <f>'Ozone-Energy'!Y178</f>
        <v>0</v>
      </c>
      <c r="AA185" s="43"/>
    </row>
    <row r="186" spans="3:27" ht="15">
      <c r="C186">
        <v>169</v>
      </c>
      <c r="D186" s="359">
        <v>1.6</v>
      </c>
      <c r="E186" s="211">
        <f t="shared" si="22"/>
        <v>1.76</v>
      </c>
      <c r="F186" s="211">
        <f>'Studio Rain System'!L191</f>
        <v>9.5500000000000078</v>
      </c>
      <c r="G186" s="211">
        <f>'Studio Rain System'!M191</f>
        <v>0.745</v>
      </c>
      <c r="H186" s="206">
        <f>'Flow Rate'!$W$27</f>
        <v>464206.53322409093</v>
      </c>
      <c r="I186" s="178">
        <f>'Ozone-Energy'!H179</f>
        <v>315794.28571428574</v>
      </c>
      <c r="J186" s="128">
        <f t="shared" si="24"/>
        <v>0.31579428571428575</v>
      </c>
      <c r="K186" s="193">
        <f>'Ozone-Energy'!J179</f>
        <v>8800</v>
      </c>
      <c r="L186" s="43">
        <f t="shared" si="23"/>
        <v>8.8000000000000007</v>
      </c>
      <c r="M186" s="43">
        <f>'Ozone-Energy'!L179</f>
        <v>17600000</v>
      </c>
      <c r="N186" s="179">
        <f>'Ozone-Energy'!M179</f>
        <v>17.600000000000001</v>
      </c>
      <c r="O186" s="43">
        <f>'Ozone-Energy'!N179</f>
        <v>1200</v>
      </c>
      <c r="P186" s="180">
        <f t="shared" si="28"/>
        <v>4.32</v>
      </c>
      <c r="Q186" s="181">
        <f t="shared" si="19"/>
        <v>22.235794285714288</v>
      </c>
      <c r="R186" s="43">
        <f>'Ozone-Energy'!Q179</f>
        <v>0</v>
      </c>
      <c r="S186" s="43">
        <f>'Ozone-Energy'!R179</f>
        <v>0</v>
      </c>
      <c r="T186" s="43">
        <f>'Ozone-Energy'!S179</f>
        <v>0</v>
      </c>
      <c r="U186" s="43"/>
      <c r="V186" s="43"/>
      <c r="W186">
        <f>'Ozone-Energy'!V179</f>
        <v>0</v>
      </c>
      <c r="X186">
        <f>'Ozone-Energy'!W179</f>
        <v>0</v>
      </c>
      <c r="Y186">
        <f>'Ozone-Energy'!X179</f>
        <v>0</v>
      </c>
      <c r="Z186">
        <f>'Ozone-Energy'!Y179</f>
        <v>0</v>
      </c>
      <c r="AA186" s="43"/>
    </row>
    <row r="187" spans="3:27" ht="15">
      <c r="C187">
        <v>170</v>
      </c>
      <c r="D187" s="359">
        <v>20.8</v>
      </c>
      <c r="E187" s="211">
        <f t="shared" si="22"/>
        <v>22.88</v>
      </c>
      <c r="F187" s="211">
        <f>'Studio Rain System'!L192</f>
        <v>20</v>
      </c>
      <c r="G187" s="211">
        <f>'Studio Rain System'!M192</f>
        <v>0.745</v>
      </c>
      <c r="H187" s="206">
        <f>'Flow Rate'!$W$27</f>
        <v>464206.53322409093</v>
      </c>
      <c r="I187" s="178">
        <f>'Ozone-Energy'!H180</f>
        <v>4105325.7142857146</v>
      </c>
      <c r="J187" s="128">
        <f t="shared" si="24"/>
        <v>4.1053257142857147</v>
      </c>
      <c r="K187" s="193">
        <f>'Ozone-Energy'!J180</f>
        <v>114400</v>
      </c>
      <c r="L187" s="43">
        <f t="shared" si="23"/>
        <v>114.4</v>
      </c>
      <c r="M187" s="43">
        <f>'Ozone-Energy'!L180</f>
        <v>228800000</v>
      </c>
      <c r="N187" s="179">
        <f>'Ozone-Energy'!M180</f>
        <v>228.8</v>
      </c>
      <c r="O187" s="43">
        <f>'Ozone-Energy'!N180</f>
        <v>1200</v>
      </c>
      <c r="P187" s="180">
        <f t="shared" si="28"/>
        <v>4.32</v>
      </c>
      <c r="Q187" s="181">
        <f t="shared" ref="Q187:Q250" si="29">J187 + N187 + P187</f>
        <v>237.22532571428573</v>
      </c>
      <c r="R187" s="43">
        <f>'Ozone-Energy'!Q180</f>
        <v>0</v>
      </c>
      <c r="S187" s="43">
        <f>'Ozone-Energy'!R180</f>
        <v>0</v>
      </c>
      <c r="T187" s="43">
        <f>'Ozone-Energy'!S180</f>
        <v>0</v>
      </c>
      <c r="U187" s="43"/>
      <c r="V187" s="43"/>
      <c r="W187">
        <f>'Ozone-Energy'!V180</f>
        <v>0</v>
      </c>
      <c r="X187">
        <f>'Ozone-Energy'!W180</f>
        <v>0</v>
      </c>
      <c r="Y187">
        <f>'Ozone-Energy'!X180</f>
        <v>0</v>
      </c>
      <c r="Z187">
        <f>'Ozone-Energy'!Y180</f>
        <v>0</v>
      </c>
      <c r="AA187" s="43"/>
    </row>
    <row r="188" spans="3:27" ht="15">
      <c r="C188">
        <v>171</v>
      </c>
      <c r="D188" s="359">
        <v>3.2</v>
      </c>
      <c r="E188" s="211">
        <f t="shared" si="22"/>
        <v>3.52</v>
      </c>
      <c r="F188" s="211">
        <f>'Studio Rain System'!L193</f>
        <v>20</v>
      </c>
      <c r="G188" s="211">
        <f>'Studio Rain System'!M193</f>
        <v>0.745</v>
      </c>
      <c r="H188" s="206">
        <f>'Flow Rate'!$W$27</f>
        <v>464206.53322409093</v>
      </c>
      <c r="I188" s="178">
        <f>'Ozone-Energy'!H181</f>
        <v>631588.57142857148</v>
      </c>
      <c r="J188" s="128">
        <f t="shared" si="24"/>
        <v>0.6315885714285715</v>
      </c>
      <c r="K188" s="193">
        <f>'Ozone-Energy'!J181</f>
        <v>17600</v>
      </c>
      <c r="L188" s="43">
        <f t="shared" si="23"/>
        <v>17.600000000000001</v>
      </c>
      <c r="M188" s="43">
        <f>'Ozone-Energy'!L181</f>
        <v>35200000</v>
      </c>
      <c r="N188" s="179">
        <f>'Ozone-Energy'!M181</f>
        <v>35.200000000000003</v>
      </c>
      <c r="O188" s="43">
        <f>'Ozone-Energy'!N181</f>
        <v>1200</v>
      </c>
      <c r="P188" s="180">
        <f xml:space="preserve"> O188 * 3600 / 1000000</f>
        <v>4.32</v>
      </c>
      <c r="Q188" s="181">
        <f t="shared" si="29"/>
        <v>40.151588571428576</v>
      </c>
      <c r="R188" s="43">
        <f>'Ozone-Energy'!Q181</f>
        <v>0</v>
      </c>
      <c r="S188" s="43">
        <f>'Ozone-Energy'!R181</f>
        <v>0</v>
      </c>
      <c r="T188" s="43">
        <f>'Ozone-Energy'!S181</f>
        <v>0</v>
      </c>
      <c r="U188" s="43"/>
      <c r="V188" s="43"/>
      <c r="W188">
        <f>'Ozone-Energy'!V181</f>
        <v>0</v>
      </c>
      <c r="X188">
        <f>'Ozone-Energy'!W181</f>
        <v>0</v>
      </c>
      <c r="Y188">
        <f>'Ozone-Energy'!X181</f>
        <v>0</v>
      </c>
      <c r="Z188">
        <f>'Ozone-Energy'!Y181</f>
        <v>0</v>
      </c>
      <c r="AA188" s="43"/>
    </row>
    <row r="189" spans="3:27" ht="15">
      <c r="C189">
        <v>172</v>
      </c>
      <c r="D189" s="359">
        <v>1.2</v>
      </c>
      <c r="E189" s="211">
        <f t="shared" si="22"/>
        <v>1.3199999999999998</v>
      </c>
      <c r="F189" s="211">
        <f>'Studio Rain System'!L194</f>
        <v>20</v>
      </c>
      <c r="G189" s="211">
        <f>'Studio Rain System'!M194</f>
        <v>0.745</v>
      </c>
      <c r="H189" s="206">
        <f>'Flow Rate'!$W$27</f>
        <v>464206.53322409093</v>
      </c>
      <c r="I189" s="178">
        <f>'Ozone-Energy'!H182</f>
        <v>236845.71428571426</v>
      </c>
      <c r="J189" s="128">
        <f t="shared" si="24"/>
        <v>0.23684571428571424</v>
      </c>
      <c r="K189" s="193">
        <f>'Ozone-Energy'!J182</f>
        <v>6599.9999999999982</v>
      </c>
      <c r="L189" s="43">
        <f t="shared" si="23"/>
        <v>6.5999999999999979</v>
      </c>
      <c r="M189" s="43">
        <f>'Ozone-Energy'!L182</f>
        <v>13199999.999999996</v>
      </c>
      <c r="N189" s="179">
        <f>'Ozone-Energy'!M182</f>
        <v>13.199999999999996</v>
      </c>
      <c r="O189" s="43">
        <f>'Ozone-Energy'!N182</f>
        <v>1200</v>
      </c>
      <c r="P189" s="180">
        <f t="shared" ref="P189:P197" si="30">O189 * 3600 / 1000000</f>
        <v>4.32</v>
      </c>
      <c r="Q189" s="181">
        <f t="shared" si="29"/>
        <v>17.75684571428571</v>
      </c>
      <c r="R189" s="43">
        <f>'Ozone-Energy'!Q182</f>
        <v>0</v>
      </c>
      <c r="S189" s="43">
        <f>'Ozone-Energy'!R182</f>
        <v>0</v>
      </c>
      <c r="T189" s="43">
        <f>'Ozone-Energy'!S182</f>
        <v>0</v>
      </c>
      <c r="U189" s="43"/>
      <c r="V189" s="43"/>
      <c r="W189">
        <f>'Ozone-Energy'!V182</f>
        <v>0</v>
      </c>
      <c r="X189">
        <f>'Ozone-Energy'!W182</f>
        <v>0</v>
      </c>
      <c r="Y189">
        <f>'Ozone-Energy'!X182</f>
        <v>0</v>
      </c>
      <c r="Z189">
        <f>'Ozone-Energy'!Y182</f>
        <v>0</v>
      </c>
      <c r="AA189" s="43"/>
    </row>
    <row r="190" spans="3:27" ht="15">
      <c r="C190">
        <v>173</v>
      </c>
      <c r="D190" s="359">
        <v>0</v>
      </c>
      <c r="E190" s="211">
        <f t="shared" si="22"/>
        <v>0</v>
      </c>
      <c r="F190" s="211">
        <f>'Studio Rain System'!L195</f>
        <v>19.254999999999999</v>
      </c>
      <c r="G190" s="211">
        <f>'Studio Rain System'!M195</f>
        <v>0.745</v>
      </c>
      <c r="H190" s="206">
        <f>'Flow Rate'!$W$27</f>
        <v>464206.53322409093</v>
      </c>
      <c r="I190" s="178">
        <f>'Ozone-Energy'!H183</f>
        <v>0</v>
      </c>
      <c r="J190" s="128">
        <f t="shared" si="24"/>
        <v>0</v>
      </c>
      <c r="K190" s="193">
        <f>'Ozone-Energy'!J183</f>
        <v>0</v>
      </c>
      <c r="L190" s="43">
        <f t="shared" si="23"/>
        <v>0</v>
      </c>
      <c r="M190" s="43">
        <f>'Ozone-Energy'!L183</f>
        <v>0</v>
      </c>
      <c r="N190" s="179">
        <f>'Ozone-Energy'!M183</f>
        <v>0</v>
      </c>
      <c r="O190" s="43">
        <f>'Ozone-Energy'!N183</f>
        <v>1200</v>
      </c>
      <c r="P190" s="180">
        <f t="shared" si="30"/>
        <v>4.32</v>
      </c>
      <c r="Q190" s="181">
        <f t="shared" si="29"/>
        <v>4.32</v>
      </c>
      <c r="R190" s="43">
        <f>'Ozone-Energy'!Q183</f>
        <v>0</v>
      </c>
      <c r="S190" s="43">
        <f>'Ozone-Energy'!R183</f>
        <v>0</v>
      </c>
      <c r="T190" s="43">
        <f>'Ozone-Energy'!S183</f>
        <v>0</v>
      </c>
      <c r="U190" s="43"/>
      <c r="V190" s="43"/>
      <c r="W190">
        <f>'Ozone-Energy'!V183</f>
        <v>0</v>
      </c>
      <c r="X190">
        <f>'Ozone-Energy'!W183</f>
        <v>0</v>
      </c>
      <c r="Y190">
        <f>'Ozone-Energy'!X183</f>
        <v>0</v>
      </c>
      <c r="Z190">
        <f>'Ozone-Energy'!Y183</f>
        <v>0</v>
      </c>
      <c r="AA190" s="43"/>
    </row>
    <row r="191" spans="3:27" ht="15">
      <c r="C191">
        <v>174</v>
      </c>
      <c r="D191" s="359">
        <v>15.4</v>
      </c>
      <c r="E191" s="211">
        <f t="shared" si="22"/>
        <v>16.940000000000001</v>
      </c>
      <c r="F191" s="211">
        <f>'Studio Rain System'!L196</f>
        <v>20</v>
      </c>
      <c r="G191" s="211">
        <f>'Studio Rain System'!M196</f>
        <v>0.745</v>
      </c>
      <c r="H191" s="206">
        <f>'Flow Rate'!$W$27</f>
        <v>464206.53322409093</v>
      </c>
      <c r="I191" s="178">
        <f>'Ozone-Energy'!H184</f>
        <v>3039520</v>
      </c>
      <c r="J191" s="128">
        <f t="shared" si="24"/>
        <v>3.03952</v>
      </c>
      <c r="K191" s="193">
        <f>'Ozone-Energy'!J184</f>
        <v>84700</v>
      </c>
      <c r="L191" s="43">
        <f t="shared" si="23"/>
        <v>84.7</v>
      </c>
      <c r="M191" s="43">
        <f>'Ozone-Energy'!L184</f>
        <v>169400000</v>
      </c>
      <c r="N191" s="179">
        <f>'Ozone-Energy'!M184</f>
        <v>169.4</v>
      </c>
      <c r="O191" s="43">
        <f>'Ozone-Energy'!N184</f>
        <v>1200</v>
      </c>
      <c r="P191" s="180">
        <f t="shared" si="30"/>
        <v>4.32</v>
      </c>
      <c r="Q191" s="181">
        <f t="shared" si="29"/>
        <v>176.75952000000001</v>
      </c>
      <c r="R191" s="43">
        <f>'Ozone-Energy'!Q184</f>
        <v>0</v>
      </c>
      <c r="S191" s="43">
        <f>'Ozone-Energy'!R184</f>
        <v>0</v>
      </c>
      <c r="T191" s="43">
        <f>'Ozone-Energy'!S184</f>
        <v>0</v>
      </c>
      <c r="U191" s="43"/>
      <c r="V191" s="43"/>
      <c r="W191">
        <f>'Ozone-Energy'!V184</f>
        <v>0</v>
      </c>
      <c r="X191">
        <f>'Ozone-Energy'!W184</f>
        <v>0</v>
      </c>
      <c r="Y191">
        <f>'Ozone-Energy'!X184</f>
        <v>0</v>
      </c>
      <c r="Z191">
        <f>'Ozone-Energy'!Y184</f>
        <v>0</v>
      </c>
      <c r="AA191" s="43"/>
    </row>
    <row r="192" spans="3:27" ht="15">
      <c r="C192">
        <v>175</v>
      </c>
      <c r="D192" s="359">
        <v>1.2</v>
      </c>
      <c r="E192" s="211">
        <f t="shared" si="22"/>
        <v>1.3199999999999998</v>
      </c>
      <c r="F192" s="211">
        <f>'Studio Rain System'!L197</f>
        <v>20</v>
      </c>
      <c r="G192" s="211">
        <f>'Studio Rain System'!M197</f>
        <v>0.745</v>
      </c>
      <c r="H192" s="206">
        <f>'Flow Rate'!$W$27</f>
        <v>464206.53322409093</v>
      </c>
      <c r="I192" s="178">
        <f>'Ozone-Energy'!H185</f>
        <v>236845.71428571426</v>
      </c>
      <c r="J192" s="128">
        <f t="shared" si="24"/>
        <v>0.23684571428571424</v>
      </c>
      <c r="K192" s="193">
        <f>'Ozone-Energy'!J185</f>
        <v>6599.9999999999982</v>
      </c>
      <c r="L192" s="43">
        <f t="shared" si="23"/>
        <v>6.5999999999999979</v>
      </c>
      <c r="M192" s="43">
        <f>'Ozone-Energy'!L185</f>
        <v>13199999.999999996</v>
      </c>
      <c r="N192" s="179">
        <f>'Ozone-Energy'!M185</f>
        <v>13.199999999999996</v>
      </c>
      <c r="O192" s="43">
        <f>'Ozone-Energy'!N185</f>
        <v>1200</v>
      </c>
      <c r="P192" s="180">
        <f t="shared" si="30"/>
        <v>4.32</v>
      </c>
      <c r="Q192" s="181">
        <f t="shared" si="29"/>
        <v>17.75684571428571</v>
      </c>
      <c r="R192" s="43">
        <f>'Ozone-Energy'!Q185</f>
        <v>0</v>
      </c>
      <c r="S192" s="43">
        <f>'Ozone-Energy'!R185</f>
        <v>0</v>
      </c>
      <c r="T192" s="43">
        <f>'Ozone-Energy'!S185</f>
        <v>0</v>
      </c>
      <c r="U192" s="43"/>
      <c r="V192" s="43"/>
      <c r="W192">
        <f>'Ozone-Energy'!V185</f>
        <v>0</v>
      </c>
      <c r="X192">
        <f>'Ozone-Energy'!W185</f>
        <v>0</v>
      </c>
      <c r="Y192">
        <f>'Ozone-Energy'!X185</f>
        <v>0</v>
      </c>
      <c r="Z192">
        <f>'Ozone-Energy'!Y185</f>
        <v>0</v>
      </c>
      <c r="AA192" s="43"/>
    </row>
    <row r="193" spans="3:27" ht="15">
      <c r="C193">
        <v>176</v>
      </c>
      <c r="D193" s="359">
        <v>0</v>
      </c>
      <c r="E193" s="211">
        <f t="shared" si="22"/>
        <v>0</v>
      </c>
      <c r="F193" s="211">
        <f>'Studio Rain System'!L198</f>
        <v>19.254999999999999</v>
      </c>
      <c r="G193" s="211">
        <f>'Studio Rain System'!M198</f>
        <v>0.745</v>
      </c>
      <c r="H193" s="206">
        <f>'Flow Rate'!$W$27</f>
        <v>464206.53322409093</v>
      </c>
      <c r="I193" s="178">
        <f>'Ozone-Energy'!H186</f>
        <v>0</v>
      </c>
      <c r="J193" s="128">
        <f t="shared" si="24"/>
        <v>0</v>
      </c>
      <c r="K193" s="193">
        <f>'Ozone-Energy'!J186</f>
        <v>0</v>
      </c>
      <c r="L193" s="43">
        <f t="shared" si="23"/>
        <v>0</v>
      </c>
      <c r="M193" s="43">
        <f>'Ozone-Energy'!L186</f>
        <v>0</v>
      </c>
      <c r="N193" s="179">
        <f>'Ozone-Energy'!M186</f>
        <v>0</v>
      </c>
      <c r="O193" s="43">
        <f>'Ozone-Energy'!N186</f>
        <v>1200</v>
      </c>
      <c r="P193" s="180">
        <f t="shared" si="30"/>
        <v>4.32</v>
      </c>
      <c r="Q193" s="181">
        <f t="shared" si="29"/>
        <v>4.32</v>
      </c>
      <c r="R193" s="43">
        <f>'Ozone-Energy'!Q186</f>
        <v>0</v>
      </c>
      <c r="S193" s="43">
        <f>'Ozone-Energy'!R186</f>
        <v>0</v>
      </c>
      <c r="T193" s="43">
        <f>'Ozone-Energy'!S186</f>
        <v>0</v>
      </c>
      <c r="U193" s="43"/>
      <c r="V193" s="43"/>
      <c r="W193">
        <f>'Ozone-Energy'!V186</f>
        <v>0</v>
      </c>
      <c r="X193">
        <f>'Ozone-Energy'!W186</f>
        <v>0</v>
      </c>
      <c r="Y193">
        <f>'Ozone-Energy'!X186</f>
        <v>0</v>
      </c>
      <c r="Z193">
        <f>'Ozone-Energy'!Y186</f>
        <v>0</v>
      </c>
      <c r="AA193" s="43"/>
    </row>
    <row r="194" spans="3:27" ht="15">
      <c r="C194">
        <v>177</v>
      </c>
      <c r="D194" s="359">
        <v>5.8</v>
      </c>
      <c r="E194" s="211">
        <f t="shared" si="22"/>
        <v>6.38</v>
      </c>
      <c r="F194" s="211">
        <f>'Studio Rain System'!L199</f>
        <v>20</v>
      </c>
      <c r="G194" s="211">
        <f>'Studio Rain System'!M199</f>
        <v>0.745</v>
      </c>
      <c r="H194" s="206">
        <f>'Flow Rate'!$W$27</f>
        <v>464206.53322409093</v>
      </c>
      <c r="I194" s="178">
        <f>'Ozone-Energy'!H187</f>
        <v>1144754.2857142857</v>
      </c>
      <c r="J194" s="128">
        <f t="shared" si="24"/>
        <v>1.1447542857142856</v>
      </c>
      <c r="K194" s="193">
        <f>'Ozone-Energy'!J187</f>
        <v>31900</v>
      </c>
      <c r="L194" s="43">
        <f t="shared" si="23"/>
        <v>31.9</v>
      </c>
      <c r="M194" s="43">
        <f>'Ozone-Energy'!L187</f>
        <v>63800000</v>
      </c>
      <c r="N194" s="179">
        <f>'Ozone-Energy'!M187</f>
        <v>63.8</v>
      </c>
      <c r="O194" s="43">
        <f>'Ozone-Energy'!N187</f>
        <v>1200</v>
      </c>
      <c r="P194" s="180">
        <f t="shared" si="30"/>
        <v>4.32</v>
      </c>
      <c r="Q194" s="181">
        <f t="shared" si="29"/>
        <v>69.264754285714275</v>
      </c>
      <c r="R194" s="43">
        <f>'Ozone-Energy'!Q187</f>
        <v>0</v>
      </c>
      <c r="S194" s="43">
        <f>'Ozone-Energy'!R187</f>
        <v>0</v>
      </c>
      <c r="T194" s="43">
        <f>'Ozone-Energy'!S187</f>
        <v>0</v>
      </c>
      <c r="U194" s="43"/>
      <c r="V194" s="43"/>
      <c r="W194">
        <f>'Ozone-Energy'!V187</f>
        <v>0</v>
      </c>
      <c r="X194">
        <f>'Ozone-Energy'!W187</f>
        <v>0</v>
      </c>
      <c r="Y194">
        <f>'Ozone-Energy'!X187</f>
        <v>0</v>
      </c>
      <c r="Z194">
        <f>'Ozone-Energy'!Y187</f>
        <v>0</v>
      </c>
      <c r="AA194" s="43"/>
    </row>
    <row r="195" spans="3:27" ht="15">
      <c r="C195">
        <v>178</v>
      </c>
      <c r="D195" s="359">
        <v>20.399999999999999</v>
      </c>
      <c r="E195" s="211">
        <f t="shared" si="22"/>
        <v>22.439999999999998</v>
      </c>
      <c r="F195" s="211">
        <f>'Studio Rain System'!L200</f>
        <v>20</v>
      </c>
      <c r="G195" s="211">
        <f>'Studio Rain System'!M200</f>
        <v>0.745</v>
      </c>
      <c r="H195" s="206">
        <f>'Flow Rate'!$W$27</f>
        <v>464206.53322409093</v>
      </c>
      <c r="I195" s="178">
        <f>'Ozone-Energy'!H188</f>
        <v>4026377.1428571423</v>
      </c>
      <c r="J195" s="128">
        <f t="shared" si="24"/>
        <v>4.0263771428571422</v>
      </c>
      <c r="K195" s="193">
        <f>'Ozone-Energy'!J188</f>
        <v>112199.99999999997</v>
      </c>
      <c r="L195" s="43">
        <f t="shared" si="23"/>
        <v>112.19999999999997</v>
      </c>
      <c r="M195" s="43">
        <f>'Ozone-Energy'!L188</f>
        <v>224399999.99999994</v>
      </c>
      <c r="N195" s="179">
        <f>'Ozone-Energy'!M188</f>
        <v>224.39999999999995</v>
      </c>
      <c r="O195" s="43">
        <f>'Ozone-Energy'!N188</f>
        <v>1200</v>
      </c>
      <c r="P195" s="180">
        <f t="shared" si="30"/>
        <v>4.32</v>
      </c>
      <c r="Q195" s="181">
        <f t="shared" si="29"/>
        <v>232.74637714285709</v>
      </c>
      <c r="R195" s="43">
        <f>'Ozone-Energy'!Q188</f>
        <v>0</v>
      </c>
      <c r="S195" s="43">
        <f>'Ozone-Energy'!R188</f>
        <v>0</v>
      </c>
      <c r="T195" s="43">
        <f>'Ozone-Energy'!S188</f>
        <v>0</v>
      </c>
      <c r="U195" s="43"/>
      <c r="V195" s="43"/>
      <c r="W195">
        <f>'Ozone-Energy'!V188</f>
        <v>0</v>
      </c>
      <c r="X195">
        <f>'Ozone-Energy'!W188</f>
        <v>0</v>
      </c>
      <c r="Y195">
        <f>'Ozone-Energy'!X188</f>
        <v>0</v>
      </c>
      <c r="Z195">
        <f>'Ozone-Energy'!Y188</f>
        <v>0</v>
      </c>
      <c r="AA195" s="43"/>
    </row>
    <row r="196" spans="3:27" ht="15">
      <c r="C196">
        <v>179</v>
      </c>
      <c r="D196" s="359">
        <v>20.399999999999999</v>
      </c>
      <c r="E196" s="211">
        <f t="shared" si="22"/>
        <v>22.439999999999998</v>
      </c>
      <c r="F196" s="211">
        <f>'Studio Rain System'!L201</f>
        <v>20</v>
      </c>
      <c r="G196" s="211">
        <f>'Studio Rain System'!M201</f>
        <v>0.745</v>
      </c>
      <c r="H196" s="206">
        <f>'Flow Rate'!$W$27</f>
        <v>464206.53322409093</v>
      </c>
      <c r="I196" s="178">
        <f>'Ozone-Energy'!H189</f>
        <v>4026377.1428571423</v>
      </c>
      <c r="J196" s="128">
        <f t="shared" si="24"/>
        <v>4.0263771428571422</v>
      </c>
      <c r="K196" s="193">
        <f>'Ozone-Energy'!J189</f>
        <v>112199.99999999997</v>
      </c>
      <c r="L196" s="43">
        <f t="shared" si="23"/>
        <v>112.19999999999997</v>
      </c>
      <c r="M196" s="43">
        <f>'Ozone-Energy'!L189</f>
        <v>224399999.99999994</v>
      </c>
      <c r="N196" s="179">
        <f>'Ozone-Energy'!M189</f>
        <v>224.39999999999995</v>
      </c>
      <c r="O196" s="43">
        <f>'Ozone-Energy'!N189</f>
        <v>1200</v>
      </c>
      <c r="P196" s="180">
        <f t="shared" si="30"/>
        <v>4.32</v>
      </c>
      <c r="Q196" s="181">
        <f t="shared" si="29"/>
        <v>232.74637714285709</v>
      </c>
      <c r="R196" s="43">
        <f>'Ozone-Energy'!Q189</f>
        <v>0</v>
      </c>
      <c r="S196" s="43">
        <f>'Ozone-Energy'!R189</f>
        <v>0</v>
      </c>
      <c r="T196" s="43">
        <f>'Ozone-Energy'!S189</f>
        <v>0</v>
      </c>
      <c r="U196" s="43"/>
      <c r="V196" s="43"/>
      <c r="W196">
        <f>'Ozone-Energy'!V189</f>
        <v>0</v>
      </c>
      <c r="X196">
        <f>'Ozone-Energy'!W189</f>
        <v>0</v>
      </c>
      <c r="Y196">
        <f>'Ozone-Energy'!X189</f>
        <v>0</v>
      </c>
      <c r="Z196">
        <f>'Ozone-Energy'!Y189</f>
        <v>0</v>
      </c>
      <c r="AA196" s="43"/>
    </row>
    <row r="197" spans="3:27" ht="15">
      <c r="C197">
        <v>180</v>
      </c>
      <c r="D197" s="359">
        <v>0.6</v>
      </c>
      <c r="E197" s="211">
        <f t="shared" si="22"/>
        <v>0.65999999999999992</v>
      </c>
      <c r="F197" s="211">
        <f>'Studio Rain System'!L202</f>
        <v>19.914999999999999</v>
      </c>
      <c r="G197" s="211">
        <f>'Studio Rain System'!M202</f>
        <v>0.745</v>
      </c>
      <c r="H197" s="206">
        <f>'Flow Rate'!$W$27</f>
        <v>464206.53322409093</v>
      </c>
      <c r="I197" s="178">
        <f>'Ozone-Energy'!H190</f>
        <v>118422.85714285713</v>
      </c>
      <c r="J197" s="128">
        <f t="shared" si="24"/>
        <v>0.11842285714285712</v>
      </c>
      <c r="K197" s="193">
        <f>'Ozone-Energy'!J190</f>
        <v>3299.9999999999991</v>
      </c>
      <c r="L197" s="43">
        <f t="shared" si="23"/>
        <v>3.2999999999999989</v>
      </c>
      <c r="M197" s="43">
        <f>'Ozone-Energy'!L190</f>
        <v>6599999.9999999981</v>
      </c>
      <c r="N197" s="179">
        <f>'Ozone-Energy'!M190</f>
        <v>6.5999999999999979</v>
      </c>
      <c r="O197" s="43">
        <f>'Ozone-Energy'!N190</f>
        <v>1200</v>
      </c>
      <c r="P197" s="180">
        <f t="shared" si="30"/>
        <v>4.32</v>
      </c>
      <c r="Q197" s="181">
        <f t="shared" si="29"/>
        <v>11.038422857142855</v>
      </c>
      <c r="R197" s="43">
        <f>'Ozone-Energy'!Q190</f>
        <v>0</v>
      </c>
      <c r="S197" s="43">
        <f>'Ozone-Energy'!R190</f>
        <v>0</v>
      </c>
      <c r="T197" s="43">
        <f>'Ozone-Energy'!S190</f>
        <v>0</v>
      </c>
      <c r="U197" s="43"/>
      <c r="V197" s="43"/>
      <c r="W197">
        <f>'Ozone-Energy'!V190</f>
        <v>0</v>
      </c>
      <c r="X197">
        <f>'Ozone-Energy'!W190</f>
        <v>0</v>
      </c>
      <c r="Y197">
        <f>'Ozone-Energy'!X190</f>
        <v>0</v>
      </c>
      <c r="Z197">
        <f>'Ozone-Energy'!Y190</f>
        <v>0</v>
      </c>
      <c r="AA197" s="43"/>
    </row>
    <row r="198" spans="3:27" ht="15">
      <c r="C198">
        <v>181</v>
      </c>
      <c r="D198" s="359">
        <v>0</v>
      </c>
      <c r="E198" s="211">
        <f t="shared" si="22"/>
        <v>0</v>
      </c>
      <c r="F198" s="211">
        <f>'Studio Rain System'!L203</f>
        <v>19.169999999999998</v>
      </c>
      <c r="G198" s="211">
        <f>'Studio Rain System'!M203</f>
        <v>0.745</v>
      </c>
      <c r="H198" s="206">
        <f>'Flow Rate'!$W$27</f>
        <v>464206.53322409093</v>
      </c>
      <c r="I198" s="178">
        <f>'Ozone-Energy'!H191</f>
        <v>0</v>
      </c>
      <c r="J198" s="128">
        <f t="shared" si="24"/>
        <v>0</v>
      </c>
      <c r="K198" s="193">
        <f>'Ozone-Energy'!J191</f>
        <v>0</v>
      </c>
      <c r="L198" s="43">
        <f t="shared" si="23"/>
        <v>0</v>
      </c>
      <c r="M198" s="43">
        <f>'Ozone-Energy'!L191</f>
        <v>0</v>
      </c>
      <c r="N198" s="179">
        <f>'Ozone-Energy'!M191</f>
        <v>0</v>
      </c>
      <c r="O198" s="43">
        <f>'Ozone-Energy'!N191</f>
        <v>1200</v>
      </c>
      <c r="P198" s="180">
        <f xml:space="preserve"> O198 * 3600 / 1000000</f>
        <v>4.32</v>
      </c>
      <c r="Q198" s="181">
        <f t="shared" si="29"/>
        <v>4.32</v>
      </c>
      <c r="R198" s="43">
        <f>'Ozone-Energy'!Q191</f>
        <v>0</v>
      </c>
      <c r="S198" s="43">
        <f>'Ozone-Energy'!R191</f>
        <v>0</v>
      </c>
      <c r="T198" s="43">
        <f>'Ozone-Energy'!S191</f>
        <v>0</v>
      </c>
      <c r="U198" s="43"/>
      <c r="V198" s="43"/>
      <c r="W198">
        <f>'Ozone-Energy'!V191</f>
        <v>0</v>
      </c>
      <c r="X198">
        <f>'Ozone-Energy'!W191</f>
        <v>0</v>
      </c>
      <c r="Y198">
        <f>'Ozone-Energy'!X191</f>
        <v>0</v>
      </c>
      <c r="Z198">
        <f>'Ozone-Energy'!Y191</f>
        <v>0</v>
      </c>
      <c r="AA198" s="43"/>
    </row>
    <row r="199" spans="3:27" ht="15">
      <c r="C199">
        <v>182</v>
      </c>
      <c r="D199" s="359">
        <v>0</v>
      </c>
      <c r="E199" s="211">
        <f t="shared" si="22"/>
        <v>0</v>
      </c>
      <c r="F199" s="211">
        <f>'Studio Rain System'!L204</f>
        <v>18.424999999999997</v>
      </c>
      <c r="G199" s="211">
        <f>'Studio Rain System'!M204</f>
        <v>0.745</v>
      </c>
      <c r="H199" s="206">
        <f>'Flow Rate'!$W$27</f>
        <v>464206.53322409093</v>
      </c>
      <c r="I199" s="178">
        <f>'Ozone-Energy'!H192</f>
        <v>0</v>
      </c>
      <c r="J199" s="128">
        <f t="shared" si="24"/>
        <v>0</v>
      </c>
      <c r="K199" s="193">
        <f>'Ozone-Energy'!J192</f>
        <v>0</v>
      </c>
      <c r="L199" s="43">
        <f t="shared" si="23"/>
        <v>0</v>
      </c>
      <c r="M199" s="43">
        <f>'Ozone-Energy'!L192</f>
        <v>0</v>
      </c>
      <c r="N199" s="179">
        <f>'Ozone-Energy'!M192</f>
        <v>0</v>
      </c>
      <c r="O199" s="43">
        <f>'Ozone-Energy'!N192</f>
        <v>1200</v>
      </c>
      <c r="P199" s="180">
        <f t="shared" ref="P199:P207" si="31">O199 * 3600 / 1000000</f>
        <v>4.32</v>
      </c>
      <c r="Q199" s="181">
        <f t="shared" si="29"/>
        <v>4.32</v>
      </c>
      <c r="R199" s="43">
        <f>'Ozone-Energy'!Q192</f>
        <v>0</v>
      </c>
      <c r="S199" s="43">
        <f>'Ozone-Energy'!R192</f>
        <v>0</v>
      </c>
      <c r="T199" s="43">
        <f>'Ozone-Energy'!S192</f>
        <v>0</v>
      </c>
      <c r="U199" s="43"/>
      <c r="V199" s="43"/>
      <c r="W199">
        <f>'Ozone-Energy'!V192</f>
        <v>0</v>
      </c>
      <c r="X199">
        <f>'Ozone-Energy'!W192</f>
        <v>0</v>
      </c>
      <c r="Y199">
        <f>'Ozone-Energy'!X192</f>
        <v>0</v>
      </c>
      <c r="Z199">
        <f>'Ozone-Energy'!Y192</f>
        <v>0</v>
      </c>
      <c r="AA199" s="43"/>
    </row>
    <row r="200" spans="3:27" ht="15">
      <c r="C200">
        <v>183</v>
      </c>
      <c r="D200" s="359">
        <v>1.8</v>
      </c>
      <c r="E200" s="211">
        <f t="shared" si="22"/>
        <v>1.98</v>
      </c>
      <c r="F200" s="211">
        <f>'Studio Rain System'!L205</f>
        <v>19.659999999999997</v>
      </c>
      <c r="G200" s="211">
        <f>'Studio Rain System'!M205</f>
        <v>0.745</v>
      </c>
      <c r="H200" s="206">
        <f>'Flow Rate'!$W$27</f>
        <v>464206.53322409093</v>
      </c>
      <c r="I200" s="178">
        <f>'Ozone-Energy'!H193</f>
        <v>355268.57142857148</v>
      </c>
      <c r="J200" s="128">
        <f t="shared" si="24"/>
        <v>0.35526857142857149</v>
      </c>
      <c r="K200" s="193">
        <f>'Ozone-Energy'!J193</f>
        <v>9900</v>
      </c>
      <c r="L200" s="43">
        <f t="shared" si="23"/>
        <v>9.9</v>
      </c>
      <c r="M200" s="43">
        <f>'Ozone-Energy'!L193</f>
        <v>19800000</v>
      </c>
      <c r="N200" s="179">
        <f>'Ozone-Energy'!M193</f>
        <v>19.8</v>
      </c>
      <c r="O200" s="43">
        <f>'Ozone-Energy'!N193</f>
        <v>1200</v>
      </c>
      <c r="P200" s="180">
        <f t="shared" si="31"/>
        <v>4.32</v>
      </c>
      <c r="Q200" s="181">
        <f t="shared" si="29"/>
        <v>24.475268571428572</v>
      </c>
      <c r="R200" s="43">
        <f>'Ozone-Energy'!Q193</f>
        <v>0</v>
      </c>
      <c r="S200" s="43">
        <f>'Ozone-Energy'!R193</f>
        <v>0</v>
      </c>
      <c r="T200" s="43">
        <f>'Ozone-Energy'!S193</f>
        <v>0</v>
      </c>
      <c r="U200" s="43"/>
      <c r="V200" s="43"/>
      <c r="W200">
        <f>'Ozone-Energy'!V193</f>
        <v>0</v>
      </c>
      <c r="X200">
        <f>'Ozone-Energy'!W193</f>
        <v>0</v>
      </c>
      <c r="Y200">
        <f>'Ozone-Energy'!X193</f>
        <v>0</v>
      </c>
      <c r="Z200">
        <f>'Ozone-Energy'!Y193</f>
        <v>0</v>
      </c>
      <c r="AA200" s="43"/>
    </row>
    <row r="201" spans="3:27" ht="15">
      <c r="C201">
        <v>184</v>
      </c>
      <c r="D201" s="359">
        <v>6.2</v>
      </c>
      <c r="E201" s="211">
        <f t="shared" si="22"/>
        <v>6.8199999999999994</v>
      </c>
      <c r="F201" s="211">
        <f>'Studio Rain System'!L206</f>
        <v>20</v>
      </c>
      <c r="G201" s="211">
        <f>'Studio Rain System'!M206</f>
        <v>0.745</v>
      </c>
      <c r="H201" s="206">
        <f>'Flow Rate'!$W$27</f>
        <v>464206.53322409093</v>
      </c>
      <c r="I201" s="178">
        <f>'Ozone-Energy'!H194</f>
        <v>1223702.857142857</v>
      </c>
      <c r="J201" s="128">
        <f t="shared" si="24"/>
        <v>1.223702857142857</v>
      </c>
      <c r="K201" s="193">
        <f>'Ozone-Energy'!J194</f>
        <v>34099.999999999993</v>
      </c>
      <c r="L201" s="43">
        <f t="shared" si="23"/>
        <v>34.099999999999994</v>
      </c>
      <c r="M201" s="43">
        <f>'Ozone-Energy'!L194</f>
        <v>68199999.999999985</v>
      </c>
      <c r="N201" s="179">
        <f>'Ozone-Energy'!M194</f>
        <v>68.199999999999989</v>
      </c>
      <c r="O201" s="43">
        <f>'Ozone-Energy'!N194</f>
        <v>1200</v>
      </c>
      <c r="P201" s="180">
        <f t="shared" si="31"/>
        <v>4.32</v>
      </c>
      <c r="Q201" s="181">
        <f t="shared" si="29"/>
        <v>73.743702857142836</v>
      </c>
      <c r="R201" s="43">
        <f>'Ozone-Energy'!Q194</f>
        <v>0</v>
      </c>
      <c r="S201" s="43">
        <f>'Ozone-Energy'!R194</f>
        <v>0</v>
      </c>
      <c r="T201" s="43">
        <f>'Ozone-Energy'!S194</f>
        <v>0</v>
      </c>
      <c r="U201" s="43"/>
      <c r="V201" s="43"/>
      <c r="W201">
        <f>'Ozone-Energy'!V194</f>
        <v>0</v>
      </c>
      <c r="X201">
        <f>'Ozone-Energy'!W194</f>
        <v>0</v>
      </c>
      <c r="Y201">
        <f>'Ozone-Energy'!X194</f>
        <v>0</v>
      </c>
      <c r="Z201">
        <f>'Ozone-Energy'!Y194</f>
        <v>0</v>
      </c>
      <c r="AA201" s="43"/>
    </row>
    <row r="202" spans="3:27" ht="15">
      <c r="C202">
        <v>185</v>
      </c>
      <c r="D202" s="359">
        <v>9.4</v>
      </c>
      <c r="E202" s="211">
        <f t="shared" si="22"/>
        <v>10.34</v>
      </c>
      <c r="F202" s="211">
        <f>'Studio Rain System'!L207</f>
        <v>20</v>
      </c>
      <c r="G202" s="211">
        <f>'Studio Rain System'!M207</f>
        <v>0.745</v>
      </c>
      <c r="H202" s="206">
        <f>'Flow Rate'!$W$27</f>
        <v>464206.53322409093</v>
      </c>
      <c r="I202" s="178">
        <f>'Ozone-Energy'!H195</f>
        <v>1855291.4285714286</v>
      </c>
      <c r="J202" s="128">
        <f t="shared" si="24"/>
        <v>1.8552914285714286</v>
      </c>
      <c r="K202" s="193">
        <f>'Ozone-Energy'!J195</f>
        <v>51700</v>
      </c>
      <c r="L202" s="43">
        <f t="shared" si="23"/>
        <v>51.7</v>
      </c>
      <c r="M202" s="43">
        <f>'Ozone-Energy'!L195</f>
        <v>103400000</v>
      </c>
      <c r="N202" s="179">
        <f>'Ozone-Energy'!M195</f>
        <v>103.4</v>
      </c>
      <c r="O202" s="43">
        <f>'Ozone-Energy'!N195</f>
        <v>1200</v>
      </c>
      <c r="P202" s="180">
        <f t="shared" si="31"/>
        <v>4.32</v>
      </c>
      <c r="Q202" s="181">
        <f t="shared" si="29"/>
        <v>109.57529142857143</v>
      </c>
      <c r="R202" s="43">
        <f>'Ozone-Energy'!Q195</f>
        <v>0</v>
      </c>
      <c r="S202" s="43">
        <f>'Ozone-Energy'!R195</f>
        <v>0</v>
      </c>
      <c r="T202" s="43">
        <f>'Ozone-Energy'!S195</f>
        <v>0</v>
      </c>
      <c r="U202" s="43"/>
      <c r="V202" s="43"/>
      <c r="W202">
        <f>'Ozone-Energy'!V195</f>
        <v>0</v>
      </c>
      <c r="X202">
        <f>'Ozone-Energy'!W195</f>
        <v>0</v>
      </c>
      <c r="Y202">
        <f>'Ozone-Energy'!X195</f>
        <v>0</v>
      </c>
      <c r="Z202">
        <f>'Ozone-Energy'!Y195</f>
        <v>0</v>
      </c>
      <c r="AA202" s="43"/>
    </row>
    <row r="203" spans="3:27" ht="15">
      <c r="C203">
        <v>186</v>
      </c>
      <c r="D203" s="359">
        <v>26.6</v>
      </c>
      <c r="E203" s="211">
        <f t="shared" si="22"/>
        <v>29.26</v>
      </c>
      <c r="F203" s="211">
        <f>'Studio Rain System'!L208</f>
        <v>20</v>
      </c>
      <c r="G203" s="211">
        <f>'Studio Rain System'!M208</f>
        <v>0.745</v>
      </c>
      <c r="H203" s="206">
        <f>'Flow Rate'!$W$27</f>
        <v>464206.53322409093</v>
      </c>
      <c r="I203" s="178">
        <f>'Ozone-Energy'!H196</f>
        <v>5250080</v>
      </c>
      <c r="J203" s="128">
        <f t="shared" si="24"/>
        <v>5.2500799999999996</v>
      </c>
      <c r="K203" s="193">
        <f>'Ozone-Energy'!J196</f>
        <v>146300</v>
      </c>
      <c r="L203" s="43">
        <f t="shared" si="23"/>
        <v>146.30000000000001</v>
      </c>
      <c r="M203" s="43">
        <f>'Ozone-Energy'!L196</f>
        <v>292600000</v>
      </c>
      <c r="N203" s="179">
        <f>'Ozone-Energy'!M196</f>
        <v>292.60000000000002</v>
      </c>
      <c r="O203" s="43">
        <f>'Ozone-Energy'!N196</f>
        <v>1200</v>
      </c>
      <c r="P203" s="180">
        <f t="shared" si="31"/>
        <v>4.32</v>
      </c>
      <c r="Q203" s="181">
        <f t="shared" si="29"/>
        <v>302.17008000000004</v>
      </c>
      <c r="R203" s="43">
        <f>'Ozone-Energy'!Q196</f>
        <v>0</v>
      </c>
      <c r="S203" s="43">
        <f>'Ozone-Energy'!R196</f>
        <v>0</v>
      </c>
      <c r="T203" s="43">
        <f>'Ozone-Energy'!S196</f>
        <v>0</v>
      </c>
      <c r="U203" s="43"/>
      <c r="V203" s="43"/>
      <c r="W203">
        <f>'Ozone-Energy'!V196</f>
        <v>0</v>
      </c>
      <c r="X203">
        <f>'Ozone-Energy'!W196</f>
        <v>0</v>
      </c>
      <c r="Y203">
        <f>'Ozone-Energy'!X196</f>
        <v>0</v>
      </c>
      <c r="Z203">
        <f>'Ozone-Energy'!Y196</f>
        <v>0</v>
      </c>
      <c r="AA203" s="43"/>
    </row>
    <row r="204" spans="3:27" ht="15">
      <c r="C204">
        <v>187</v>
      </c>
      <c r="D204" s="359">
        <v>13.6</v>
      </c>
      <c r="E204" s="211">
        <f t="shared" si="22"/>
        <v>14.959999999999999</v>
      </c>
      <c r="F204" s="211">
        <f>'Studio Rain System'!L209</f>
        <v>20</v>
      </c>
      <c r="G204" s="211">
        <f>'Studio Rain System'!M209</f>
        <v>0.745</v>
      </c>
      <c r="H204" s="206">
        <f>'Flow Rate'!$W$27</f>
        <v>464206.53322409093</v>
      </c>
      <c r="I204" s="178">
        <f>'Ozone-Energy'!H197</f>
        <v>2684251.4285714286</v>
      </c>
      <c r="J204" s="128">
        <f t="shared" si="24"/>
        <v>2.6842514285714287</v>
      </c>
      <c r="K204" s="193">
        <f>'Ozone-Energy'!J197</f>
        <v>74799.999999999985</v>
      </c>
      <c r="L204" s="43">
        <f t="shared" si="23"/>
        <v>74.799999999999983</v>
      </c>
      <c r="M204" s="43">
        <f>'Ozone-Energy'!L197</f>
        <v>149599999.99999997</v>
      </c>
      <c r="N204" s="179">
        <f>'Ozone-Energy'!M197</f>
        <v>149.59999999999997</v>
      </c>
      <c r="O204" s="43">
        <f>'Ozone-Energy'!N197</f>
        <v>1200</v>
      </c>
      <c r="P204" s="180">
        <f t="shared" si="31"/>
        <v>4.32</v>
      </c>
      <c r="Q204" s="181">
        <f t="shared" si="29"/>
        <v>156.60425142857139</v>
      </c>
      <c r="R204" s="43">
        <f>'Ozone-Energy'!Q197</f>
        <v>0</v>
      </c>
      <c r="S204" s="43">
        <f>'Ozone-Energy'!R197</f>
        <v>0</v>
      </c>
      <c r="T204" s="43">
        <f>'Ozone-Energy'!S197</f>
        <v>0</v>
      </c>
      <c r="U204" s="43"/>
      <c r="V204" s="43"/>
      <c r="W204">
        <f>'Ozone-Energy'!V197</f>
        <v>0</v>
      </c>
      <c r="X204">
        <f>'Ozone-Energy'!W197</f>
        <v>0</v>
      </c>
      <c r="Y204">
        <f>'Ozone-Energy'!X197</f>
        <v>0</v>
      </c>
      <c r="Z204">
        <f>'Ozone-Energy'!Y197</f>
        <v>0</v>
      </c>
      <c r="AA204" s="43"/>
    </row>
    <row r="205" spans="3:27" ht="15">
      <c r="C205">
        <v>188</v>
      </c>
      <c r="D205" s="359">
        <v>0</v>
      </c>
      <c r="E205" s="211">
        <f t="shared" si="22"/>
        <v>0</v>
      </c>
      <c r="F205" s="211">
        <f>'Studio Rain System'!L210</f>
        <v>19.254999999999999</v>
      </c>
      <c r="G205" s="211">
        <f>'Studio Rain System'!M210</f>
        <v>0.745</v>
      </c>
      <c r="H205" s="206">
        <f>'Flow Rate'!$W$27</f>
        <v>464206.53322409093</v>
      </c>
      <c r="I205" s="178">
        <f>'Ozone-Energy'!H198</f>
        <v>0</v>
      </c>
      <c r="J205" s="128">
        <f t="shared" si="24"/>
        <v>0</v>
      </c>
      <c r="K205" s="193">
        <f>'Ozone-Energy'!J198</f>
        <v>0</v>
      </c>
      <c r="L205" s="43">
        <f t="shared" si="23"/>
        <v>0</v>
      </c>
      <c r="M205" s="43">
        <f>'Ozone-Energy'!L198</f>
        <v>0</v>
      </c>
      <c r="N205" s="179">
        <f>'Ozone-Energy'!M198</f>
        <v>0</v>
      </c>
      <c r="O205" s="43">
        <f>'Ozone-Energy'!N198</f>
        <v>1200</v>
      </c>
      <c r="P205" s="180">
        <f t="shared" si="31"/>
        <v>4.32</v>
      </c>
      <c r="Q205" s="181">
        <f t="shared" si="29"/>
        <v>4.32</v>
      </c>
      <c r="R205" s="43">
        <f>'Ozone-Energy'!Q198</f>
        <v>0</v>
      </c>
      <c r="S205" s="43">
        <f>'Ozone-Energy'!R198</f>
        <v>0</v>
      </c>
      <c r="T205" s="43">
        <f>'Ozone-Energy'!S198</f>
        <v>0</v>
      </c>
      <c r="U205" s="43"/>
      <c r="V205" s="43"/>
      <c r="W205">
        <f>'Ozone-Energy'!V198</f>
        <v>0</v>
      </c>
      <c r="X205">
        <f>'Ozone-Energy'!W198</f>
        <v>0</v>
      </c>
      <c r="Y205">
        <f>'Ozone-Energy'!X198</f>
        <v>0</v>
      </c>
      <c r="Z205">
        <f>'Ozone-Energy'!Y198</f>
        <v>0</v>
      </c>
      <c r="AA205" s="43"/>
    </row>
    <row r="206" spans="3:27" ht="15">
      <c r="C206">
        <v>189</v>
      </c>
      <c r="D206" s="359">
        <v>0</v>
      </c>
      <c r="E206" s="211">
        <f t="shared" si="22"/>
        <v>0</v>
      </c>
      <c r="F206" s="211">
        <f>'Studio Rain System'!L211</f>
        <v>18.509999999999998</v>
      </c>
      <c r="G206" s="211">
        <f>'Studio Rain System'!M211</f>
        <v>0.745</v>
      </c>
      <c r="H206" s="206">
        <f>'Flow Rate'!$W$27</f>
        <v>464206.53322409093</v>
      </c>
      <c r="I206" s="178">
        <f>'Ozone-Energy'!H199</f>
        <v>0</v>
      </c>
      <c r="J206" s="128">
        <f t="shared" si="24"/>
        <v>0</v>
      </c>
      <c r="K206" s="193">
        <f>'Ozone-Energy'!J199</f>
        <v>0</v>
      </c>
      <c r="L206" s="43">
        <f t="shared" si="23"/>
        <v>0</v>
      </c>
      <c r="M206" s="43">
        <f>'Ozone-Energy'!L199</f>
        <v>0</v>
      </c>
      <c r="N206" s="179">
        <f>'Ozone-Energy'!M199</f>
        <v>0</v>
      </c>
      <c r="O206" s="43">
        <f>'Ozone-Energy'!N199</f>
        <v>1200</v>
      </c>
      <c r="P206" s="180">
        <f t="shared" si="31"/>
        <v>4.32</v>
      </c>
      <c r="Q206" s="181">
        <f t="shared" si="29"/>
        <v>4.32</v>
      </c>
      <c r="R206" s="43">
        <f>'Ozone-Energy'!Q199</f>
        <v>0</v>
      </c>
      <c r="S206" s="43">
        <f>'Ozone-Energy'!R199</f>
        <v>0</v>
      </c>
      <c r="T206" s="43">
        <f>'Ozone-Energy'!S199</f>
        <v>0</v>
      </c>
      <c r="U206" s="43"/>
      <c r="V206" s="43"/>
      <c r="W206">
        <f>'Ozone-Energy'!V199</f>
        <v>0</v>
      </c>
      <c r="X206">
        <f>'Ozone-Energy'!W199</f>
        <v>0</v>
      </c>
      <c r="Y206">
        <f>'Ozone-Energy'!X199</f>
        <v>0</v>
      </c>
      <c r="Z206">
        <f>'Ozone-Energy'!Y199</f>
        <v>0</v>
      </c>
      <c r="AA206" s="43"/>
    </row>
    <row r="207" spans="3:27" ht="15">
      <c r="C207">
        <v>190</v>
      </c>
      <c r="D207" s="359">
        <v>0</v>
      </c>
      <c r="E207" s="211">
        <f t="shared" si="22"/>
        <v>0</v>
      </c>
      <c r="F207" s="211">
        <f>'Studio Rain System'!L212</f>
        <v>17.764999999999997</v>
      </c>
      <c r="G207" s="211">
        <f>'Studio Rain System'!M212</f>
        <v>0.745</v>
      </c>
      <c r="H207" s="206">
        <f>'Flow Rate'!$W$27</f>
        <v>464206.53322409093</v>
      </c>
      <c r="I207" s="178">
        <f>'Ozone-Energy'!H200</f>
        <v>0</v>
      </c>
      <c r="J207" s="128">
        <f t="shared" si="24"/>
        <v>0</v>
      </c>
      <c r="K207" s="193">
        <f>'Ozone-Energy'!J200</f>
        <v>0</v>
      </c>
      <c r="L207" s="43">
        <f t="shared" si="23"/>
        <v>0</v>
      </c>
      <c r="M207" s="43">
        <f>'Ozone-Energy'!L200</f>
        <v>0</v>
      </c>
      <c r="N207" s="179">
        <f>'Ozone-Energy'!M200</f>
        <v>0</v>
      </c>
      <c r="O207" s="43">
        <f>'Ozone-Energy'!N200</f>
        <v>1200</v>
      </c>
      <c r="P207" s="180">
        <f t="shared" si="31"/>
        <v>4.32</v>
      </c>
      <c r="Q207" s="181">
        <f t="shared" si="29"/>
        <v>4.32</v>
      </c>
      <c r="R207" s="43">
        <f>'Ozone-Energy'!Q200</f>
        <v>0</v>
      </c>
      <c r="S207" s="43">
        <f>'Ozone-Energy'!R200</f>
        <v>0</v>
      </c>
      <c r="T207" s="43">
        <f>'Ozone-Energy'!S200</f>
        <v>0</v>
      </c>
      <c r="U207" s="43"/>
      <c r="V207" s="43"/>
      <c r="W207">
        <f>'Ozone-Energy'!V200</f>
        <v>0</v>
      </c>
      <c r="X207">
        <f>'Ozone-Energy'!W200</f>
        <v>0</v>
      </c>
      <c r="Y207">
        <f>'Ozone-Energy'!X200</f>
        <v>0</v>
      </c>
      <c r="Z207">
        <f>'Ozone-Energy'!Y200</f>
        <v>0</v>
      </c>
      <c r="AA207" s="43"/>
    </row>
    <row r="208" spans="3:27" ht="15">
      <c r="C208">
        <v>191</v>
      </c>
      <c r="D208" s="359">
        <v>0</v>
      </c>
      <c r="E208" s="211">
        <f t="shared" si="22"/>
        <v>0</v>
      </c>
      <c r="F208" s="211">
        <f>'Studio Rain System'!L213</f>
        <v>17.019999999999996</v>
      </c>
      <c r="G208" s="211">
        <f>'Studio Rain System'!M213</f>
        <v>0.745</v>
      </c>
      <c r="H208" s="206">
        <f>'Flow Rate'!$W$27</f>
        <v>464206.53322409093</v>
      </c>
      <c r="I208" s="178">
        <f>'Ozone-Energy'!H201</f>
        <v>0</v>
      </c>
      <c r="J208" s="128">
        <f t="shared" si="24"/>
        <v>0</v>
      </c>
      <c r="K208" s="193">
        <f>'Ozone-Energy'!J201</f>
        <v>0</v>
      </c>
      <c r="L208" s="43">
        <f t="shared" si="23"/>
        <v>0</v>
      </c>
      <c r="M208" s="43">
        <f>'Ozone-Energy'!L201</f>
        <v>0</v>
      </c>
      <c r="N208" s="179">
        <f>'Ozone-Energy'!M201</f>
        <v>0</v>
      </c>
      <c r="O208" s="43">
        <f>'Ozone-Energy'!N201</f>
        <v>1200</v>
      </c>
      <c r="P208" s="180">
        <f xml:space="preserve"> O208 * 3600 / 1000000</f>
        <v>4.32</v>
      </c>
      <c r="Q208" s="181">
        <f t="shared" si="29"/>
        <v>4.32</v>
      </c>
      <c r="R208" s="43">
        <f>'Ozone-Energy'!Q201</f>
        <v>0</v>
      </c>
      <c r="S208" s="43">
        <f>'Ozone-Energy'!R201</f>
        <v>0</v>
      </c>
      <c r="T208" s="43">
        <f>'Ozone-Energy'!S201</f>
        <v>0</v>
      </c>
      <c r="U208" s="43"/>
      <c r="V208" s="43"/>
      <c r="W208">
        <f>'Ozone-Energy'!V201</f>
        <v>0</v>
      </c>
      <c r="X208">
        <f>'Ozone-Energy'!W201</f>
        <v>0</v>
      </c>
      <c r="Y208">
        <f>'Ozone-Energy'!X201</f>
        <v>0</v>
      </c>
      <c r="Z208">
        <f>'Ozone-Energy'!Y201</f>
        <v>0</v>
      </c>
      <c r="AA208" s="43"/>
    </row>
    <row r="209" spans="3:27" ht="15">
      <c r="C209">
        <v>192</v>
      </c>
      <c r="D209" s="359">
        <v>0</v>
      </c>
      <c r="E209" s="211">
        <f t="shared" si="22"/>
        <v>0</v>
      </c>
      <c r="F209" s="211">
        <f>'Studio Rain System'!L214</f>
        <v>16.274999999999995</v>
      </c>
      <c r="G209" s="211">
        <f>'Studio Rain System'!M214</f>
        <v>0.745</v>
      </c>
      <c r="H209" s="206">
        <f>'Flow Rate'!$W$27</f>
        <v>464206.53322409093</v>
      </c>
      <c r="I209" s="178">
        <f>'Ozone-Energy'!H202</f>
        <v>0</v>
      </c>
      <c r="J209" s="128">
        <f t="shared" si="24"/>
        <v>0</v>
      </c>
      <c r="K209" s="193">
        <f>'Ozone-Energy'!J202</f>
        <v>0</v>
      </c>
      <c r="L209" s="43">
        <f t="shared" si="23"/>
        <v>0</v>
      </c>
      <c r="M209" s="43">
        <f>'Ozone-Energy'!L202</f>
        <v>0</v>
      </c>
      <c r="N209" s="179">
        <f>'Ozone-Energy'!M202</f>
        <v>0</v>
      </c>
      <c r="O209" s="43">
        <f>'Ozone-Energy'!N202</f>
        <v>1200</v>
      </c>
      <c r="P209" s="180">
        <f t="shared" ref="P209:P217" si="32">O209 * 3600 / 1000000</f>
        <v>4.32</v>
      </c>
      <c r="Q209" s="181">
        <f t="shared" si="29"/>
        <v>4.32</v>
      </c>
      <c r="R209" s="43">
        <f>'Ozone-Energy'!Q202</f>
        <v>0</v>
      </c>
      <c r="S209" s="43">
        <f>'Ozone-Energy'!R202</f>
        <v>0</v>
      </c>
      <c r="T209" s="43">
        <f>'Ozone-Energy'!S202</f>
        <v>0</v>
      </c>
      <c r="U209" s="43"/>
      <c r="V209" s="43"/>
      <c r="W209">
        <f>'Ozone-Energy'!V202</f>
        <v>0</v>
      </c>
      <c r="X209">
        <f>'Ozone-Energy'!W202</f>
        <v>0</v>
      </c>
      <c r="Y209">
        <f>'Ozone-Energy'!X202</f>
        <v>0</v>
      </c>
      <c r="Z209">
        <f>'Ozone-Energy'!Y202</f>
        <v>0</v>
      </c>
      <c r="AA209" s="43"/>
    </row>
    <row r="210" spans="3:27" ht="15">
      <c r="C210">
        <v>193</v>
      </c>
      <c r="D210" s="359">
        <v>0</v>
      </c>
      <c r="E210" s="211">
        <f t="shared" ref="E210:E273" si="33">(D210/1000)*$J$7</f>
        <v>0</v>
      </c>
      <c r="F210" s="211">
        <f>'Studio Rain System'!L215</f>
        <v>15.529999999999996</v>
      </c>
      <c r="G210" s="211">
        <f>'Studio Rain System'!M215</f>
        <v>0.745</v>
      </c>
      <c r="H210" s="206">
        <f>'Flow Rate'!$W$27</f>
        <v>464206.53322409093</v>
      </c>
      <c r="I210" s="178">
        <f>'Ozone-Energy'!H203</f>
        <v>0</v>
      </c>
      <c r="J210" s="128">
        <f t="shared" si="24"/>
        <v>0</v>
      </c>
      <c r="K210" s="193">
        <f>'Ozone-Energy'!J203</f>
        <v>0</v>
      </c>
      <c r="L210" s="43">
        <f t="shared" ref="L210:L273" si="34">K210/1000</f>
        <v>0</v>
      </c>
      <c r="M210" s="43">
        <f>'Ozone-Energy'!L203</f>
        <v>0</v>
      </c>
      <c r="N210" s="179">
        <f>'Ozone-Energy'!M203</f>
        <v>0</v>
      </c>
      <c r="O210" s="43">
        <f>'Ozone-Energy'!N203</f>
        <v>1200</v>
      </c>
      <c r="P210" s="180">
        <f t="shared" si="32"/>
        <v>4.32</v>
      </c>
      <c r="Q210" s="181">
        <f t="shared" si="29"/>
        <v>4.32</v>
      </c>
      <c r="R210" s="43">
        <f>'Ozone-Energy'!Q203</f>
        <v>0</v>
      </c>
      <c r="S210" s="43">
        <f>'Ozone-Energy'!R203</f>
        <v>0</v>
      </c>
      <c r="T210" s="43">
        <f>'Ozone-Energy'!S203</f>
        <v>0</v>
      </c>
      <c r="U210" s="43"/>
      <c r="V210" s="43"/>
      <c r="W210">
        <f>'Ozone-Energy'!V203</f>
        <v>0</v>
      </c>
      <c r="X210">
        <f>'Ozone-Energy'!W203</f>
        <v>0</v>
      </c>
      <c r="Y210">
        <f>'Ozone-Energy'!X203</f>
        <v>0</v>
      </c>
      <c r="Z210">
        <f>'Ozone-Energy'!Y203</f>
        <v>0</v>
      </c>
      <c r="AA210" s="43"/>
    </row>
    <row r="211" spans="3:27" ht="15">
      <c r="C211">
        <v>194</v>
      </c>
      <c r="D211" s="359">
        <v>0</v>
      </c>
      <c r="E211" s="211">
        <f t="shared" si="33"/>
        <v>0</v>
      </c>
      <c r="F211" s="211">
        <f>'Studio Rain System'!L216</f>
        <v>14.784999999999997</v>
      </c>
      <c r="G211" s="211">
        <f>'Studio Rain System'!M216</f>
        <v>0.745</v>
      </c>
      <c r="H211" s="206">
        <f>'Flow Rate'!$W$27</f>
        <v>464206.53322409093</v>
      </c>
      <c r="I211" s="178">
        <f>'Ozone-Energy'!H204</f>
        <v>0</v>
      </c>
      <c r="J211" s="128">
        <f t="shared" ref="J211:J274" si="35">I211 * 10^(-6)</f>
        <v>0</v>
      </c>
      <c r="K211" s="193">
        <f>'Ozone-Energy'!J204</f>
        <v>0</v>
      </c>
      <c r="L211" s="43">
        <f t="shared" si="34"/>
        <v>0</v>
      </c>
      <c r="M211" s="43">
        <f>'Ozone-Energy'!L204</f>
        <v>0</v>
      </c>
      <c r="N211" s="179">
        <f>'Ozone-Energy'!M204</f>
        <v>0</v>
      </c>
      <c r="O211" s="43">
        <f>'Ozone-Energy'!N204</f>
        <v>1200</v>
      </c>
      <c r="P211" s="180">
        <f t="shared" si="32"/>
        <v>4.32</v>
      </c>
      <c r="Q211" s="181">
        <f t="shared" si="29"/>
        <v>4.32</v>
      </c>
      <c r="R211" s="43">
        <f>'Ozone-Energy'!Q204</f>
        <v>0</v>
      </c>
      <c r="S211" s="43">
        <f>'Ozone-Energy'!R204</f>
        <v>0</v>
      </c>
      <c r="T211" s="43">
        <f>'Ozone-Energy'!S204</f>
        <v>0</v>
      </c>
      <c r="U211" s="43"/>
      <c r="V211" s="43"/>
      <c r="W211">
        <f>'Ozone-Energy'!V204</f>
        <v>0</v>
      </c>
      <c r="X211">
        <f>'Ozone-Energy'!W204</f>
        <v>0</v>
      </c>
      <c r="Y211">
        <f>'Ozone-Energy'!X204</f>
        <v>0</v>
      </c>
      <c r="Z211">
        <f>'Ozone-Energy'!Y204</f>
        <v>0</v>
      </c>
      <c r="AA211" s="43"/>
    </row>
    <row r="212" spans="3:27" ht="15">
      <c r="C212">
        <v>195</v>
      </c>
      <c r="D212" s="359">
        <v>0</v>
      </c>
      <c r="E212" s="211">
        <f t="shared" si="33"/>
        <v>0</v>
      </c>
      <c r="F212" s="211">
        <f>'Studio Rain System'!L217</f>
        <v>14.039999999999997</v>
      </c>
      <c r="G212" s="211">
        <f>'Studio Rain System'!M217</f>
        <v>0.745</v>
      </c>
      <c r="H212" s="206">
        <f>'Flow Rate'!$W$27</f>
        <v>464206.53322409093</v>
      </c>
      <c r="I212" s="178">
        <f>'Ozone-Energy'!H205</f>
        <v>0</v>
      </c>
      <c r="J212" s="128">
        <f t="shared" si="35"/>
        <v>0</v>
      </c>
      <c r="K212" s="193">
        <f>'Ozone-Energy'!J205</f>
        <v>0</v>
      </c>
      <c r="L212" s="43">
        <f t="shared" si="34"/>
        <v>0</v>
      </c>
      <c r="M212" s="43">
        <f>'Ozone-Energy'!L205</f>
        <v>0</v>
      </c>
      <c r="N212" s="179">
        <f>'Ozone-Energy'!M205</f>
        <v>0</v>
      </c>
      <c r="O212" s="43">
        <f>'Ozone-Energy'!N205</f>
        <v>1200</v>
      </c>
      <c r="P212" s="180">
        <f t="shared" si="32"/>
        <v>4.32</v>
      </c>
      <c r="Q212" s="181">
        <f t="shared" si="29"/>
        <v>4.32</v>
      </c>
      <c r="R212" s="43">
        <f>'Ozone-Energy'!Q205</f>
        <v>0</v>
      </c>
      <c r="S212" s="43">
        <f>'Ozone-Energy'!R205</f>
        <v>0</v>
      </c>
      <c r="T212" s="43">
        <f>'Ozone-Energy'!S205</f>
        <v>0</v>
      </c>
      <c r="U212" s="43"/>
      <c r="V212" s="43"/>
      <c r="W212">
        <f>'Ozone-Energy'!V205</f>
        <v>0</v>
      </c>
      <c r="X212">
        <f>'Ozone-Energy'!W205</f>
        <v>0</v>
      </c>
      <c r="Y212">
        <f>'Ozone-Energy'!X205</f>
        <v>0</v>
      </c>
      <c r="Z212">
        <f>'Ozone-Energy'!Y205</f>
        <v>0</v>
      </c>
      <c r="AA212" s="43"/>
    </row>
    <row r="213" spans="3:27" ht="15">
      <c r="C213">
        <v>196</v>
      </c>
      <c r="D213" s="359">
        <v>0</v>
      </c>
      <c r="E213" s="211">
        <f t="shared" si="33"/>
        <v>0</v>
      </c>
      <c r="F213" s="211">
        <f>'Studio Rain System'!L218</f>
        <v>13.294999999999998</v>
      </c>
      <c r="G213" s="211">
        <f>'Studio Rain System'!M218</f>
        <v>0.745</v>
      </c>
      <c r="H213" s="206">
        <f>'Flow Rate'!$W$27</f>
        <v>464206.53322409093</v>
      </c>
      <c r="I213" s="178">
        <f>'Ozone-Energy'!H206</f>
        <v>0</v>
      </c>
      <c r="J213" s="128">
        <f t="shared" si="35"/>
        <v>0</v>
      </c>
      <c r="K213" s="193">
        <f>'Ozone-Energy'!J206</f>
        <v>0</v>
      </c>
      <c r="L213" s="43">
        <f t="shared" si="34"/>
        <v>0</v>
      </c>
      <c r="M213" s="43">
        <f>'Ozone-Energy'!L206</f>
        <v>0</v>
      </c>
      <c r="N213" s="179">
        <f>'Ozone-Energy'!M206</f>
        <v>0</v>
      </c>
      <c r="O213" s="43">
        <f>'Ozone-Energy'!N206</f>
        <v>1200</v>
      </c>
      <c r="P213" s="180">
        <f t="shared" si="32"/>
        <v>4.32</v>
      </c>
      <c r="Q213" s="181">
        <f t="shared" si="29"/>
        <v>4.32</v>
      </c>
      <c r="R213" s="43">
        <f>'Ozone-Energy'!Q206</f>
        <v>0</v>
      </c>
      <c r="S213" s="43">
        <f>'Ozone-Energy'!R206</f>
        <v>0</v>
      </c>
      <c r="T213" s="43">
        <f>'Ozone-Energy'!S206</f>
        <v>0</v>
      </c>
      <c r="U213" s="43"/>
      <c r="V213" s="43"/>
      <c r="W213">
        <f>'Ozone-Energy'!V206</f>
        <v>0</v>
      </c>
      <c r="X213">
        <f>'Ozone-Energy'!W206</f>
        <v>0</v>
      </c>
      <c r="Y213">
        <f>'Ozone-Energy'!X206</f>
        <v>0</v>
      </c>
      <c r="Z213">
        <f>'Ozone-Energy'!Y206</f>
        <v>0</v>
      </c>
      <c r="AA213" s="43"/>
    </row>
    <row r="214" spans="3:27" ht="15">
      <c r="C214">
        <v>197</v>
      </c>
      <c r="D214" s="359">
        <v>0</v>
      </c>
      <c r="E214" s="211">
        <f t="shared" si="33"/>
        <v>0</v>
      </c>
      <c r="F214" s="211">
        <f>'Studio Rain System'!L219</f>
        <v>12.549999999999999</v>
      </c>
      <c r="G214" s="211">
        <f>'Studio Rain System'!M219</f>
        <v>0.745</v>
      </c>
      <c r="H214" s="206">
        <f>'Flow Rate'!$W$27</f>
        <v>464206.53322409093</v>
      </c>
      <c r="I214" s="178">
        <f>'Ozone-Energy'!H207</f>
        <v>0</v>
      </c>
      <c r="J214" s="128">
        <f t="shared" si="35"/>
        <v>0</v>
      </c>
      <c r="K214" s="193">
        <f>'Ozone-Energy'!J207</f>
        <v>0</v>
      </c>
      <c r="L214" s="43">
        <f t="shared" si="34"/>
        <v>0</v>
      </c>
      <c r="M214" s="43">
        <f>'Ozone-Energy'!L207</f>
        <v>0</v>
      </c>
      <c r="N214" s="179">
        <f>'Ozone-Energy'!M207</f>
        <v>0</v>
      </c>
      <c r="O214" s="43">
        <f>'Ozone-Energy'!N207</f>
        <v>1200</v>
      </c>
      <c r="P214" s="180">
        <f t="shared" si="32"/>
        <v>4.32</v>
      </c>
      <c r="Q214" s="181">
        <f t="shared" si="29"/>
        <v>4.32</v>
      </c>
      <c r="R214" s="43">
        <f>'Ozone-Energy'!Q207</f>
        <v>0</v>
      </c>
      <c r="S214" s="43">
        <f>'Ozone-Energy'!R207</f>
        <v>0</v>
      </c>
      <c r="T214" s="43">
        <f>'Ozone-Energy'!S207</f>
        <v>0</v>
      </c>
      <c r="U214" s="43"/>
      <c r="V214" s="43"/>
      <c r="W214">
        <f>'Ozone-Energy'!V207</f>
        <v>0</v>
      </c>
      <c r="X214">
        <f>'Ozone-Energy'!W207</f>
        <v>0</v>
      </c>
      <c r="Y214">
        <f>'Ozone-Energy'!X207</f>
        <v>0</v>
      </c>
      <c r="Z214">
        <f>'Ozone-Energy'!Y207</f>
        <v>0</v>
      </c>
      <c r="AA214" s="43"/>
    </row>
    <row r="215" spans="3:27" ht="15">
      <c r="C215">
        <v>198</v>
      </c>
      <c r="D215" s="359">
        <v>0</v>
      </c>
      <c r="E215" s="211">
        <f t="shared" si="33"/>
        <v>0</v>
      </c>
      <c r="F215" s="211">
        <f>'Studio Rain System'!L220</f>
        <v>11.805</v>
      </c>
      <c r="G215" s="211">
        <f>'Studio Rain System'!M220</f>
        <v>0.745</v>
      </c>
      <c r="H215" s="206">
        <f>'Flow Rate'!$W$27</f>
        <v>464206.53322409093</v>
      </c>
      <c r="I215" s="178">
        <f>'Ozone-Energy'!H208</f>
        <v>0</v>
      </c>
      <c r="J215" s="128">
        <f t="shared" si="35"/>
        <v>0</v>
      </c>
      <c r="K215" s="193">
        <f>'Ozone-Energy'!J208</f>
        <v>0</v>
      </c>
      <c r="L215" s="43">
        <f t="shared" si="34"/>
        <v>0</v>
      </c>
      <c r="M215" s="43">
        <f>'Ozone-Energy'!L208</f>
        <v>0</v>
      </c>
      <c r="N215" s="179">
        <f>'Ozone-Energy'!M208</f>
        <v>0</v>
      </c>
      <c r="O215" s="43">
        <f>'Ozone-Energy'!N208</f>
        <v>1200</v>
      </c>
      <c r="P215" s="180">
        <f t="shared" si="32"/>
        <v>4.32</v>
      </c>
      <c r="Q215" s="181">
        <f t="shared" si="29"/>
        <v>4.32</v>
      </c>
      <c r="R215" s="43">
        <f>'Ozone-Energy'!Q208</f>
        <v>0</v>
      </c>
      <c r="S215" s="43">
        <f>'Ozone-Energy'!R208</f>
        <v>0</v>
      </c>
      <c r="T215" s="43">
        <f>'Ozone-Energy'!S208</f>
        <v>0</v>
      </c>
      <c r="U215" s="43"/>
      <c r="V215" s="43"/>
      <c r="W215">
        <f>'Ozone-Energy'!V208</f>
        <v>0</v>
      </c>
      <c r="X215">
        <f>'Ozone-Energy'!W208</f>
        <v>0</v>
      </c>
      <c r="Y215">
        <f>'Ozone-Energy'!X208</f>
        <v>0</v>
      </c>
      <c r="Z215">
        <f>'Ozone-Energy'!Y208</f>
        <v>0</v>
      </c>
      <c r="AA215" s="43"/>
    </row>
    <row r="216" spans="3:27" ht="15">
      <c r="C216">
        <v>199</v>
      </c>
      <c r="D216" s="359">
        <v>37</v>
      </c>
      <c r="E216" s="211">
        <f t="shared" si="33"/>
        <v>40.699999999999996</v>
      </c>
      <c r="F216" s="211">
        <f>'Studio Rain System'!L221</f>
        <v>20</v>
      </c>
      <c r="G216" s="211">
        <f>'Studio Rain System'!M221</f>
        <v>0.745</v>
      </c>
      <c r="H216" s="206">
        <f>'Flow Rate'!$W$27</f>
        <v>464206.53322409093</v>
      </c>
      <c r="I216" s="178">
        <f>'Ozone-Energy'!H209</f>
        <v>7302742.8571428563</v>
      </c>
      <c r="J216" s="128">
        <f t="shared" si="35"/>
        <v>7.3027428571428556</v>
      </c>
      <c r="K216" s="193">
        <f>'Ozone-Energy'!J209</f>
        <v>203499.99999999994</v>
      </c>
      <c r="L216" s="43">
        <f t="shared" si="34"/>
        <v>203.49999999999994</v>
      </c>
      <c r="M216" s="43">
        <f>'Ozone-Energy'!L209</f>
        <v>406999999.99999988</v>
      </c>
      <c r="N216" s="179">
        <f>'Ozone-Energy'!M209</f>
        <v>406.99999999999989</v>
      </c>
      <c r="O216" s="43">
        <f>'Ozone-Energy'!N209</f>
        <v>1200</v>
      </c>
      <c r="P216" s="180">
        <f t="shared" si="32"/>
        <v>4.32</v>
      </c>
      <c r="Q216" s="181">
        <f t="shared" si="29"/>
        <v>418.62274285714273</v>
      </c>
      <c r="R216" s="43">
        <f>'Ozone-Energy'!Q209</f>
        <v>0</v>
      </c>
      <c r="S216" s="43">
        <f>'Ozone-Energy'!R209</f>
        <v>0</v>
      </c>
      <c r="T216" s="43">
        <f>'Ozone-Energy'!S209</f>
        <v>0</v>
      </c>
      <c r="U216" s="43"/>
      <c r="V216" s="43"/>
      <c r="W216">
        <f>'Ozone-Energy'!V209</f>
        <v>0</v>
      </c>
      <c r="X216">
        <f>'Ozone-Energy'!W209</f>
        <v>0</v>
      </c>
      <c r="Y216">
        <f>'Ozone-Energy'!X209</f>
        <v>0</v>
      </c>
      <c r="Z216">
        <f>'Ozone-Energy'!Y209</f>
        <v>0</v>
      </c>
      <c r="AA216" s="43"/>
    </row>
    <row r="217" spans="3:27" ht="15">
      <c r="C217">
        <v>200</v>
      </c>
      <c r="D217" s="359">
        <v>1.8</v>
      </c>
      <c r="E217" s="211">
        <f t="shared" si="33"/>
        <v>1.98</v>
      </c>
      <c r="F217" s="211">
        <f>'Studio Rain System'!L222</f>
        <v>20</v>
      </c>
      <c r="G217" s="211">
        <f>'Studio Rain System'!M222</f>
        <v>0.745</v>
      </c>
      <c r="H217" s="206">
        <f>'Flow Rate'!$W$27</f>
        <v>464206.53322409093</v>
      </c>
      <c r="I217" s="178">
        <f>'Ozone-Energy'!H210</f>
        <v>355268.57142857148</v>
      </c>
      <c r="J217" s="128">
        <f t="shared" si="35"/>
        <v>0.35526857142857149</v>
      </c>
      <c r="K217" s="193">
        <f>'Ozone-Energy'!J210</f>
        <v>9900</v>
      </c>
      <c r="L217" s="43">
        <f t="shared" si="34"/>
        <v>9.9</v>
      </c>
      <c r="M217" s="43">
        <f>'Ozone-Energy'!L210</f>
        <v>19800000</v>
      </c>
      <c r="N217" s="179">
        <f>'Ozone-Energy'!M210</f>
        <v>19.8</v>
      </c>
      <c r="O217" s="43">
        <f>'Ozone-Energy'!N210</f>
        <v>1200</v>
      </c>
      <c r="P217" s="180">
        <f t="shared" si="32"/>
        <v>4.32</v>
      </c>
      <c r="Q217" s="181">
        <f t="shared" si="29"/>
        <v>24.475268571428572</v>
      </c>
      <c r="R217" s="43">
        <f>'Ozone-Energy'!Q210</f>
        <v>0</v>
      </c>
      <c r="S217" s="43">
        <f>'Ozone-Energy'!R210</f>
        <v>0</v>
      </c>
      <c r="T217" s="43">
        <f>'Ozone-Energy'!S210</f>
        <v>0</v>
      </c>
      <c r="U217" s="43"/>
      <c r="V217" s="43"/>
      <c r="W217">
        <f>'Ozone-Energy'!V210</f>
        <v>0</v>
      </c>
      <c r="X217">
        <f>'Ozone-Energy'!W210</f>
        <v>0</v>
      </c>
      <c r="Y217">
        <f>'Ozone-Energy'!X210</f>
        <v>0</v>
      </c>
      <c r="Z217">
        <f>'Ozone-Energy'!Y210</f>
        <v>0</v>
      </c>
      <c r="AA217" s="43"/>
    </row>
    <row r="218" spans="3:27" ht="15">
      <c r="C218">
        <v>201</v>
      </c>
      <c r="D218" s="359">
        <v>0</v>
      </c>
      <c r="E218" s="211">
        <f t="shared" si="33"/>
        <v>0</v>
      </c>
      <c r="F218" s="211">
        <f>'Studio Rain System'!L223</f>
        <v>19.254999999999999</v>
      </c>
      <c r="G218" s="211">
        <f>'Studio Rain System'!M223</f>
        <v>0.745</v>
      </c>
      <c r="H218" s="206">
        <f>'Flow Rate'!$W$27</f>
        <v>464206.53322409093</v>
      </c>
      <c r="I218" s="178">
        <f>'Ozone-Energy'!H211</f>
        <v>0</v>
      </c>
      <c r="J218" s="128">
        <f t="shared" si="35"/>
        <v>0</v>
      </c>
      <c r="K218" s="193">
        <f>'Ozone-Energy'!J211</f>
        <v>0</v>
      </c>
      <c r="L218" s="43">
        <f t="shared" si="34"/>
        <v>0</v>
      </c>
      <c r="M218" s="43">
        <f>'Ozone-Energy'!L211</f>
        <v>0</v>
      </c>
      <c r="N218" s="179">
        <f>'Ozone-Energy'!M211</f>
        <v>0</v>
      </c>
      <c r="O218" s="43">
        <f>'Ozone-Energy'!N211</f>
        <v>1200</v>
      </c>
      <c r="P218" s="180">
        <f xml:space="preserve"> O218 * 3600 / 1000000</f>
        <v>4.32</v>
      </c>
      <c r="Q218" s="181">
        <f t="shared" si="29"/>
        <v>4.32</v>
      </c>
      <c r="R218" s="43">
        <f>'Ozone-Energy'!Q211</f>
        <v>0</v>
      </c>
      <c r="S218" s="43">
        <f>'Ozone-Energy'!R211</f>
        <v>0</v>
      </c>
      <c r="T218" s="43">
        <f>'Ozone-Energy'!S211</f>
        <v>0</v>
      </c>
      <c r="U218" s="43"/>
      <c r="V218" s="43"/>
      <c r="W218">
        <f>'Ozone-Energy'!V211</f>
        <v>0</v>
      </c>
      <c r="X218">
        <f>'Ozone-Energy'!W211</f>
        <v>0</v>
      </c>
      <c r="Y218">
        <f>'Ozone-Energy'!X211</f>
        <v>0</v>
      </c>
      <c r="Z218">
        <f>'Ozone-Energy'!Y211</f>
        <v>0</v>
      </c>
      <c r="AA218" s="43"/>
    </row>
    <row r="219" spans="3:27" ht="15">
      <c r="C219">
        <v>202</v>
      </c>
      <c r="D219" s="359">
        <v>0</v>
      </c>
      <c r="E219" s="211">
        <f t="shared" si="33"/>
        <v>0</v>
      </c>
      <c r="F219" s="211">
        <f>'Studio Rain System'!L224</f>
        <v>18.509999999999998</v>
      </c>
      <c r="G219" s="211">
        <f>'Studio Rain System'!M224</f>
        <v>0.745</v>
      </c>
      <c r="H219" s="206">
        <f>'Flow Rate'!$W$27</f>
        <v>464206.53322409093</v>
      </c>
      <c r="I219" s="178">
        <f>'Ozone-Energy'!H212</f>
        <v>0</v>
      </c>
      <c r="J219" s="128">
        <f t="shared" si="35"/>
        <v>0</v>
      </c>
      <c r="K219" s="193">
        <f>'Ozone-Energy'!J212</f>
        <v>0</v>
      </c>
      <c r="L219" s="43">
        <f t="shared" si="34"/>
        <v>0</v>
      </c>
      <c r="M219" s="43">
        <f>'Ozone-Energy'!L212</f>
        <v>0</v>
      </c>
      <c r="N219" s="179">
        <f>'Ozone-Energy'!M212</f>
        <v>0</v>
      </c>
      <c r="O219" s="43">
        <f>'Ozone-Energy'!N212</f>
        <v>1200</v>
      </c>
      <c r="P219" s="180">
        <f t="shared" ref="P219:P227" si="36">O219 * 3600 / 1000000</f>
        <v>4.32</v>
      </c>
      <c r="Q219" s="181">
        <f t="shared" si="29"/>
        <v>4.32</v>
      </c>
      <c r="R219" s="43">
        <f>'Ozone-Energy'!Q212</f>
        <v>0</v>
      </c>
      <c r="S219" s="43">
        <f>'Ozone-Energy'!R212</f>
        <v>0</v>
      </c>
      <c r="T219" s="43">
        <f>'Ozone-Energy'!S212</f>
        <v>0</v>
      </c>
      <c r="U219" s="43"/>
      <c r="V219" s="43"/>
      <c r="W219">
        <f>'Ozone-Energy'!V212</f>
        <v>0</v>
      </c>
      <c r="X219">
        <f>'Ozone-Energy'!W212</f>
        <v>0</v>
      </c>
      <c r="Y219">
        <f>'Ozone-Energy'!X212</f>
        <v>0</v>
      </c>
      <c r="Z219">
        <f>'Ozone-Energy'!Y212</f>
        <v>0</v>
      </c>
      <c r="AA219" s="43"/>
    </row>
    <row r="220" spans="3:27" ht="15">
      <c r="C220">
        <v>203</v>
      </c>
      <c r="D220" s="359">
        <v>8</v>
      </c>
      <c r="E220" s="211">
        <f t="shared" si="33"/>
        <v>8.8000000000000007</v>
      </c>
      <c r="F220" s="211">
        <f>'Studio Rain System'!L225</f>
        <v>20</v>
      </c>
      <c r="G220" s="211">
        <f>'Studio Rain System'!M225</f>
        <v>0.745</v>
      </c>
      <c r="H220" s="206">
        <f>'Flow Rate'!$W$27</f>
        <v>464206.53322409093</v>
      </c>
      <c r="I220" s="178">
        <f>'Ozone-Energy'!H213</f>
        <v>1578971.4285714286</v>
      </c>
      <c r="J220" s="128">
        <f t="shared" si="35"/>
        <v>1.5789714285714285</v>
      </c>
      <c r="K220" s="193">
        <f>'Ozone-Energy'!J213</f>
        <v>44000</v>
      </c>
      <c r="L220" s="43">
        <f t="shared" si="34"/>
        <v>44</v>
      </c>
      <c r="M220" s="43">
        <f>'Ozone-Energy'!L213</f>
        <v>88000000</v>
      </c>
      <c r="N220" s="179">
        <f>'Ozone-Energy'!M213</f>
        <v>88</v>
      </c>
      <c r="O220" s="43">
        <f>'Ozone-Energy'!N213</f>
        <v>1200</v>
      </c>
      <c r="P220" s="180">
        <f t="shared" si="36"/>
        <v>4.32</v>
      </c>
      <c r="Q220" s="181">
        <f t="shared" si="29"/>
        <v>93.898971428571429</v>
      </c>
      <c r="R220" s="43">
        <f>'Ozone-Energy'!Q213</f>
        <v>0</v>
      </c>
      <c r="S220" s="43">
        <f>'Ozone-Energy'!R213</f>
        <v>0</v>
      </c>
      <c r="T220" s="43">
        <f>'Ozone-Energy'!S213</f>
        <v>0</v>
      </c>
      <c r="U220" s="43"/>
      <c r="V220" s="43"/>
      <c r="W220">
        <f>'Ozone-Energy'!V213</f>
        <v>0</v>
      </c>
      <c r="X220">
        <f>'Ozone-Energy'!W213</f>
        <v>0</v>
      </c>
      <c r="Y220">
        <f>'Ozone-Energy'!X213</f>
        <v>0</v>
      </c>
      <c r="Z220">
        <f>'Ozone-Energy'!Y213</f>
        <v>0</v>
      </c>
      <c r="AA220" s="43"/>
    </row>
    <row r="221" spans="3:27" ht="15">
      <c r="C221">
        <v>204</v>
      </c>
      <c r="D221" s="359">
        <v>18.2</v>
      </c>
      <c r="E221" s="211">
        <f t="shared" si="33"/>
        <v>20.02</v>
      </c>
      <c r="F221" s="211">
        <f>'Studio Rain System'!L226</f>
        <v>20</v>
      </c>
      <c r="G221" s="211">
        <f>'Studio Rain System'!M226</f>
        <v>0.745</v>
      </c>
      <c r="H221" s="206">
        <f>'Flow Rate'!$W$27</f>
        <v>464206.53322409093</v>
      </c>
      <c r="I221" s="178">
        <f>'Ozone-Energy'!H214</f>
        <v>3592160</v>
      </c>
      <c r="J221" s="128">
        <f t="shared" si="35"/>
        <v>3.5921599999999998</v>
      </c>
      <c r="K221" s="193">
        <f>'Ozone-Energy'!J214</f>
        <v>100100</v>
      </c>
      <c r="L221" s="43">
        <f t="shared" si="34"/>
        <v>100.1</v>
      </c>
      <c r="M221" s="43">
        <f>'Ozone-Energy'!L214</f>
        <v>200200000</v>
      </c>
      <c r="N221" s="179">
        <f>'Ozone-Energy'!M214</f>
        <v>200.2</v>
      </c>
      <c r="O221" s="43">
        <f>'Ozone-Energy'!N214</f>
        <v>1200</v>
      </c>
      <c r="P221" s="180">
        <f t="shared" si="36"/>
        <v>4.32</v>
      </c>
      <c r="Q221" s="181">
        <f t="shared" si="29"/>
        <v>208.11215999999999</v>
      </c>
      <c r="R221" s="43">
        <f>'Ozone-Energy'!Q214</f>
        <v>0</v>
      </c>
      <c r="S221" s="43">
        <f>'Ozone-Energy'!R214</f>
        <v>0</v>
      </c>
      <c r="T221" s="43">
        <f>'Ozone-Energy'!S214</f>
        <v>0</v>
      </c>
      <c r="U221" s="43"/>
      <c r="V221" s="43"/>
      <c r="W221">
        <f>'Ozone-Energy'!V214</f>
        <v>0</v>
      </c>
      <c r="X221">
        <f>'Ozone-Energy'!W214</f>
        <v>0</v>
      </c>
      <c r="Y221">
        <f>'Ozone-Energy'!X214</f>
        <v>0</v>
      </c>
      <c r="Z221">
        <f>'Ozone-Energy'!Y214</f>
        <v>0</v>
      </c>
      <c r="AA221" s="43"/>
    </row>
    <row r="222" spans="3:27" ht="15">
      <c r="C222">
        <v>205</v>
      </c>
      <c r="D222" s="359">
        <v>0.6</v>
      </c>
      <c r="E222" s="211">
        <f t="shared" si="33"/>
        <v>0.65999999999999992</v>
      </c>
      <c r="F222" s="211">
        <f>'Studio Rain System'!L227</f>
        <v>19.914999999999999</v>
      </c>
      <c r="G222" s="211">
        <f>'Studio Rain System'!M227</f>
        <v>0.745</v>
      </c>
      <c r="H222" s="206">
        <f>'Flow Rate'!$W$27</f>
        <v>464206.53322409093</v>
      </c>
      <c r="I222" s="178">
        <f>'Ozone-Energy'!H215</f>
        <v>118422.85714285713</v>
      </c>
      <c r="J222" s="128">
        <f t="shared" si="35"/>
        <v>0.11842285714285712</v>
      </c>
      <c r="K222" s="193">
        <f>'Ozone-Energy'!J215</f>
        <v>3299.9999999999991</v>
      </c>
      <c r="L222" s="43">
        <f t="shared" si="34"/>
        <v>3.2999999999999989</v>
      </c>
      <c r="M222" s="43">
        <f>'Ozone-Energy'!L215</f>
        <v>6599999.9999999981</v>
      </c>
      <c r="N222" s="179">
        <f>'Ozone-Energy'!M215</f>
        <v>6.5999999999999979</v>
      </c>
      <c r="O222" s="43">
        <f>'Ozone-Energy'!N215</f>
        <v>1200</v>
      </c>
      <c r="P222" s="180">
        <f t="shared" si="36"/>
        <v>4.32</v>
      </c>
      <c r="Q222" s="181">
        <f t="shared" si="29"/>
        <v>11.038422857142855</v>
      </c>
      <c r="R222" s="43">
        <f>'Ozone-Energy'!Q215</f>
        <v>0</v>
      </c>
      <c r="S222" s="43">
        <f>'Ozone-Energy'!R215</f>
        <v>0</v>
      </c>
      <c r="T222" s="43">
        <f>'Ozone-Energy'!S215</f>
        <v>0</v>
      </c>
      <c r="U222" s="43"/>
      <c r="V222" s="43"/>
      <c r="W222">
        <f>'Ozone-Energy'!V215</f>
        <v>0</v>
      </c>
      <c r="X222">
        <f>'Ozone-Energy'!W215</f>
        <v>0</v>
      </c>
      <c r="Y222">
        <f>'Ozone-Energy'!X215</f>
        <v>0</v>
      </c>
      <c r="Z222">
        <f>'Ozone-Energy'!Y215</f>
        <v>0</v>
      </c>
      <c r="AA222" s="43"/>
    </row>
    <row r="223" spans="3:27" ht="15">
      <c r="C223">
        <v>206</v>
      </c>
      <c r="D223" s="359">
        <v>0</v>
      </c>
      <c r="E223" s="211">
        <f t="shared" si="33"/>
        <v>0</v>
      </c>
      <c r="F223" s="211">
        <f>'Studio Rain System'!L228</f>
        <v>19.169999999999998</v>
      </c>
      <c r="G223" s="211">
        <f>'Studio Rain System'!M228</f>
        <v>0.745</v>
      </c>
      <c r="H223" s="206">
        <f>'Flow Rate'!$W$27</f>
        <v>464206.53322409093</v>
      </c>
      <c r="I223" s="178">
        <f>'Ozone-Energy'!H216</f>
        <v>0</v>
      </c>
      <c r="J223" s="128">
        <f t="shared" si="35"/>
        <v>0</v>
      </c>
      <c r="K223" s="193">
        <f>'Ozone-Energy'!J216</f>
        <v>0</v>
      </c>
      <c r="L223" s="43">
        <f t="shared" si="34"/>
        <v>0</v>
      </c>
      <c r="M223" s="43">
        <f>'Ozone-Energy'!L216</f>
        <v>0</v>
      </c>
      <c r="N223" s="179">
        <f>'Ozone-Energy'!M216</f>
        <v>0</v>
      </c>
      <c r="O223" s="43">
        <f>'Ozone-Energy'!N216</f>
        <v>1200</v>
      </c>
      <c r="P223" s="180">
        <f t="shared" si="36"/>
        <v>4.32</v>
      </c>
      <c r="Q223" s="181">
        <f t="shared" si="29"/>
        <v>4.32</v>
      </c>
      <c r="R223" s="43">
        <f>'Ozone-Energy'!Q216</f>
        <v>0</v>
      </c>
      <c r="S223" s="43">
        <f>'Ozone-Energy'!R216</f>
        <v>0</v>
      </c>
      <c r="T223" s="43">
        <f>'Ozone-Energy'!S216</f>
        <v>0</v>
      </c>
      <c r="U223" s="43"/>
      <c r="V223" s="43"/>
      <c r="W223">
        <f>'Ozone-Energy'!V216</f>
        <v>0</v>
      </c>
      <c r="X223">
        <f>'Ozone-Energy'!W216</f>
        <v>0</v>
      </c>
      <c r="Y223">
        <f>'Ozone-Energy'!X216</f>
        <v>0</v>
      </c>
      <c r="Z223">
        <f>'Ozone-Energy'!Y216</f>
        <v>0</v>
      </c>
      <c r="AA223" s="43"/>
    </row>
    <row r="224" spans="3:27" ht="15">
      <c r="C224">
        <v>207</v>
      </c>
      <c r="D224" s="359">
        <v>0</v>
      </c>
      <c r="E224" s="211">
        <f t="shared" si="33"/>
        <v>0</v>
      </c>
      <c r="F224" s="211">
        <f>'Studio Rain System'!L229</f>
        <v>18.424999999999997</v>
      </c>
      <c r="G224" s="211">
        <f>'Studio Rain System'!M229</f>
        <v>0.745</v>
      </c>
      <c r="H224" s="206">
        <f>'Flow Rate'!$W$27</f>
        <v>464206.53322409093</v>
      </c>
      <c r="I224" s="178">
        <f>'Ozone-Energy'!H217</f>
        <v>0</v>
      </c>
      <c r="J224" s="128">
        <f t="shared" si="35"/>
        <v>0</v>
      </c>
      <c r="K224" s="193">
        <f>'Ozone-Energy'!J217</f>
        <v>0</v>
      </c>
      <c r="L224" s="43">
        <f t="shared" si="34"/>
        <v>0</v>
      </c>
      <c r="M224" s="43">
        <f>'Ozone-Energy'!L217</f>
        <v>0</v>
      </c>
      <c r="N224" s="179">
        <f>'Ozone-Energy'!M217</f>
        <v>0</v>
      </c>
      <c r="O224" s="43">
        <f>'Ozone-Energy'!N217</f>
        <v>1200</v>
      </c>
      <c r="P224" s="180">
        <f t="shared" si="36"/>
        <v>4.32</v>
      </c>
      <c r="Q224" s="181">
        <f t="shared" si="29"/>
        <v>4.32</v>
      </c>
      <c r="R224" s="43">
        <f>'Ozone-Energy'!Q217</f>
        <v>0</v>
      </c>
      <c r="S224" s="43">
        <f>'Ozone-Energy'!R217</f>
        <v>0</v>
      </c>
      <c r="T224" s="43">
        <f>'Ozone-Energy'!S217</f>
        <v>0</v>
      </c>
      <c r="U224" s="43"/>
      <c r="V224" s="43"/>
      <c r="W224">
        <f>'Ozone-Energy'!V217</f>
        <v>0</v>
      </c>
      <c r="X224">
        <f>'Ozone-Energy'!W217</f>
        <v>0</v>
      </c>
      <c r="Y224">
        <f>'Ozone-Energy'!X217</f>
        <v>0</v>
      </c>
      <c r="Z224">
        <f>'Ozone-Energy'!Y217</f>
        <v>0</v>
      </c>
      <c r="AA224" s="43"/>
    </row>
    <row r="225" spans="3:27" ht="15">
      <c r="C225">
        <v>208</v>
      </c>
      <c r="D225" s="359">
        <v>0</v>
      </c>
      <c r="E225" s="211">
        <f t="shared" si="33"/>
        <v>0</v>
      </c>
      <c r="F225" s="211">
        <f>'Studio Rain System'!L230</f>
        <v>17.679999999999996</v>
      </c>
      <c r="G225" s="211">
        <f>'Studio Rain System'!M230</f>
        <v>0.745</v>
      </c>
      <c r="H225" s="206">
        <f>'Flow Rate'!$W$27</f>
        <v>464206.53322409093</v>
      </c>
      <c r="I225" s="178">
        <f>'Ozone-Energy'!H218</f>
        <v>0</v>
      </c>
      <c r="J225" s="128">
        <f t="shared" si="35"/>
        <v>0</v>
      </c>
      <c r="K225" s="193">
        <f>'Ozone-Energy'!J218</f>
        <v>0</v>
      </c>
      <c r="L225" s="43">
        <f t="shared" si="34"/>
        <v>0</v>
      </c>
      <c r="M225" s="43">
        <f>'Ozone-Energy'!L218</f>
        <v>0</v>
      </c>
      <c r="N225" s="179">
        <f>'Ozone-Energy'!M218</f>
        <v>0</v>
      </c>
      <c r="O225" s="43">
        <f>'Ozone-Energy'!N218</f>
        <v>1200</v>
      </c>
      <c r="P225" s="180">
        <f t="shared" si="36"/>
        <v>4.32</v>
      </c>
      <c r="Q225" s="181">
        <f t="shared" si="29"/>
        <v>4.32</v>
      </c>
      <c r="R225" s="43">
        <f>'Ozone-Energy'!Q218</f>
        <v>0</v>
      </c>
      <c r="S225" s="43">
        <f>'Ozone-Energy'!R218</f>
        <v>0</v>
      </c>
      <c r="T225" s="43">
        <f>'Ozone-Energy'!S218</f>
        <v>0</v>
      </c>
      <c r="U225" s="43"/>
      <c r="V225" s="43"/>
      <c r="W225">
        <f>'Ozone-Energy'!V218</f>
        <v>0</v>
      </c>
      <c r="X225">
        <f>'Ozone-Energy'!W218</f>
        <v>0</v>
      </c>
      <c r="Y225">
        <f>'Ozone-Energy'!X218</f>
        <v>0</v>
      </c>
      <c r="Z225">
        <f>'Ozone-Energy'!Y218</f>
        <v>0</v>
      </c>
      <c r="AA225" s="43"/>
    </row>
    <row r="226" spans="3:27" ht="15">
      <c r="C226">
        <v>209</v>
      </c>
      <c r="D226" s="359">
        <v>0</v>
      </c>
      <c r="E226" s="211">
        <f t="shared" si="33"/>
        <v>0</v>
      </c>
      <c r="F226" s="211">
        <f>'Studio Rain System'!L231</f>
        <v>16.934999999999995</v>
      </c>
      <c r="G226" s="211">
        <f>'Studio Rain System'!M231</f>
        <v>0.745</v>
      </c>
      <c r="H226" s="206">
        <f>'Flow Rate'!$W$27</f>
        <v>464206.53322409093</v>
      </c>
      <c r="I226" s="178">
        <f>'Ozone-Energy'!H219</f>
        <v>0</v>
      </c>
      <c r="J226" s="128">
        <f t="shared" si="35"/>
        <v>0</v>
      </c>
      <c r="K226" s="193">
        <f>'Ozone-Energy'!J219</f>
        <v>0</v>
      </c>
      <c r="L226" s="43">
        <f t="shared" si="34"/>
        <v>0</v>
      </c>
      <c r="M226" s="43">
        <f>'Ozone-Energy'!L219</f>
        <v>0</v>
      </c>
      <c r="N226" s="179">
        <f>'Ozone-Energy'!M219</f>
        <v>0</v>
      </c>
      <c r="O226" s="43">
        <f>'Ozone-Energy'!N219</f>
        <v>1200</v>
      </c>
      <c r="P226" s="180">
        <f t="shared" si="36"/>
        <v>4.32</v>
      </c>
      <c r="Q226" s="181">
        <f t="shared" si="29"/>
        <v>4.32</v>
      </c>
      <c r="R226" s="43">
        <f>'Ozone-Energy'!Q219</f>
        <v>0</v>
      </c>
      <c r="S226" s="43">
        <f>'Ozone-Energy'!R219</f>
        <v>0</v>
      </c>
      <c r="T226" s="43">
        <f>'Ozone-Energy'!S219</f>
        <v>0</v>
      </c>
      <c r="U226" s="43"/>
      <c r="V226" s="43"/>
      <c r="W226">
        <f>'Ozone-Energy'!V219</f>
        <v>0</v>
      </c>
      <c r="X226">
        <f>'Ozone-Energy'!W219</f>
        <v>0</v>
      </c>
      <c r="Y226">
        <f>'Ozone-Energy'!X219</f>
        <v>0</v>
      </c>
      <c r="Z226">
        <f>'Ozone-Energy'!Y219</f>
        <v>0</v>
      </c>
      <c r="AA226" s="43"/>
    </row>
    <row r="227" spans="3:27" ht="15">
      <c r="C227">
        <v>210</v>
      </c>
      <c r="D227" s="359">
        <v>0</v>
      </c>
      <c r="E227" s="211">
        <f t="shared" si="33"/>
        <v>0</v>
      </c>
      <c r="F227" s="211">
        <f>'Studio Rain System'!L232</f>
        <v>16.189999999999994</v>
      </c>
      <c r="G227" s="211">
        <f>'Studio Rain System'!M232</f>
        <v>0.745</v>
      </c>
      <c r="H227" s="206">
        <f>'Flow Rate'!$W$27</f>
        <v>464206.53322409093</v>
      </c>
      <c r="I227" s="178">
        <f>'Ozone-Energy'!H220</f>
        <v>0</v>
      </c>
      <c r="J227" s="128">
        <f t="shared" si="35"/>
        <v>0</v>
      </c>
      <c r="K227" s="193">
        <f>'Ozone-Energy'!J220</f>
        <v>0</v>
      </c>
      <c r="L227" s="43">
        <f t="shared" si="34"/>
        <v>0</v>
      </c>
      <c r="M227" s="43">
        <f>'Ozone-Energy'!L220</f>
        <v>0</v>
      </c>
      <c r="N227" s="179">
        <f>'Ozone-Energy'!M220</f>
        <v>0</v>
      </c>
      <c r="O227" s="43">
        <f>'Ozone-Energy'!N220</f>
        <v>1200</v>
      </c>
      <c r="P227" s="180">
        <f t="shared" si="36"/>
        <v>4.32</v>
      </c>
      <c r="Q227" s="181">
        <f t="shared" si="29"/>
        <v>4.32</v>
      </c>
      <c r="R227" s="43">
        <f>'Ozone-Energy'!Q220</f>
        <v>0</v>
      </c>
      <c r="S227" s="43">
        <f>'Ozone-Energy'!R220</f>
        <v>0</v>
      </c>
      <c r="T227" s="43">
        <f>'Ozone-Energy'!S220</f>
        <v>0</v>
      </c>
      <c r="U227" s="43"/>
      <c r="V227" s="43"/>
      <c r="W227">
        <f>'Ozone-Energy'!V220</f>
        <v>0</v>
      </c>
      <c r="X227">
        <f>'Ozone-Energy'!W220</f>
        <v>0</v>
      </c>
      <c r="Y227">
        <f>'Ozone-Energy'!X220</f>
        <v>0</v>
      </c>
      <c r="Z227">
        <f>'Ozone-Energy'!Y220</f>
        <v>0</v>
      </c>
      <c r="AA227" s="43"/>
    </row>
    <row r="228" spans="3:27" ht="15">
      <c r="C228">
        <v>211</v>
      </c>
      <c r="D228" s="359">
        <v>0</v>
      </c>
      <c r="E228" s="211">
        <f t="shared" si="33"/>
        <v>0</v>
      </c>
      <c r="F228" s="211">
        <f>'Studio Rain System'!L233</f>
        <v>15.444999999999995</v>
      </c>
      <c r="G228" s="211">
        <f>'Studio Rain System'!M233</f>
        <v>0.745</v>
      </c>
      <c r="H228" s="206">
        <f>'Flow Rate'!$W$27</f>
        <v>464206.53322409093</v>
      </c>
      <c r="I228" s="178">
        <f>'Ozone-Energy'!H221</f>
        <v>0</v>
      </c>
      <c r="J228" s="128">
        <f t="shared" si="35"/>
        <v>0</v>
      </c>
      <c r="K228" s="193">
        <f>'Ozone-Energy'!J221</f>
        <v>0</v>
      </c>
      <c r="L228" s="43">
        <f t="shared" si="34"/>
        <v>0</v>
      </c>
      <c r="M228" s="43">
        <f>'Ozone-Energy'!L221</f>
        <v>0</v>
      </c>
      <c r="N228" s="179">
        <f>'Ozone-Energy'!M221</f>
        <v>0</v>
      </c>
      <c r="O228" s="43">
        <f>'Ozone-Energy'!N221</f>
        <v>1200</v>
      </c>
      <c r="P228" s="180">
        <f xml:space="preserve"> O228 * 3600 / 1000000</f>
        <v>4.32</v>
      </c>
      <c r="Q228" s="181">
        <f t="shared" si="29"/>
        <v>4.32</v>
      </c>
      <c r="R228" s="43">
        <f>'Ozone-Energy'!Q221</f>
        <v>0</v>
      </c>
      <c r="S228" s="43">
        <f>'Ozone-Energy'!R221</f>
        <v>0</v>
      </c>
      <c r="T228" s="43">
        <f>'Ozone-Energy'!S221</f>
        <v>0</v>
      </c>
      <c r="U228" s="43"/>
      <c r="V228" s="43"/>
      <c r="W228">
        <f>'Ozone-Energy'!V221</f>
        <v>0</v>
      </c>
      <c r="X228">
        <f>'Ozone-Energy'!W221</f>
        <v>0</v>
      </c>
      <c r="Y228">
        <f>'Ozone-Energy'!X221</f>
        <v>0</v>
      </c>
      <c r="Z228">
        <f>'Ozone-Energy'!Y221</f>
        <v>0</v>
      </c>
      <c r="AA228" s="43"/>
    </row>
    <row r="229" spans="3:27" ht="15">
      <c r="C229">
        <v>212</v>
      </c>
      <c r="D229" s="359">
        <v>0</v>
      </c>
      <c r="E229" s="211">
        <f t="shared" si="33"/>
        <v>0</v>
      </c>
      <c r="F229" s="211">
        <f>'Studio Rain System'!L234</f>
        <v>14.699999999999996</v>
      </c>
      <c r="G229" s="211">
        <f>'Studio Rain System'!M234</f>
        <v>0.745</v>
      </c>
      <c r="H229" s="206">
        <f>'Flow Rate'!$W$27</f>
        <v>464206.53322409093</v>
      </c>
      <c r="I229" s="178">
        <f>'Ozone-Energy'!H222</f>
        <v>0</v>
      </c>
      <c r="J229" s="128">
        <f t="shared" si="35"/>
        <v>0</v>
      </c>
      <c r="K229" s="193">
        <f>'Ozone-Energy'!J222</f>
        <v>0</v>
      </c>
      <c r="L229" s="43">
        <f t="shared" si="34"/>
        <v>0</v>
      </c>
      <c r="M229" s="43">
        <f>'Ozone-Energy'!L222</f>
        <v>0</v>
      </c>
      <c r="N229" s="179">
        <f>'Ozone-Energy'!M222</f>
        <v>0</v>
      </c>
      <c r="O229" s="43">
        <f>'Ozone-Energy'!N222</f>
        <v>1200</v>
      </c>
      <c r="P229" s="180">
        <f t="shared" ref="P229:P237" si="37">O229 * 3600 / 1000000</f>
        <v>4.32</v>
      </c>
      <c r="Q229" s="181">
        <f t="shared" si="29"/>
        <v>4.32</v>
      </c>
      <c r="R229" s="43">
        <f>'Ozone-Energy'!Q222</f>
        <v>0</v>
      </c>
      <c r="S229" s="43">
        <f>'Ozone-Energy'!R222</f>
        <v>0</v>
      </c>
      <c r="T229" s="43">
        <f>'Ozone-Energy'!S222</f>
        <v>0</v>
      </c>
      <c r="U229" s="43"/>
      <c r="V229" s="43"/>
      <c r="W229">
        <f>'Ozone-Energy'!V222</f>
        <v>0</v>
      </c>
      <c r="X229">
        <f>'Ozone-Energy'!W222</f>
        <v>0</v>
      </c>
      <c r="Y229">
        <f>'Ozone-Energy'!X222</f>
        <v>0</v>
      </c>
      <c r="Z229">
        <f>'Ozone-Energy'!Y222</f>
        <v>0</v>
      </c>
      <c r="AA229" s="43"/>
    </row>
    <row r="230" spans="3:27" ht="15">
      <c r="C230">
        <v>213</v>
      </c>
      <c r="D230" s="359">
        <v>0</v>
      </c>
      <c r="E230" s="211">
        <f t="shared" si="33"/>
        <v>0</v>
      </c>
      <c r="F230" s="211">
        <f>'Studio Rain System'!L235</f>
        <v>13.954999999999997</v>
      </c>
      <c r="G230" s="211">
        <f>'Studio Rain System'!M235</f>
        <v>0.745</v>
      </c>
      <c r="H230" s="206">
        <f>'Flow Rate'!$W$27</f>
        <v>464206.53322409093</v>
      </c>
      <c r="I230" s="178">
        <f>'Ozone-Energy'!H223</f>
        <v>0</v>
      </c>
      <c r="J230" s="128">
        <f t="shared" si="35"/>
        <v>0</v>
      </c>
      <c r="K230" s="193">
        <f>'Ozone-Energy'!J223</f>
        <v>0</v>
      </c>
      <c r="L230" s="43">
        <f t="shared" si="34"/>
        <v>0</v>
      </c>
      <c r="M230" s="43">
        <f>'Ozone-Energy'!L223</f>
        <v>0</v>
      </c>
      <c r="N230" s="179">
        <f>'Ozone-Energy'!M223</f>
        <v>0</v>
      </c>
      <c r="O230" s="43">
        <f>'Ozone-Energy'!N223</f>
        <v>1200</v>
      </c>
      <c r="P230" s="180">
        <f t="shared" si="37"/>
        <v>4.32</v>
      </c>
      <c r="Q230" s="181">
        <f t="shared" si="29"/>
        <v>4.32</v>
      </c>
      <c r="R230" s="43">
        <f>'Ozone-Energy'!Q223</f>
        <v>0</v>
      </c>
      <c r="S230" s="43">
        <f>'Ozone-Energy'!R223</f>
        <v>0</v>
      </c>
      <c r="T230" s="43">
        <f>'Ozone-Energy'!S223</f>
        <v>0</v>
      </c>
      <c r="U230" s="43"/>
      <c r="V230" s="43"/>
      <c r="W230">
        <f>'Ozone-Energy'!V223</f>
        <v>0</v>
      </c>
      <c r="X230">
        <f>'Ozone-Energy'!W223</f>
        <v>0</v>
      </c>
      <c r="Y230">
        <f>'Ozone-Energy'!X223</f>
        <v>0</v>
      </c>
      <c r="Z230">
        <f>'Ozone-Energy'!Y223</f>
        <v>0</v>
      </c>
      <c r="AA230" s="43"/>
    </row>
    <row r="231" spans="3:27" ht="15">
      <c r="C231">
        <v>214</v>
      </c>
      <c r="D231" s="359">
        <v>0</v>
      </c>
      <c r="E231" s="211">
        <f t="shared" si="33"/>
        <v>0</v>
      </c>
      <c r="F231" s="211">
        <f>'Studio Rain System'!L236</f>
        <v>13.209999999999997</v>
      </c>
      <c r="G231" s="211">
        <f>'Studio Rain System'!M236</f>
        <v>0.745</v>
      </c>
      <c r="H231" s="206">
        <f>'Flow Rate'!$W$27</f>
        <v>464206.53322409093</v>
      </c>
      <c r="I231" s="178">
        <f>'Ozone-Energy'!H224</f>
        <v>0</v>
      </c>
      <c r="J231" s="128">
        <f t="shared" si="35"/>
        <v>0</v>
      </c>
      <c r="K231" s="193">
        <f>'Ozone-Energy'!J224</f>
        <v>0</v>
      </c>
      <c r="L231" s="43">
        <f t="shared" si="34"/>
        <v>0</v>
      </c>
      <c r="M231" s="43">
        <f>'Ozone-Energy'!L224</f>
        <v>0</v>
      </c>
      <c r="N231" s="179">
        <f>'Ozone-Energy'!M224</f>
        <v>0</v>
      </c>
      <c r="O231" s="43">
        <f>'Ozone-Energy'!N224</f>
        <v>1200</v>
      </c>
      <c r="P231" s="180">
        <f t="shared" si="37"/>
        <v>4.32</v>
      </c>
      <c r="Q231" s="181">
        <f t="shared" si="29"/>
        <v>4.32</v>
      </c>
      <c r="R231" s="43">
        <f>'Ozone-Energy'!Q224</f>
        <v>0</v>
      </c>
      <c r="S231" s="43">
        <f>'Ozone-Energy'!R224</f>
        <v>0</v>
      </c>
      <c r="T231" s="43">
        <f>'Ozone-Energy'!S224</f>
        <v>0</v>
      </c>
      <c r="U231" s="43"/>
      <c r="V231" s="43"/>
      <c r="W231">
        <f>'Ozone-Energy'!V224</f>
        <v>0</v>
      </c>
      <c r="X231">
        <f>'Ozone-Energy'!W224</f>
        <v>0</v>
      </c>
      <c r="Y231">
        <f>'Ozone-Energy'!X224</f>
        <v>0</v>
      </c>
      <c r="Z231">
        <f>'Ozone-Energy'!Y224</f>
        <v>0</v>
      </c>
      <c r="AA231" s="43"/>
    </row>
    <row r="232" spans="3:27" ht="15">
      <c r="C232">
        <v>215</v>
      </c>
      <c r="D232" s="359">
        <v>0</v>
      </c>
      <c r="E232" s="211">
        <f t="shared" si="33"/>
        <v>0</v>
      </c>
      <c r="F232" s="211">
        <f>'Studio Rain System'!L237</f>
        <v>12.464999999999998</v>
      </c>
      <c r="G232" s="211">
        <f>'Studio Rain System'!M237</f>
        <v>0.745</v>
      </c>
      <c r="H232" s="206">
        <f>'Flow Rate'!$W$27</f>
        <v>464206.53322409093</v>
      </c>
      <c r="I232" s="178">
        <f>'Ozone-Energy'!H225</f>
        <v>0</v>
      </c>
      <c r="J232" s="128">
        <f t="shared" si="35"/>
        <v>0</v>
      </c>
      <c r="K232" s="193">
        <f>'Ozone-Energy'!J225</f>
        <v>0</v>
      </c>
      <c r="L232" s="43">
        <f t="shared" si="34"/>
        <v>0</v>
      </c>
      <c r="M232" s="43">
        <f>'Ozone-Energy'!L225</f>
        <v>0</v>
      </c>
      <c r="N232" s="179">
        <f>'Ozone-Energy'!M225</f>
        <v>0</v>
      </c>
      <c r="O232" s="43">
        <f>'Ozone-Energy'!N225</f>
        <v>1200</v>
      </c>
      <c r="P232" s="180">
        <f t="shared" si="37"/>
        <v>4.32</v>
      </c>
      <c r="Q232" s="181">
        <f t="shared" si="29"/>
        <v>4.32</v>
      </c>
      <c r="R232" s="43">
        <f>'Ozone-Energy'!Q225</f>
        <v>0</v>
      </c>
      <c r="S232" s="43">
        <f>'Ozone-Energy'!R225</f>
        <v>0</v>
      </c>
      <c r="T232" s="43">
        <f>'Ozone-Energy'!S225</f>
        <v>0</v>
      </c>
      <c r="U232" s="43"/>
      <c r="V232" s="43"/>
      <c r="W232">
        <f>'Ozone-Energy'!V225</f>
        <v>0</v>
      </c>
      <c r="X232">
        <f>'Ozone-Energy'!W225</f>
        <v>0</v>
      </c>
      <c r="Y232">
        <f>'Ozone-Energy'!X225</f>
        <v>0</v>
      </c>
      <c r="Z232">
        <f>'Ozone-Energy'!Y225</f>
        <v>0</v>
      </c>
      <c r="AA232" s="43"/>
    </row>
    <row r="233" spans="3:27" ht="15">
      <c r="C233">
        <v>216</v>
      </c>
      <c r="D233" s="359">
        <v>0</v>
      </c>
      <c r="E233" s="211">
        <f t="shared" si="33"/>
        <v>0</v>
      </c>
      <c r="F233" s="211">
        <f>'Studio Rain System'!L238</f>
        <v>11.719999999999999</v>
      </c>
      <c r="G233" s="211">
        <f>'Studio Rain System'!M238</f>
        <v>0.745</v>
      </c>
      <c r="H233" s="206">
        <f>'Flow Rate'!$W$27</f>
        <v>464206.53322409093</v>
      </c>
      <c r="I233" s="178">
        <f>'Ozone-Energy'!H226</f>
        <v>0</v>
      </c>
      <c r="J233" s="128">
        <f t="shared" si="35"/>
        <v>0</v>
      </c>
      <c r="K233" s="193">
        <f>'Ozone-Energy'!J226</f>
        <v>0</v>
      </c>
      <c r="L233" s="43">
        <f t="shared" si="34"/>
        <v>0</v>
      </c>
      <c r="M233" s="43">
        <f>'Ozone-Energy'!L226</f>
        <v>0</v>
      </c>
      <c r="N233" s="179">
        <f>'Ozone-Energy'!M226</f>
        <v>0</v>
      </c>
      <c r="O233" s="43">
        <f>'Ozone-Energy'!N226</f>
        <v>1200</v>
      </c>
      <c r="P233" s="180">
        <f t="shared" si="37"/>
        <v>4.32</v>
      </c>
      <c r="Q233" s="181">
        <f t="shared" si="29"/>
        <v>4.32</v>
      </c>
      <c r="R233" s="43">
        <f>'Ozone-Energy'!Q226</f>
        <v>0</v>
      </c>
      <c r="S233" s="43">
        <f>'Ozone-Energy'!R226</f>
        <v>0</v>
      </c>
      <c r="T233" s="43">
        <f>'Ozone-Energy'!S226</f>
        <v>0</v>
      </c>
      <c r="U233" s="43"/>
      <c r="V233" s="43"/>
      <c r="W233">
        <f>'Ozone-Energy'!V226</f>
        <v>0</v>
      </c>
      <c r="X233">
        <f>'Ozone-Energy'!W226</f>
        <v>0</v>
      </c>
      <c r="Y233">
        <f>'Ozone-Energy'!X226</f>
        <v>0</v>
      </c>
      <c r="Z233">
        <f>'Ozone-Energy'!Y226</f>
        <v>0</v>
      </c>
      <c r="AA233" s="43"/>
    </row>
    <row r="234" spans="3:27" ht="15">
      <c r="C234">
        <v>217</v>
      </c>
      <c r="D234" s="359">
        <v>0</v>
      </c>
      <c r="E234" s="211">
        <f t="shared" si="33"/>
        <v>0</v>
      </c>
      <c r="F234" s="211">
        <f>'Studio Rain System'!L239</f>
        <v>10.975</v>
      </c>
      <c r="G234" s="211">
        <f>'Studio Rain System'!M239</f>
        <v>0.745</v>
      </c>
      <c r="H234" s="206">
        <f>'Flow Rate'!$W$27</f>
        <v>464206.53322409093</v>
      </c>
      <c r="I234" s="178">
        <f>'Ozone-Energy'!H227</f>
        <v>0</v>
      </c>
      <c r="J234" s="128">
        <f t="shared" si="35"/>
        <v>0</v>
      </c>
      <c r="K234" s="193">
        <f>'Ozone-Energy'!J227</f>
        <v>0</v>
      </c>
      <c r="L234" s="43">
        <f t="shared" si="34"/>
        <v>0</v>
      </c>
      <c r="M234" s="43">
        <f>'Ozone-Energy'!L227</f>
        <v>0</v>
      </c>
      <c r="N234" s="179">
        <f>'Ozone-Energy'!M227</f>
        <v>0</v>
      </c>
      <c r="O234" s="43">
        <f>'Ozone-Energy'!N227</f>
        <v>1200</v>
      </c>
      <c r="P234" s="180">
        <f t="shared" si="37"/>
        <v>4.32</v>
      </c>
      <c r="Q234" s="181">
        <f t="shared" si="29"/>
        <v>4.32</v>
      </c>
      <c r="R234" s="43">
        <f>'Ozone-Energy'!Q227</f>
        <v>0</v>
      </c>
      <c r="S234" s="43">
        <f>'Ozone-Energy'!R227</f>
        <v>0</v>
      </c>
      <c r="T234" s="43">
        <f>'Ozone-Energy'!S227</f>
        <v>0</v>
      </c>
      <c r="U234" s="43"/>
      <c r="V234" s="43"/>
      <c r="W234">
        <f>'Ozone-Energy'!V227</f>
        <v>0</v>
      </c>
      <c r="X234">
        <f>'Ozone-Energy'!W227</f>
        <v>0</v>
      </c>
      <c r="Y234">
        <f>'Ozone-Energy'!X227</f>
        <v>0</v>
      </c>
      <c r="Z234">
        <f>'Ozone-Energy'!Y227</f>
        <v>0</v>
      </c>
      <c r="AA234" s="43"/>
    </row>
    <row r="235" spans="3:27" ht="15">
      <c r="C235">
        <v>218</v>
      </c>
      <c r="D235" s="359">
        <v>0</v>
      </c>
      <c r="E235" s="211">
        <f t="shared" si="33"/>
        <v>0</v>
      </c>
      <c r="F235" s="211">
        <f>'Studio Rain System'!L240</f>
        <v>10.23</v>
      </c>
      <c r="G235" s="211">
        <f>'Studio Rain System'!M240</f>
        <v>0.745</v>
      </c>
      <c r="H235" s="206">
        <f>'Flow Rate'!$W$27</f>
        <v>464206.53322409093</v>
      </c>
      <c r="I235" s="178">
        <f>'Ozone-Energy'!H228</f>
        <v>0</v>
      </c>
      <c r="J235" s="128">
        <f t="shared" si="35"/>
        <v>0</v>
      </c>
      <c r="K235" s="193">
        <f>'Ozone-Energy'!J228</f>
        <v>0</v>
      </c>
      <c r="L235" s="43">
        <f t="shared" si="34"/>
        <v>0</v>
      </c>
      <c r="M235" s="43">
        <f>'Ozone-Energy'!L228</f>
        <v>0</v>
      </c>
      <c r="N235" s="179">
        <f>'Ozone-Energy'!M228</f>
        <v>0</v>
      </c>
      <c r="O235" s="43">
        <f>'Ozone-Energy'!N228</f>
        <v>1200</v>
      </c>
      <c r="P235" s="180">
        <f t="shared" si="37"/>
        <v>4.32</v>
      </c>
      <c r="Q235" s="181">
        <f t="shared" si="29"/>
        <v>4.32</v>
      </c>
      <c r="R235" s="43">
        <f>'Ozone-Energy'!Q228</f>
        <v>0</v>
      </c>
      <c r="S235" s="43">
        <f>'Ozone-Energy'!R228</f>
        <v>0</v>
      </c>
      <c r="T235" s="43">
        <f>'Ozone-Energy'!S228</f>
        <v>0</v>
      </c>
      <c r="U235" s="43"/>
      <c r="V235" s="43"/>
      <c r="W235">
        <f>'Ozone-Energy'!V228</f>
        <v>0</v>
      </c>
      <c r="X235">
        <f>'Ozone-Energy'!W228</f>
        <v>0</v>
      </c>
      <c r="Y235">
        <f>'Ozone-Energy'!X228</f>
        <v>0</v>
      </c>
      <c r="Z235">
        <f>'Ozone-Energy'!Y228</f>
        <v>0</v>
      </c>
      <c r="AA235" s="43"/>
    </row>
    <row r="236" spans="3:27" ht="15">
      <c r="C236">
        <v>219</v>
      </c>
      <c r="D236" s="359">
        <v>0</v>
      </c>
      <c r="E236" s="211">
        <f t="shared" si="33"/>
        <v>0</v>
      </c>
      <c r="F236" s="211">
        <f>'Studio Rain System'!L241</f>
        <v>9.4850000000000012</v>
      </c>
      <c r="G236" s="211">
        <f>'Studio Rain System'!M241</f>
        <v>0.745</v>
      </c>
      <c r="H236" s="206">
        <f>'Flow Rate'!$W$27</f>
        <v>464206.53322409093</v>
      </c>
      <c r="I236" s="178">
        <f>'Ozone-Energy'!H229</f>
        <v>0</v>
      </c>
      <c r="J236" s="128">
        <f t="shared" si="35"/>
        <v>0</v>
      </c>
      <c r="K236" s="193">
        <f>'Ozone-Energy'!J229</f>
        <v>0</v>
      </c>
      <c r="L236" s="43">
        <f t="shared" si="34"/>
        <v>0</v>
      </c>
      <c r="M236" s="43">
        <f>'Ozone-Energy'!L229</f>
        <v>0</v>
      </c>
      <c r="N236" s="179">
        <f>'Ozone-Energy'!M229</f>
        <v>0</v>
      </c>
      <c r="O236" s="43">
        <f>'Ozone-Energy'!N229</f>
        <v>1200</v>
      </c>
      <c r="P236" s="180">
        <f t="shared" si="37"/>
        <v>4.32</v>
      </c>
      <c r="Q236" s="181">
        <f t="shared" si="29"/>
        <v>4.32</v>
      </c>
      <c r="R236" s="43">
        <f>'Ozone-Energy'!Q229</f>
        <v>0</v>
      </c>
      <c r="S236" s="43">
        <f>'Ozone-Energy'!R229</f>
        <v>0</v>
      </c>
      <c r="T236" s="43">
        <f>'Ozone-Energy'!S229</f>
        <v>0</v>
      </c>
      <c r="U236" s="43"/>
      <c r="V236" s="43"/>
      <c r="W236">
        <f>'Ozone-Energy'!V229</f>
        <v>0</v>
      </c>
      <c r="X236">
        <f>'Ozone-Energy'!W229</f>
        <v>0</v>
      </c>
      <c r="Y236">
        <f>'Ozone-Energy'!X229</f>
        <v>0</v>
      </c>
      <c r="Z236">
        <f>'Ozone-Energy'!Y229</f>
        <v>0</v>
      </c>
      <c r="AA236" s="43"/>
    </row>
    <row r="237" spans="3:27" ht="15">
      <c r="C237">
        <v>220</v>
      </c>
      <c r="D237" s="359">
        <v>0</v>
      </c>
      <c r="E237" s="211">
        <f t="shared" si="33"/>
        <v>0</v>
      </c>
      <c r="F237" s="211">
        <f>'Studio Rain System'!L242</f>
        <v>8.740000000000002</v>
      </c>
      <c r="G237" s="211">
        <f>'Studio Rain System'!M242</f>
        <v>0.745</v>
      </c>
      <c r="H237" s="206">
        <f>'Flow Rate'!$W$27</f>
        <v>464206.53322409093</v>
      </c>
      <c r="I237" s="178">
        <f>'Ozone-Energy'!H230</f>
        <v>0</v>
      </c>
      <c r="J237" s="128">
        <f t="shared" si="35"/>
        <v>0</v>
      </c>
      <c r="K237" s="193">
        <f>'Ozone-Energy'!J230</f>
        <v>0</v>
      </c>
      <c r="L237" s="43">
        <f t="shared" si="34"/>
        <v>0</v>
      </c>
      <c r="M237" s="43">
        <f>'Ozone-Energy'!L230</f>
        <v>0</v>
      </c>
      <c r="N237" s="179">
        <f>'Ozone-Energy'!M230</f>
        <v>0</v>
      </c>
      <c r="O237" s="43">
        <f>'Ozone-Energy'!N230</f>
        <v>1200</v>
      </c>
      <c r="P237" s="180">
        <f t="shared" si="37"/>
        <v>4.32</v>
      </c>
      <c r="Q237" s="181">
        <f t="shared" si="29"/>
        <v>4.32</v>
      </c>
      <c r="R237" s="43">
        <f>'Ozone-Energy'!Q230</f>
        <v>0</v>
      </c>
      <c r="S237" s="43">
        <f>'Ozone-Energy'!R230</f>
        <v>0</v>
      </c>
      <c r="T237" s="43">
        <f>'Ozone-Energy'!S230</f>
        <v>0</v>
      </c>
      <c r="U237" s="43"/>
      <c r="V237" s="43"/>
      <c r="W237">
        <f>'Ozone-Energy'!V230</f>
        <v>0</v>
      </c>
      <c r="X237">
        <f>'Ozone-Energy'!W230</f>
        <v>0</v>
      </c>
      <c r="Y237">
        <f>'Ozone-Energy'!X230</f>
        <v>0</v>
      </c>
      <c r="Z237">
        <f>'Ozone-Energy'!Y230</f>
        <v>0</v>
      </c>
      <c r="AA237" s="43"/>
    </row>
    <row r="238" spans="3:27" ht="15">
      <c r="C238">
        <v>221</v>
      </c>
      <c r="D238" s="359">
        <v>0</v>
      </c>
      <c r="E238" s="211">
        <f t="shared" si="33"/>
        <v>0</v>
      </c>
      <c r="F238" s="211">
        <f>'Studio Rain System'!L243</f>
        <v>7.9950000000000019</v>
      </c>
      <c r="G238" s="211">
        <f>'Studio Rain System'!M243</f>
        <v>0.745</v>
      </c>
      <c r="H238" s="206">
        <f>'Flow Rate'!$W$27</f>
        <v>464206.53322409093</v>
      </c>
      <c r="I238" s="178">
        <f>'Ozone-Energy'!H231</f>
        <v>0</v>
      </c>
      <c r="J238" s="128">
        <f t="shared" si="35"/>
        <v>0</v>
      </c>
      <c r="K238" s="193">
        <f>'Ozone-Energy'!J231</f>
        <v>0</v>
      </c>
      <c r="L238" s="43">
        <f t="shared" si="34"/>
        <v>0</v>
      </c>
      <c r="M238" s="43">
        <f>'Ozone-Energy'!L231</f>
        <v>0</v>
      </c>
      <c r="N238" s="179">
        <f>'Ozone-Energy'!M231</f>
        <v>0</v>
      </c>
      <c r="O238" s="43">
        <f>'Ozone-Energy'!N231</f>
        <v>1200</v>
      </c>
      <c r="P238" s="180">
        <f xml:space="preserve"> O238 * 3600 / 1000000</f>
        <v>4.32</v>
      </c>
      <c r="Q238" s="181">
        <f t="shared" si="29"/>
        <v>4.32</v>
      </c>
      <c r="R238" s="43">
        <f>'Ozone-Energy'!Q231</f>
        <v>0</v>
      </c>
      <c r="S238" s="43">
        <f>'Ozone-Energy'!R231</f>
        <v>0</v>
      </c>
      <c r="T238" s="43">
        <f>'Ozone-Energy'!S231</f>
        <v>0</v>
      </c>
      <c r="U238" s="43"/>
      <c r="V238" s="43"/>
      <c r="W238">
        <f>'Ozone-Energy'!V231</f>
        <v>0</v>
      </c>
      <c r="X238">
        <f>'Ozone-Energy'!W231</f>
        <v>0</v>
      </c>
      <c r="Y238">
        <f>'Ozone-Energy'!X231</f>
        <v>0</v>
      </c>
      <c r="Z238">
        <f>'Ozone-Energy'!Y231</f>
        <v>0</v>
      </c>
      <c r="AA238" s="43"/>
    </row>
    <row r="239" spans="3:27" ht="15">
      <c r="C239">
        <v>222</v>
      </c>
      <c r="D239" s="359">
        <v>0</v>
      </c>
      <c r="E239" s="211">
        <f t="shared" si="33"/>
        <v>0</v>
      </c>
      <c r="F239" s="211">
        <f>'Studio Rain System'!L244</f>
        <v>7.2500000000000018</v>
      </c>
      <c r="G239" s="211">
        <f>'Studio Rain System'!M244</f>
        <v>0.745</v>
      </c>
      <c r="H239" s="206">
        <f>'Flow Rate'!$W$27</f>
        <v>464206.53322409093</v>
      </c>
      <c r="I239" s="178">
        <f>'Ozone-Energy'!H232</f>
        <v>0</v>
      </c>
      <c r="J239" s="128">
        <f t="shared" si="35"/>
        <v>0</v>
      </c>
      <c r="K239" s="193">
        <f>'Ozone-Energy'!J232</f>
        <v>0</v>
      </c>
      <c r="L239" s="43">
        <f t="shared" si="34"/>
        <v>0</v>
      </c>
      <c r="M239" s="43">
        <f>'Ozone-Energy'!L232</f>
        <v>0</v>
      </c>
      <c r="N239" s="179">
        <f>'Ozone-Energy'!M232</f>
        <v>0</v>
      </c>
      <c r="O239" s="43">
        <f>'Ozone-Energy'!N232</f>
        <v>1200</v>
      </c>
      <c r="P239" s="180">
        <f t="shared" ref="P239:P247" si="38">O239 * 3600 / 1000000</f>
        <v>4.32</v>
      </c>
      <c r="Q239" s="181">
        <f t="shared" si="29"/>
        <v>4.32</v>
      </c>
      <c r="R239" s="43">
        <f>'Ozone-Energy'!Q232</f>
        <v>0</v>
      </c>
      <c r="S239" s="43">
        <f>'Ozone-Energy'!R232</f>
        <v>0</v>
      </c>
      <c r="T239" s="43">
        <f>'Ozone-Energy'!S232</f>
        <v>0</v>
      </c>
      <c r="U239" s="43"/>
      <c r="V239" s="43"/>
      <c r="W239">
        <f>'Ozone-Energy'!V232</f>
        <v>0</v>
      </c>
      <c r="X239">
        <f>'Ozone-Energy'!W232</f>
        <v>0</v>
      </c>
      <c r="Y239">
        <f>'Ozone-Energy'!X232</f>
        <v>0</v>
      </c>
      <c r="Z239">
        <f>'Ozone-Energy'!Y232</f>
        <v>0</v>
      </c>
      <c r="AA239" s="43"/>
    </row>
    <row r="240" spans="3:27" ht="15">
      <c r="C240">
        <v>223</v>
      </c>
      <c r="D240" s="359">
        <v>0</v>
      </c>
      <c r="E240" s="211">
        <f t="shared" si="33"/>
        <v>0</v>
      </c>
      <c r="F240" s="211">
        <f>'Studio Rain System'!L245</f>
        <v>6.5050000000000017</v>
      </c>
      <c r="G240" s="211">
        <f>'Studio Rain System'!M245</f>
        <v>0.745</v>
      </c>
      <c r="H240" s="206">
        <f>'Flow Rate'!$W$27</f>
        <v>464206.53322409093</v>
      </c>
      <c r="I240" s="178">
        <f>'Ozone-Energy'!H233</f>
        <v>0</v>
      </c>
      <c r="J240" s="128">
        <f t="shared" si="35"/>
        <v>0</v>
      </c>
      <c r="K240" s="193">
        <f>'Ozone-Energy'!J233</f>
        <v>0</v>
      </c>
      <c r="L240" s="43">
        <f t="shared" si="34"/>
        <v>0</v>
      </c>
      <c r="M240" s="43">
        <f>'Ozone-Energy'!L233</f>
        <v>0</v>
      </c>
      <c r="N240" s="179">
        <f>'Ozone-Energy'!M233</f>
        <v>0</v>
      </c>
      <c r="O240" s="43">
        <f>'Ozone-Energy'!N233</f>
        <v>1200</v>
      </c>
      <c r="P240" s="180">
        <f t="shared" si="38"/>
        <v>4.32</v>
      </c>
      <c r="Q240" s="181">
        <f t="shared" si="29"/>
        <v>4.32</v>
      </c>
      <c r="R240" s="43">
        <f>'Ozone-Energy'!Q233</f>
        <v>0</v>
      </c>
      <c r="S240" s="43">
        <f>'Ozone-Energy'!R233</f>
        <v>0</v>
      </c>
      <c r="T240" s="43">
        <f>'Ozone-Energy'!S233</f>
        <v>0</v>
      </c>
      <c r="U240" s="43"/>
      <c r="V240" s="43"/>
      <c r="W240">
        <f>'Ozone-Energy'!V233</f>
        <v>0</v>
      </c>
      <c r="X240">
        <f>'Ozone-Energy'!W233</f>
        <v>0</v>
      </c>
      <c r="Y240">
        <f>'Ozone-Energy'!X233</f>
        <v>0</v>
      </c>
      <c r="Z240">
        <f>'Ozone-Energy'!Y233</f>
        <v>0</v>
      </c>
      <c r="AA240" s="43"/>
    </row>
    <row r="241" spans="3:27" ht="15">
      <c r="C241">
        <v>224</v>
      </c>
      <c r="D241" s="359">
        <v>0</v>
      </c>
      <c r="E241" s="211">
        <f t="shared" si="33"/>
        <v>0</v>
      </c>
      <c r="F241" s="211">
        <f>'Studio Rain System'!L246</f>
        <v>5.7600000000000016</v>
      </c>
      <c r="G241" s="211">
        <f>'Studio Rain System'!M246</f>
        <v>0.745</v>
      </c>
      <c r="H241" s="206">
        <f>'Flow Rate'!$W$27</f>
        <v>464206.53322409093</v>
      </c>
      <c r="I241" s="178">
        <f>'Ozone-Energy'!H234</f>
        <v>0</v>
      </c>
      <c r="J241" s="128">
        <f t="shared" si="35"/>
        <v>0</v>
      </c>
      <c r="K241" s="193">
        <f>'Ozone-Energy'!J234</f>
        <v>0</v>
      </c>
      <c r="L241" s="43">
        <f t="shared" si="34"/>
        <v>0</v>
      </c>
      <c r="M241" s="43">
        <f>'Ozone-Energy'!L234</f>
        <v>0</v>
      </c>
      <c r="N241" s="179">
        <f>'Ozone-Energy'!M234</f>
        <v>0</v>
      </c>
      <c r="O241" s="43">
        <f>'Ozone-Energy'!N234</f>
        <v>1200</v>
      </c>
      <c r="P241" s="180">
        <f t="shared" si="38"/>
        <v>4.32</v>
      </c>
      <c r="Q241" s="181">
        <f t="shared" si="29"/>
        <v>4.32</v>
      </c>
      <c r="R241" s="43">
        <f>'Ozone-Energy'!Q234</f>
        <v>0</v>
      </c>
      <c r="S241" s="43">
        <f>'Ozone-Energy'!R234</f>
        <v>0</v>
      </c>
      <c r="T241" s="43">
        <f>'Ozone-Energy'!S234</f>
        <v>0</v>
      </c>
      <c r="U241" s="43"/>
      <c r="V241" s="43"/>
      <c r="W241">
        <f>'Ozone-Energy'!V234</f>
        <v>0</v>
      </c>
      <c r="X241">
        <f>'Ozone-Energy'!W234</f>
        <v>0</v>
      </c>
      <c r="Y241">
        <f>'Ozone-Energy'!X234</f>
        <v>0</v>
      </c>
      <c r="Z241">
        <f>'Ozone-Energy'!Y234</f>
        <v>0</v>
      </c>
      <c r="AA241" s="43"/>
    </row>
    <row r="242" spans="3:27" ht="15">
      <c r="C242">
        <v>225</v>
      </c>
      <c r="D242" s="359">
        <v>0</v>
      </c>
      <c r="E242" s="211">
        <f t="shared" si="33"/>
        <v>0</v>
      </c>
      <c r="F242" s="211">
        <f>'Studio Rain System'!L247</f>
        <v>5.0150000000000015</v>
      </c>
      <c r="G242" s="211">
        <f>'Studio Rain System'!M247</f>
        <v>0.745</v>
      </c>
      <c r="H242" s="206">
        <f>'Flow Rate'!$W$27</f>
        <v>464206.53322409093</v>
      </c>
      <c r="I242" s="178">
        <f>'Ozone-Energy'!H235</f>
        <v>0</v>
      </c>
      <c r="J242" s="128">
        <f t="shared" si="35"/>
        <v>0</v>
      </c>
      <c r="K242" s="193">
        <f>'Ozone-Energy'!J235</f>
        <v>0</v>
      </c>
      <c r="L242" s="43">
        <f t="shared" si="34"/>
        <v>0</v>
      </c>
      <c r="M242" s="43">
        <f>'Ozone-Energy'!L235</f>
        <v>0</v>
      </c>
      <c r="N242" s="179">
        <f>'Ozone-Energy'!M235</f>
        <v>0</v>
      </c>
      <c r="O242" s="43">
        <f>'Ozone-Energy'!N235</f>
        <v>1200</v>
      </c>
      <c r="P242" s="180">
        <f t="shared" si="38"/>
        <v>4.32</v>
      </c>
      <c r="Q242" s="181">
        <f t="shared" si="29"/>
        <v>4.32</v>
      </c>
      <c r="R242" s="43">
        <f>'Ozone-Energy'!Q235</f>
        <v>0</v>
      </c>
      <c r="S242" s="43">
        <f>'Ozone-Energy'!R235</f>
        <v>0</v>
      </c>
      <c r="T242" s="43">
        <f>'Ozone-Energy'!S235</f>
        <v>0</v>
      </c>
      <c r="U242" s="43"/>
      <c r="V242" s="43"/>
      <c r="W242">
        <f>'Ozone-Energy'!V235</f>
        <v>0</v>
      </c>
      <c r="X242">
        <f>'Ozone-Energy'!W235</f>
        <v>0</v>
      </c>
      <c r="Y242">
        <f>'Ozone-Energy'!X235</f>
        <v>0</v>
      </c>
      <c r="Z242">
        <f>'Ozone-Energy'!Y235</f>
        <v>0</v>
      </c>
      <c r="AA242" s="43"/>
    </row>
    <row r="243" spans="3:27" ht="15">
      <c r="C243">
        <v>226</v>
      </c>
      <c r="D243" s="359">
        <v>0</v>
      </c>
      <c r="E243" s="211">
        <f t="shared" si="33"/>
        <v>0</v>
      </c>
      <c r="F243" s="211">
        <f>'Studio Rain System'!L248</f>
        <v>4.2700000000000014</v>
      </c>
      <c r="G243" s="211">
        <f>'Studio Rain System'!M248</f>
        <v>0.745</v>
      </c>
      <c r="H243" s="206">
        <f>'Flow Rate'!$W$27</f>
        <v>464206.53322409093</v>
      </c>
      <c r="I243" s="178">
        <f>'Ozone-Energy'!H236</f>
        <v>0</v>
      </c>
      <c r="J243" s="128">
        <f t="shared" si="35"/>
        <v>0</v>
      </c>
      <c r="K243" s="193">
        <f>'Ozone-Energy'!J236</f>
        <v>0</v>
      </c>
      <c r="L243" s="43">
        <f t="shared" si="34"/>
        <v>0</v>
      </c>
      <c r="M243" s="43">
        <f>'Ozone-Energy'!L236</f>
        <v>0</v>
      </c>
      <c r="N243" s="179">
        <f>'Ozone-Energy'!M236</f>
        <v>0</v>
      </c>
      <c r="O243" s="43">
        <f>'Ozone-Energy'!N236</f>
        <v>1200</v>
      </c>
      <c r="P243" s="180">
        <f t="shared" si="38"/>
        <v>4.32</v>
      </c>
      <c r="Q243" s="181">
        <f t="shared" si="29"/>
        <v>4.32</v>
      </c>
      <c r="R243" s="43">
        <f>'Ozone-Energy'!Q236</f>
        <v>0</v>
      </c>
      <c r="S243" s="43">
        <f>'Ozone-Energy'!R236</f>
        <v>0</v>
      </c>
      <c r="T243" s="43">
        <f>'Ozone-Energy'!S236</f>
        <v>0</v>
      </c>
      <c r="U243" s="43"/>
      <c r="V243" s="43"/>
      <c r="W243">
        <f>'Ozone-Energy'!V236</f>
        <v>0</v>
      </c>
      <c r="X243">
        <f>'Ozone-Energy'!W236</f>
        <v>0</v>
      </c>
      <c r="Y243">
        <f>'Ozone-Energy'!X236</f>
        <v>0</v>
      </c>
      <c r="Z243">
        <f>'Ozone-Energy'!Y236</f>
        <v>0</v>
      </c>
      <c r="AA243" s="43"/>
    </row>
    <row r="244" spans="3:27" ht="15">
      <c r="C244">
        <v>227</v>
      </c>
      <c r="D244" s="359">
        <v>0</v>
      </c>
      <c r="E244" s="211">
        <f t="shared" si="33"/>
        <v>0</v>
      </c>
      <c r="F244" s="211">
        <f>'Studio Rain System'!L249</f>
        <v>3.5250000000000012</v>
      </c>
      <c r="G244" s="211">
        <f>'Studio Rain System'!M249</f>
        <v>0.745</v>
      </c>
      <c r="H244" s="206">
        <f>'Flow Rate'!$W$27</f>
        <v>464206.53322409093</v>
      </c>
      <c r="I244" s="178">
        <f>'Ozone-Energy'!H237</f>
        <v>0</v>
      </c>
      <c r="J244" s="128">
        <f t="shared" si="35"/>
        <v>0</v>
      </c>
      <c r="K244" s="193">
        <f>'Ozone-Energy'!J237</f>
        <v>0</v>
      </c>
      <c r="L244" s="43">
        <f t="shared" si="34"/>
        <v>0</v>
      </c>
      <c r="M244" s="43">
        <f>'Ozone-Energy'!L237</f>
        <v>0</v>
      </c>
      <c r="N244" s="179">
        <f>'Ozone-Energy'!M237</f>
        <v>0</v>
      </c>
      <c r="O244" s="43">
        <f>'Ozone-Energy'!N237</f>
        <v>1200</v>
      </c>
      <c r="P244" s="180">
        <f t="shared" si="38"/>
        <v>4.32</v>
      </c>
      <c r="Q244" s="181">
        <f t="shared" si="29"/>
        <v>4.32</v>
      </c>
      <c r="R244" s="43">
        <f>'Ozone-Energy'!Q237</f>
        <v>0</v>
      </c>
      <c r="S244" s="43">
        <f>'Ozone-Energy'!R237</f>
        <v>0</v>
      </c>
      <c r="T244" s="43">
        <f>'Ozone-Energy'!S237</f>
        <v>0</v>
      </c>
      <c r="U244" s="43"/>
      <c r="V244" s="43"/>
      <c r="W244">
        <f>'Ozone-Energy'!V237</f>
        <v>0</v>
      </c>
      <c r="X244">
        <f>'Ozone-Energy'!W237</f>
        <v>0</v>
      </c>
      <c r="Y244">
        <f>'Ozone-Energy'!X237</f>
        <v>0</v>
      </c>
      <c r="Z244">
        <f>'Ozone-Energy'!Y237</f>
        <v>0</v>
      </c>
      <c r="AA244" s="43"/>
    </row>
    <row r="245" spans="3:27" ht="15">
      <c r="C245">
        <v>228</v>
      </c>
      <c r="D245" s="359">
        <v>0</v>
      </c>
      <c r="E245" s="211">
        <f t="shared" si="33"/>
        <v>0</v>
      </c>
      <c r="F245" s="211">
        <f>'Studio Rain System'!L250</f>
        <v>2.7800000000000011</v>
      </c>
      <c r="G245" s="211">
        <f>'Studio Rain System'!M250</f>
        <v>0.745</v>
      </c>
      <c r="H245" s="206">
        <f>'Flow Rate'!$W$27</f>
        <v>464206.53322409093</v>
      </c>
      <c r="I245" s="178">
        <f>'Ozone-Energy'!H238</f>
        <v>0</v>
      </c>
      <c r="J245" s="128">
        <f t="shared" si="35"/>
        <v>0</v>
      </c>
      <c r="K245" s="193">
        <f>'Ozone-Energy'!J238</f>
        <v>0</v>
      </c>
      <c r="L245" s="43">
        <f t="shared" si="34"/>
        <v>0</v>
      </c>
      <c r="M245" s="43">
        <f>'Ozone-Energy'!L238</f>
        <v>0</v>
      </c>
      <c r="N245" s="179">
        <f>'Ozone-Energy'!M238</f>
        <v>0</v>
      </c>
      <c r="O245" s="43">
        <f>'Ozone-Energy'!N238</f>
        <v>1200</v>
      </c>
      <c r="P245" s="180">
        <f t="shared" si="38"/>
        <v>4.32</v>
      </c>
      <c r="Q245" s="181">
        <f t="shared" si="29"/>
        <v>4.32</v>
      </c>
      <c r="R245" s="43">
        <f>'Ozone-Energy'!Q238</f>
        <v>0</v>
      </c>
      <c r="S245" s="43">
        <f>'Ozone-Energy'!R238</f>
        <v>0</v>
      </c>
      <c r="T245" s="43">
        <f>'Ozone-Energy'!S238</f>
        <v>0</v>
      </c>
      <c r="U245" s="43"/>
      <c r="V245" s="43"/>
      <c r="W245">
        <f>'Ozone-Energy'!V238</f>
        <v>0</v>
      </c>
      <c r="X245">
        <f>'Ozone-Energy'!W238</f>
        <v>0</v>
      </c>
      <c r="Y245">
        <f>'Ozone-Energy'!X238</f>
        <v>0</v>
      </c>
      <c r="Z245">
        <f>'Ozone-Energy'!Y238</f>
        <v>0</v>
      </c>
      <c r="AA245" s="43"/>
    </row>
    <row r="246" spans="3:27" ht="15">
      <c r="C246">
        <v>229</v>
      </c>
      <c r="D246" s="359">
        <v>0</v>
      </c>
      <c r="E246" s="211">
        <f t="shared" si="33"/>
        <v>0</v>
      </c>
      <c r="F246" s="211">
        <f>'Studio Rain System'!L251</f>
        <v>2.035000000000001</v>
      </c>
      <c r="G246" s="211">
        <f>'Studio Rain System'!M251</f>
        <v>0.745</v>
      </c>
      <c r="H246" s="206">
        <f>'Flow Rate'!$W$27</f>
        <v>464206.53322409093</v>
      </c>
      <c r="I246" s="178">
        <f>'Ozone-Energy'!H239</f>
        <v>0</v>
      </c>
      <c r="J246" s="128">
        <f t="shared" si="35"/>
        <v>0</v>
      </c>
      <c r="K246" s="193">
        <f>'Ozone-Energy'!J239</f>
        <v>0</v>
      </c>
      <c r="L246" s="43">
        <f t="shared" si="34"/>
        <v>0</v>
      </c>
      <c r="M246" s="43">
        <f>'Ozone-Energy'!L239</f>
        <v>0</v>
      </c>
      <c r="N246" s="179">
        <f>'Ozone-Energy'!M239</f>
        <v>0</v>
      </c>
      <c r="O246" s="43">
        <f>'Ozone-Energy'!N239</f>
        <v>1200</v>
      </c>
      <c r="P246" s="180">
        <f t="shared" si="38"/>
        <v>4.32</v>
      </c>
      <c r="Q246" s="181">
        <f t="shared" si="29"/>
        <v>4.32</v>
      </c>
      <c r="R246" s="43">
        <f>'Ozone-Energy'!Q239</f>
        <v>0</v>
      </c>
      <c r="S246" s="43">
        <f>'Ozone-Energy'!R239</f>
        <v>0</v>
      </c>
      <c r="T246" s="43">
        <f>'Ozone-Energy'!S239</f>
        <v>0</v>
      </c>
      <c r="U246" s="43"/>
      <c r="V246" s="43"/>
      <c r="W246">
        <f>'Ozone-Energy'!V239</f>
        <v>0</v>
      </c>
      <c r="X246">
        <f>'Ozone-Energy'!W239</f>
        <v>0</v>
      </c>
      <c r="Y246">
        <f>'Ozone-Energy'!X239</f>
        <v>0</v>
      </c>
      <c r="Z246">
        <f>'Ozone-Energy'!Y239</f>
        <v>0</v>
      </c>
      <c r="AA246" s="43"/>
    </row>
    <row r="247" spans="3:27" ht="15">
      <c r="C247">
        <v>230</v>
      </c>
      <c r="D247" s="359">
        <v>0</v>
      </c>
      <c r="E247" s="211">
        <f t="shared" si="33"/>
        <v>0</v>
      </c>
      <c r="F247" s="211">
        <f>'Studio Rain System'!L252</f>
        <v>1.2900000000000009</v>
      </c>
      <c r="G247" s="211">
        <f>'Studio Rain System'!M252</f>
        <v>0.745</v>
      </c>
      <c r="H247" s="206">
        <f>'Flow Rate'!$W$27</f>
        <v>464206.53322409093</v>
      </c>
      <c r="I247" s="178">
        <f>'Ozone-Energy'!H240</f>
        <v>0</v>
      </c>
      <c r="J247" s="128">
        <f t="shared" si="35"/>
        <v>0</v>
      </c>
      <c r="K247" s="193">
        <f>'Ozone-Energy'!J240</f>
        <v>0</v>
      </c>
      <c r="L247" s="43">
        <f t="shared" si="34"/>
        <v>0</v>
      </c>
      <c r="M247" s="43">
        <f>'Ozone-Energy'!L240</f>
        <v>0</v>
      </c>
      <c r="N247" s="179">
        <f>'Ozone-Energy'!M240</f>
        <v>0</v>
      </c>
      <c r="O247" s="43">
        <f>'Ozone-Energy'!N240</f>
        <v>1200</v>
      </c>
      <c r="P247" s="180">
        <f t="shared" si="38"/>
        <v>4.32</v>
      </c>
      <c r="Q247" s="181">
        <f t="shared" si="29"/>
        <v>4.32</v>
      </c>
      <c r="R247" s="43">
        <f>'Ozone-Energy'!Q240</f>
        <v>0</v>
      </c>
      <c r="S247" s="43">
        <f>'Ozone-Energy'!R240</f>
        <v>0</v>
      </c>
      <c r="T247" s="43">
        <f>'Ozone-Energy'!S240</f>
        <v>0</v>
      </c>
      <c r="U247" s="43"/>
      <c r="V247" s="43"/>
      <c r="W247">
        <f>'Ozone-Energy'!V240</f>
        <v>0</v>
      </c>
      <c r="X247">
        <f>'Ozone-Energy'!W240</f>
        <v>0</v>
      </c>
      <c r="Y247">
        <f>'Ozone-Energy'!X240</f>
        <v>0</v>
      </c>
      <c r="Z247">
        <f>'Ozone-Energy'!Y240</f>
        <v>0</v>
      </c>
      <c r="AA247" s="43"/>
    </row>
    <row r="248" spans="3:27" ht="15">
      <c r="C248">
        <v>231</v>
      </c>
      <c r="D248" s="359">
        <v>0</v>
      </c>
      <c r="E248" s="211">
        <f t="shared" si="33"/>
        <v>0</v>
      </c>
      <c r="F248" s="211">
        <f>'Studio Rain System'!L253</f>
        <v>0.54500000000000093</v>
      </c>
      <c r="G248" s="211">
        <f>'Studio Rain System'!M253</f>
        <v>0.745</v>
      </c>
      <c r="H248" s="206">
        <f>'Flow Rate'!$W$27</f>
        <v>464206.53322409093</v>
      </c>
      <c r="I248" s="178">
        <f>'Ozone-Energy'!H241</f>
        <v>0</v>
      </c>
      <c r="J248" s="128">
        <f t="shared" si="35"/>
        <v>0</v>
      </c>
      <c r="K248" s="193">
        <f>'Ozone-Energy'!J241</f>
        <v>0</v>
      </c>
      <c r="L248" s="43">
        <f t="shared" si="34"/>
        <v>0</v>
      </c>
      <c r="M248" s="43">
        <f>'Ozone-Energy'!L241</f>
        <v>0</v>
      </c>
      <c r="N248" s="179">
        <f>'Ozone-Energy'!M241</f>
        <v>0</v>
      </c>
      <c r="O248" s="43">
        <f>'Ozone-Energy'!N241</f>
        <v>1200</v>
      </c>
      <c r="P248" s="180">
        <f xml:space="preserve"> O248 * 3600 / 1000000</f>
        <v>4.32</v>
      </c>
      <c r="Q248" s="181">
        <f t="shared" si="29"/>
        <v>4.32</v>
      </c>
      <c r="R248" s="43">
        <f>'Ozone-Energy'!Q241</f>
        <v>0</v>
      </c>
      <c r="S248" s="43">
        <f>'Ozone-Energy'!R241</f>
        <v>0</v>
      </c>
      <c r="T248" s="43">
        <f>'Ozone-Energy'!S241</f>
        <v>0</v>
      </c>
      <c r="U248" s="43"/>
      <c r="V248" s="43"/>
      <c r="W248">
        <f>'Ozone-Energy'!V241</f>
        <v>0</v>
      </c>
      <c r="X248">
        <f>'Ozone-Energy'!W241</f>
        <v>0</v>
      </c>
      <c r="Y248">
        <f>'Ozone-Energy'!X241</f>
        <v>0</v>
      </c>
      <c r="Z248">
        <f>'Ozone-Energy'!Y241</f>
        <v>0</v>
      </c>
      <c r="AA248" s="43"/>
    </row>
    <row r="249" spans="3:27" ht="15">
      <c r="C249">
        <v>232</v>
      </c>
      <c r="D249" s="359">
        <v>0</v>
      </c>
      <c r="E249" s="211">
        <f t="shared" si="33"/>
        <v>0</v>
      </c>
      <c r="F249" s="211">
        <f>'Studio Rain System'!L254</f>
        <v>0</v>
      </c>
      <c r="G249" s="211">
        <f>'Studio Rain System'!M254</f>
        <v>0.745</v>
      </c>
      <c r="H249" s="206">
        <f>'Flow Rate'!$W$27</f>
        <v>464206.53322409093</v>
      </c>
      <c r="I249" s="178">
        <f>'Ozone-Energy'!H242</f>
        <v>0</v>
      </c>
      <c r="J249" s="128">
        <f t="shared" si="35"/>
        <v>0</v>
      </c>
      <c r="K249" s="193">
        <f>'Ozone-Energy'!J242</f>
        <v>0</v>
      </c>
      <c r="L249" s="43">
        <f t="shared" si="34"/>
        <v>0</v>
      </c>
      <c r="M249" s="43">
        <f>'Ozone-Energy'!L242</f>
        <v>0</v>
      </c>
      <c r="N249" s="179">
        <f>'Ozone-Energy'!M242</f>
        <v>0</v>
      </c>
      <c r="O249" s="43">
        <f>'Ozone-Energy'!N242</f>
        <v>1200</v>
      </c>
      <c r="P249" s="180">
        <f t="shared" ref="P249:P257" si="39">O249 * 3600 / 1000000</f>
        <v>4.32</v>
      </c>
      <c r="Q249" s="181">
        <f t="shared" si="29"/>
        <v>4.32</v>
      </c>
      <c r="R249" s="43">
        <f>'Ozone-Energy'!Q242</f>
        <v>0</v>
      </c>
      <c r="S249" s="43">
        <f>'Ozone-Energy'!R242</f>
        <v>0</v>
      </c>
      <c r="T249" s="43">
        <f>'Ozone-Energy'!S242</f>
        <v>0</v>
      </c>
      <c r="U249" s="43"/>
      <c r="V249" s="43"/>
      <c r="W249">
        <f>'Ozone-Energy'!V242</f>
        <v>0</v>
      </c>
      <c r="X249">
        <f>'Ozone-Energy'!W242</f>
        <v>0</v>
      </c>
      <c r="Y249">
        <f>'Ozone-Energy'!X242</f>
        <v>0</v>
      </c>
      <c r="Z249">
        <f>'Ozone-Energy'!Y242</f>
        <v>0</v>
      </c>
      <c r="AA249" s="43"/>
    </row>
    <row r="250" spans="3:27" ht="15">
      <c r="C250">
        <v>233</v>
      </c>
      <c r="D250" s="359">
        <v>0</v>
      </c>
      <c r="E250" s="211">
        <f t="shared" si="33"/>
        <v>0</v>
      </c>
      <c r="F250" s="211">
        <f>'Studio Rain System'!L255</f>
        <v>0</v>
      </c>
      <c r="G250" s="211">
        <f>'Studio Rain System'!M255</f>
        <v>0.745</v>
      </c>
      <c r="H250" s="206">
        <f>'Flow Rate'!$W$27</f>
        <v>464206.53322409093</v>
      </c>
      <c r="I250" s="178">
        <f>'Ozone-Energy'!H243</f>
        <v>0</v>
      </c>
      <c r="J250" s="128">
        <f t="shared" si="35"/>
        <v>0</v>
      </c>
      <c r="K250" s="193">
        <f>'Ozone-Energy'!J243</f>
        <v>0</v>
      </c>
      <c r="L250" s="43">
        <f t="shared" si="34"/>
        <v>0</v>
      </c>
      <c r="M250" s="43">
        <f>'Ozone-Energy'!L243</f>
        <v>0</v>
      </c>
      <c r="N250" s="179">
        <f>'Ozone-Energy'!M243</f>
        <v>0</v>
      </c>
      <c r="O250" s="43">
        <f>'Ozone-Energy'!N243</f>
        <v>1200</v>
      </c>
      <c r="P250" s="180">
        <f t="shared" si="39"/>
        <v>4.32</v>
      </c>
      <c r="Q250" s="181">
        <f t="shared" si="29"/>
        <v>4.32</v>
      </c>
      <c r="R250" s="43">
        <f>'Ozone-Energy'!Q243</f>
        <v>0</v>
      </c>
      <c r="S250" s="43">
        <f>'Ozone-Energy'!R243</f>
        <v>0</v>
      </c>
      <c r="T250" s="43">
        <f>'Ozone-Energy'!S243</f>
        <v>0</v>
      </c>
      <c r="U250" s="43"/>
      <c r="V250" s="43"/>
      <c r="W250">
        <f>'Ozone-Energy'!V243</f>
        <v>0</v>
      </c>
      <c r="X250">
        <f>'Ozone-Energy'!W243</f>
        <v>0</v>
      </c>
      <c r="Y250">
        <f>'Ozone-Energy'!X243</f>
        <v>0</v>
      </c>
      <c r="Z250">
        <f>'Ozone-Energy'!Y243</f>
        <v>0</v>
      </c>
      <c r="AA250" s="43"/>
    </row>
    <row r="251" spans="3:27" ht="15">
      <c r="C251">
        <v>234</v>
      </c>
      <c r="D251" s="359">
        <v>0</v>
      </c>
      <c r="E251" s="211">
        <f t="shared" si="33"/>
        <v>0</v>
      </c>
      <c r="F251" s="211">
        <f>'Studio Rain System'!L256</f>
        <v>0</v>
      </c>
      <c r="G251" s="211">
        <f>'Studio Rain System'!M256</f>
        <v>0.745</v>
      </c>
      <c r="H251" s="206">
        <f>'Flow Rate'!$W$27</f>
        <v>464206.53322409093</v>
      </c>
      <c r="I251" s="178">
        <f>'Ozone-Energy'!H244</f>
        <v>0</v>
      </c>
      <c r="J251" s="128">
        <f t="shared" si="35"/>
        <v>0</v>
      </c>
      <c r="K251" s="193">
        <f>'Ozone-Energy'!J244</f>
        <v>0</v>
      </c>
      <c r="L251" s="43">
        <f t="shared" si="34"/>
        <v>0</v>
      </c>
      <c r="M251" s="43">
        <f>'Ozone-Energy'!L244</f>
        <v>0</v>
      </c>
      <c r="N251" s="179">
        <f>'Ozone-Energy'!M244</f>
        <v>0</v>
      </c>
      <c r="O251" s="43">
        <f>'Ozone-Energy'!N244</f>
        <v>1200</v>
      </c>
      <c r="P251" s="180">
        <f t="shared" si="39"/>
        <v>4.32</v>
      </c>
      <c r="Q251" s="181">
        <f t="shared" ref="Q251:Q314" si="40">J251 + N251 + P251</f>
        <v>4.32</v>
      </c>
      <c r="R251" s="43">
        <f>'Ozone-Energy'!Q244</f>
        <v>0</v>
      </c>
      <c r="S251" s="43">
        <f>'Ozone-Energy'!R244</f>
        <v>0</v>
      </c>
      <c r="T251" s="43">
        <f>'Ozone-Energy'!S244</f>
        <v>0</v>
      </c>
      <c r="U251" s="43"/>
      <c r="V251" s="43"/>
      <c r="W251">
        <f>'Ozone-Energy'!V244</f>
        <v>0</v>
      </c>
      <c r="X251">
        <f>'Ozone-Energy'!W244</f>
        <v>0</v>
      </c>
      <c r="Y251">
        <f>'Ozone-Energy'!X244</f>
        <v>0</v>
      </c>
      <c r="Z251">
        <f>'Ozone-Energy'!Y244</f>
        <v>0</v>
      </c>
      <c r="AA251" s="43"/>
    </row>
    <row r="252" spans="3:27" ht="15">
      <c r="C252">
        <v>235</v>
      </c>
      <c r="D252" s="359">
        <v>0</v>
      </c>
      <c r="E252" s="211">
        <f t="shared" si="33"/>
        <v>0</v>
      </c>
      <c r="F252" s="211">
        <f>'Studio Rain System'!L257</f>
        <v>0</v>
      </c>
      <c r="G252" s="211">
        <f>'Studio Rain System'!M257</f>
        <v>0.745</v>
      </c>
      <c r="H252" s="206">
        <f>'Flow Rate'!$W$27</f>
        <v>464206.53322409093</v>
      </c>
      <c r="I252" s="178">
        <f>'Ozone-Energy'!H245</f>
        <v>0</v>
      </c>
      <c r="J252" s="128">
        <f t="shared" si="35"/>
        <v>0</v>
      </c>
      <c r="K252" s="193">
        <f>'Ozone-Energy'!J245</f>
        <v>0</v>
      </c>
      <c r="L252" s="43">
        <f t="shared" si="34"/>
        <v>0</v>
      </c>
      <c r="M252" s="43">
        <f>'Ozone-Energy'!L245</f>
        <v>0</v>
      </c>
      <c r="N252" s="179">
        <f>'Ozone-Energy'!M245</f>
        <v>0</v>
      </c>
      <c r="O252" s="43">
        <f>'Ozone-Energy'!N245</f>
        <v>1200</v>
      </c>
      <c r="P252" s="180">
        <f t="shared" si="39"/>
        <v>4.32</v>
      </c>
      <c r="Q252" s="181">
        <f t="shared" si="40"/>
        <v>4.32</v>
      </c>
      <c r="R252" s="43">
        <f>'Ozone-Energy'!Q245</f>
        <v>0</v>
      </c>
      <c r="S252" s="43">
        <f>'Ozone-Energy'!R245</f>
        <v>0</v>
      </c>
      <c r="T252" s="43">
        <f>'Ozone-Energy'!S245</f>
        <v>0</v>
      </c>
      <c r="U252" s="43"/>
      <c r="V252" s="43"/>
      <c r="W252">
        <f>'Ozone-Energy'!V245</f>
        <v>0</v>
      </c>
      <c r="X252">
        <f>'Ozone-Energy'!W245</f>
        <v>0</v>
      </c>
      <c r="Y252">
        <f>'Ozone-Energy'!X245</f>
        <v>0</v>
      </c>
      <c r="Z252">
        <f>'Ozone-Energy'!Y245</f>
        <v>0</v>
      </c>
      <c r="AA252" s="43"/>
    </row>
    <row r="253" spans="3:27" ht="15">
      <c r="C253">
        <v>236</v>
      </c>
      <c r="D253" s="359">
        <v>0</v>
      </c>
      <c r="E253" s="211">
        <f t="shared" si="33"/>
        <v>0</v>
      </c>
      <c r="F253" s="211">
        <f>'Studio Rain System'!L258</f>
        <v>0</v>
      </c>
      <c r="G253" s="211">
        <f>'Studio Rain System'!M258</f>
        <v>0.745</v>
      </c>
      <c r="H253" s="206">
        <f>'Flow Rate'!$W$27</f>
        <v>464206.53322409093</v>
      </c>
      <c r="I253" s="178">
        <f>'Ozone-Energy'!H246</f>
        <v>0</v>
      </c>
      <c r="J253" s="128">
        <f t="shared" si="35"/>
        <v>0</v>
      </c>
      <c r="K253" s="193">
        <f>'Ozone-Energy'!J246</f>
        <v>0</v>
      </c>
      <c r="L253" s="43">
        <f t="shared" si="34"/>
        <v>0</v>
      </c>
      <c r="M253" s="43">
        <f>'Ozone-Energy'!L246</f>
        <v>0</v>
      </c>
      <c r="N253" s="179">
        <f>'Ozone-Energy'!M246</f>
        <v>0</v>
      </c>
      <c r="O253" s="43">
        <f>'Ozone-Energy'!N246</f>
        <v>1200</v>
      </c>
      <c r="P253" s="180">
        <f t="shared" si="39"/>
        <v>4.32</v>
      </c>
      <c r="Q253" s="181">
        <f t="shared" si="40"/>
        <v>4.32</v>
      </c>
      <c r="R253" s="43">
        <f>'Ozone-Energy'!Q246</f>
        <v>0</v>
      </c>
      <c r="S253" s="43">
        <f>'Ozone-Energy'!R246</f>
        <v>0</v>
      </c>
      <c r="T253" s="43">
        <f>'Ozone-Energy'!S246</f>
        <v>0</v>
      </c>
      <c r="U253" s="43"/>
      <c r="V253" s="43"/>
      <c r="W253">
        <f>'Ozone-Energy'!V246</f>
        <v>0</v>
      </c>
      <c r="X253">
        <f>'Ozone-Energy'!W246</f>
        <v>0</v>
      </c>
      <c r="Y253">
        <f>'Ozone-Energy'!X246</f>
        <v>0</v>
      </c>
      <c r="Z253">
        <f>'Ozone-Energy'!Y246</f>
        <v>0</v>
      </c>
      <c r="AA253" s="43"/>
    </row>
    <row r="254" spans="3:27" ht="15">
      <c r="C254">
        <v>237</v>
      </c>
      <c r="D254" s="359">
        <v>0</v>
      </c>
      <c r="E254" s="211">
        <f t="shared" si="33"/>
        <v>0</v>
      </c>
      <c r="F254" s="211">
        <f>'Studio Rain System'!L259</f>
        <v>0</v>
      </c>
      <c r="G254" s="211">
        <f>'Studio Rain System'!M259</f>
        <v>0.745</v>
      </c>
      <c r="H254" s="206">
        <f>'Flow Rate'!$W$27</f>
        <v>464206.53322409093</v>
      </c>
      <c r="I254" s="178">
        <f>'Ozone-Energy'!H247</f>
        <v>0</v>
      </c>
      <c r="J254" s="128">
        <f t="shared" si="35"/>
        <v>0</v>
      </c>
      <c r="K254" s="193">
        <f>'Ozone-Energy'!J247</f>
        <v>0</v>
      </c>
      <c r="L254" s="43">
        <f t="shared" si="34"/>
        <v>0</v>
      </c>
      <c r="M254" s="43">
        <f>'Ozone-Energy'!L247</f>
        <v>0</v>
      </c>
      <c r="N254" s="179">
        <f>'Ozone-Energy'!M247</f>
        <v>0</v>
      </c>
      <c r="O254" s="43">
        <f>'Ozone-Energy'!N247</f>
        <v>1200</v>
      </c>
      <c r="P254" s="180">
        <f t="shared" si="39"/>
        <v>4.32</v>
      </c>
      <c r="Q254" s="181">
        <f t="shared" si="40"/>
        <v>4.32</v>
      </c>
      <c r="R254" s="43">
        <f>'Ozone-Energy'!Q247</f>
        <v>0</v>
      </c>
      <c r="S254" s="43">
        <f>'Ozone-Energy'!R247</f>
        <v>0</v>
      </c>
      <c r="T254" s="43">
        <f>'Ozone-Energy'!S247</f>
        <v>0</v>
      </c>
      <c r="U254" s="43"/>
      <c r="V254" s="43"/>
      <c r="W254">
        <f>'Ozone-Energy'!V247</f>
        <v>0</v>
      </c>
      <c r="X254">
        <f>'Ozone-Energy'!W247</f>
        <v>0</v>
      </c>
      <c r="Y254">
        <f>'Ozone-Energy'!X247</f>
        <v>0</v>
      </c>
      <c r="Z254">
        <f>'Ozone-Energy'!Y247</f>
        <v>0</v>
      </c>
      <c r="AA254" s="43"/>
    </row>
    <row r="255" spans="3:27" ht="15">
      <c r="C255">
        <v>238</v>
      </c>
      <c r="D255" s="359">
        <v>0</v>
      </c>
      <c r="E255" s="211">
        <f t="shared" si="33"/>
        <v>0</v>
      </c>
      <c r="F255" s="211">
        <f>'Studio Rain System'!L260</f>
        <v>0</v>
      </c>
      <c r="G255" s="211">
        <f>'Studio Rain System'!M260</f>
        <v>0.745</v>
      </c>
      <c r="H255" s="206">
        <f>'Flow Rate'!$W$27</f>
        <v>464206.53322409093</v>
      </c>
      <c r="I255" s="178">
        <f>'Ozone-Energy'!H248</f>
        <v>0</v>
      </c>
      <c r="J255" s="128">
        <f t="shared" si="35"/>
        <v>0</v>
      </c>
      <c r="K255" s="193">
        <f>'Ozone-Energy'!J248</f>
        <v>0</v>
      </c>
      <c r="L255" s="43">
        <f t="shared" si="34"/>
        <v>0</v>
      </c>
      <c r="M255" s="43">
        <f>'Ozone-Energy'!L248</f>
        <v>0</v>
      </c>
      <c r="N255" s="179">
        <f>'Ozone-Energy'!M248</f>
        <v>0</v>
      </c>
      <c r="O255" s="43">
        <f>'Ozone-Energy'!N248</f>
        <v>1200</v>
      </c>
      <c r="P255" s="180">
        <f t="shared" si="39"/>
        <v>4.32</v>
      </c>
      <c r="Q255" s="181">
        <f t="shared" si="40"/>
        <v>4.32</v>
      </c>
      <c r="R255" s="43">
        <f>'Ozone-Energy'!Q248</f>
        <v>0</v>
      </c>
      <c r="S255" s="43">
        <f>'Ozone-Energy'!R248</f>
        <v>0</v>
      </c>
      <c r="T255" s="43">
        <f>'Ozone-Energy'!S248</f>
        <v>0</v>
      </c>
      <c r="U255" s="43"/>
      <c r="V255" s="43"/>
      <c r="W255">
        <f>'Ozone-Energy'!V248</f>
        <v>0</v>
      </c>
      <c r="X255">
        <f>'Ozone-Energy'!W248</f>
        <v>0</v>
      </c>
      <c r="Y255">
        <f>'Ozone-Energy'!X248</f>
        <v>0</v>
      </c>
      <c r="Z255">
        <f>'Ozone-Energy'!Y248</f>
        <v>0</v>
      </c>
      <c r="AA255" s="43"/>
    </row>
    <row r="256" spans="3:27" ht="15">
      <c r="C256">
        <v>239</v>
      </c>
      <c r="D256" s="359">
        <v>0</v>
      </c>
      <c r="E256" s="211">
        <f t="shared" si="33"/>
        <v>0</v>
      </c>
      <c r="F256" s="211">
        <f>'Studio Rain System'!L261</f>
        <v>0</v>
      </c>
      <c r="G256" s="211">
        <f>'Studio Rain System'!M261</f>
        <v>0.745</v>
      </c>
      <c r="H256" s="206">
        <f>'Flow Rate'!$W$27</f>
        <v>464206.53322409093</v>
      </c>
      <c r="I256" s="178">
        <f>'Ozone-Energy'!H249</f>
        <v>0</v>
      </c>
      <c r="J256" s="128">
        <f t="shared" si="35"/>
        <v>0</v>
      </c>
      <c r="K256" s="193">
        <f>'Ozone-Energy'!J249</f>
        <v>0</v>
      </c>
      <c r="L256" s="43">
        <f t="shared" si="34"/>
        <v>0</v>
      </c>
      <c r="M256" s="43">
        <f>'Ozone-Energy'!L249</f>
        <v>0</v>
      </c>
      <c r="N256" s="179">
        <f>'Ozone-Energy'!M249</f>
        <v>0</v>
      </c>
      <c r="O256" s="43">
        <f>'Ozone-Energy'!N249</f>
        <v>1200</v>
      </c>
      <c r="P256" s="180">
        <f t="shared" si="39"/>
        <v>4.32</v>
      </c>
      <c r="Q256" s="181">
        <f t="shared" si="40"/>
        <v>4.32</v>
      </c>
      <c r="R256" s="43">
        <f>'Ozone-Energy'!Q249</f>
        <v>0</v>
      </c>
      <c r="S256" s="43">
        <f>'Ozone-Energy'!R249</f>
        <v>0</v>
      </c>
      <c r="T256" s="43">
        <f>'Ozone-Energy'!S249</f>
        <v>0</v>
      </c>
      <c r="U256" s="43"/>
      <c r="V256" s="43"/>
      <c r="W256">
        <f>'Ozone-Energy'!V249</f>
        <v>0</v>
      </c>
      <c r="X256">
        <f>'Ozone-Energy'!W249</f>
        <v>0</v>
      </c>
      <c r="Y256">
        <f>'Ozone-Energy'!X249</f>
        <v>0</v>
      </c>
      <c r="Z256">
        <f>'Ozone-Energy'!Y249</f>
        <v>0</v>
      </c>
      <c r="AA256" s="43"/>
    </row>
    <row r="257" spans="2:27" ht="15">
      <c r="C257">
        <v>240</v>
      </c>
      <c r="D257" s="359">
        <v>0.4</v>
      </c>
      <c r="E257" s="211">
        <f t="shared" si="33"/>
        <v>0.44</v>
      </c>
      <c r="F257" s="211">
        <f>'Studio Rain System'!L262</f>
        <v>0</v>
      </c>
      <c r="G257" s="211">
        <f>'Studio Rain System'!M262</f>
        <v>0.745</v>
      </c>
      <c r="H257" s="206">
        <f>'Flow Rate'!$W$27</f>
        <v>464206.53322409093</v>
      </c>
      <c r="I257" s="178">
        <f>'Ozone-Energy'!H250</f>
        <v>78948.571428571435</v>
      </c>
      <c r="J257" s="128">
        <f t="shared" si="35"/>
        <v>7.8948571428571437E-2</v>
      </c>
      <c r="K257" s="193">
        <f>'Ozone-Energy'!J250</f>
        <v>2200</v>
      </c>
      <c r="L257" s="43">
        <f t="shared" si="34"/>
        <v>2.2000000000000002</v>
      </c>
      <c r="M257" s="43">
        <f>'Ozone-Energy'!L250</f>
        <v>4400000</v>
      </c>
      <c r="N257" s="179">
        <f>'Ozone-Energy'!M250</f>
        <v>4.4000000000000004</v>
      </c>
      <c r="O257" s="43">
        <f>'Ozone-Energy'!N250</f>
        <v>1200</v>
      </c>
      <c r="P257" s="180">
        <f t="shared" si="39"/>
        <v>4.32</v>
      </c>
      <c r="Q257" s="181">
        <f t="shared" si="40"/>
        <v>8.7989485714285713</v>
      </c>
      <c r="R257" s="43">
        <f>'Ozone-Energy'!Q250</f>
        <v>0</v>
      </c>
      <c r="S257" s="43">
        <f>'Ozone-Energy'!R250</f>
        <v>0</v>
      </c>
      <c r="T257" s="43">
        <f>'Ozone-Energy'!S250</f>
        <v>0</v>
      </c>
      <c r="U257" s="43"/>
      <c r="V257" s="43"/>
      <c r="W257">
        <f>'Ozone-Energy'!V250</f>
        <v>0</v>
      </c>
      <c r="X257">
        <f>'Ozone-Energy'!W250</f>
        <v>0</v>
      </c>
      <c r="Y257">
        <f>'Ozone-Energy'!X250</f>
        <v>0</v>
      </c>
      <c r="Z257">
        <f>'Ozone-Energy'!Y250</f>
        <v>0</v>
      </c>
      <c r="AA257" s="43"/>
    </row>
    <row r="258" spans="2:27" ht="15">
      <c r="C258">
        <v>241</v>
      </c>
      <c r="D258" s="359">
        <v>7.8</v>
      </c>
      <c r="E258" s="211">
        <f t="shared" si="33"/>
        <v>8.58</v>
      </c>
      <c r="F258" s="211">
        <f>'Studio Rain System'!L263</f>
        <v>7.835</v>
      </c>
      <c r="G258" s="211">
        <f>'Studio Rain System'!M263</f>
        <v>0.745</v>
      </c>
      <c r="H258" s="206">
        <f>'Flow Rate'!$W$27</f>
        <v>464206.53322409093</v>
      </c>
      <c r="I258" s="178">
        <f>'Ozone-Energy'!H251</f>
        <v>1539497.142857143</v>
      </c>
      <c r="J258" s="128">
        <f t="shared" si="35"/>
        <v>1.5394971428571429</v>
      </c>
      <c r="K258" s="193">
        <f>'Ozone-Energy'!J251</f>
        <v>42900</v>
      </c>
      <c r="L258" s="43">
        <f t="shared" si="34"/>
        <v>42.9</v>
      </c>
      <c r="M258" s="43">
        <f>'Ozone-Energy'!L251</f>
        <v>85800000</v>
      </c>
      <c r="N258" s="179">
        <f>'Ozone-Energy'!M251</f>
        <v>85.8</v>
      </c>
      <c r="O258" s="43">
        <f>'Ozone-Energy'!N251</f>
        <v>1200</v>
      </c>
      <c r="P258" s="180">
        <f xml:space="preserve"> O258 * 3600 / 1000000</f>
        <v>4.32</v>
      </c>
      <c r="Q258" s="181">
        <f t="shared" si="40"/>
        <v>91.659497142857134</v>
      </c>
      <c r="R258" s="43">
        <f>'Ozone-Energy'!Q251</f>
        <v>0</v>
      </c>
      <c r="S258" s="43">
        <f>'Ozone-Energy'!R251</f>
        <v>0</v>
      </c>
      <c r="T258" s="43">
        <f>'Ozone-Energy'!S251</f>
        <v>0</v>
      </c>
      <c r="U258" s="43"/>
      <c r="V258" s="43"/>
      <c r="W258">
        <f>'Ozone-Energy'!V251</f>
        <v>0</v>
      </c>
      <c r="X258">
        <f>'Ozone-Energy'!W251</f>
        <v>0</v>
      </c>
      <c r="Y258">
        <f>'Ozone-Energy'!X251</f>
        <v>0</v>
      </c>
      <c r="Z258">
        <f>'Ozone-Energy'!Y251</f>
        <v>0</v>
      </c>
      <c r="AA258" s="43"/>
    </row>
    <row r="259" spans="2:27" ht="15">
      <c r="C259">
        <v>242</v>
      </c>
      <c r="D259" s="359">
        <v>3.6</v>
      </c>
      <c r="E259" s="211">
        <f t="shared" si="33"/>
        <v>3.96</v>
      </c>
      <c r="F259" s="211">
        <f>'Studio Rain System'!L264</f>
        <v>11.05</v>
      </c>
      <c r="G259" s="211">
        <f>'Studio Rain System'!M264</f>
        <v>0.745</v>
      </c>
      <c r="H259" s="206">
        <f>'Flow Rate'!$W$27</f>
        <v>464206.53322409093</v>
      </c>
      <c r="I259" s="178">
        <f>'Ozone-Energy'!H252</f>
        <v>710537.14285714296</v>
      </c>
      <c r="J259" s="128">
        <f t="shared" si="35"/>
        <v>0.71053714285714298</v>
      </c>
      <c r="K259" s="193">
        <f>'Ozone-Energy'!J252</f>
        <v>19800</v>
      </c>
      <c r="L259" s="43">
        <f t="shared" si="34"/>
        <v>19.8</v>
      </c>
      <c r="M259" s="43">
        <f>'Ozone-Energy'!L252</f>
        <v>39600000</v>
      </c>
      <c r="N259" s="179">
        <f>'Ozone-Energy'!M252</f>
        <v>39.6</v>
      </c>
      <c r="O259" s="43">
        <f>'Ozone-Energy'!N252</f>
        <v>1200</v>
      </c>
      <c r="P259" s="180">
        <f t="shared" ref="P259:P267" si="41">O259 * 3600 / 1000000</f>
        <v>4.32</v>
      </c>
      <c r="Q259" s="181">
        <f t="shared" si="40"/>
        <v>44.630537142857143</v>
      </c>
      <c r="R259" s="43">
        <f>'Ozone-Energy'!Q252</f>
        <v>0</v>
      </c>
      <c r="S259" s="43">
        <f>'Ozone-Energy'!R252</f>
        <v>0</v>
      </c>
      <c r="T259" s="43">
        <f>'Ozone-Energy'!S252</f>
        <v>0</v>
      </c>
      <c r="U259" s="43"/>
      <c r="V259" s="43"/>
      <c r="W259">
        <f>'Ozone-Energy'!V252</f>
        <v>0</v>
      </c>
      <c r="X259">
        <f>'Ozone-Energy'!W252</f>
        <v>0</v>
      </c>
      <c r="Y259">
        <f>'Ozone-Energy'!X252</f>
        <v>0</v>
      </c>
      <c r="Z259">
        <f>'Ozone-Energy'!Y252</f>
        <v>0</v>
      </c>
      <c r="AA259" s="43"/>
    </row>
    <row r="260" spans="2:27" ht="15">
      <c r="C260">
        <v>243</v>
      </c>
      <c r="D260" s="359">
        <v>10.6</v>
      </c>
      <c r="E260" s="211">
        <f t="shared" si="33"/>
        <v>11.66</v>
      </c>
      <c r="F260" s="211">
        <f>'Studio Rain System'!L265</f>
        <v>20</v>
      </c>
      <c r="G260" s="211">
        <f>'Studio Rain System'!M265</f>
        <v>0.745</v>
      </c>
      <c r="H260" s="206">
        <f>'Flow Rate'!$W$27</f>
        <v>464206.53322409093</v>
      </c>
      <c r="I260" s="178">
        <f>'Ozone-Energy'!H253</f>
        <v>2092137.142857143</v>
      </c>
      <c r="J260" s="128">
        <f t="shared" si="35"/>
        <v>2.0921371428571427</v>
      </c>
      <c r="K260" s="193">
        <f>'Ozone-Energy'!J253</f>
        <v>58300</v>
      </c>
      <c r="L260" s="43">
        <f t="shared" si="34"/>
        <v>58.3</v>
      </c>
      <c r="M260" s="43">
        <f>'Ozone-Energy'!L253</f>
        <v>116600000</v>
      </c>
      <c r="N260" s="179">
        <f>'Ozone-Energy'!M253</f>
        <v>116.6</v>
      </c>
      <c r="O260" s="43">
        <f>'Ozone-Energy'!N253</f>
        <v>1200</v>
      </c>
      <c r="P260" s="180">
        <f t="shared" si="41"/>
        <v>4.32</v>
      </c>
      <c r="Q260" s="181">
        <f t="shared" si="40"/>
        <v>123.01213714285714</v>
      </c>
      <c r="R260" s="43">
        <f>'Ozone-Energy'!Q253</f>
        <v>0</v>
      </c>
      <c r="S260" s="43">
        <f>'Ozone-Energy'!R253</f>
        <v>0</v>
      </c>
      <c r="T260" s="43">
        <f>'Ozone-Energy'!S253</f>
        <v>0</v>
      </c>
      <c r="U260" s="43"/>
      <c r="V260" s="43"/>
      <c r="W260">
        <f>'Ozone-Energy'!V253</f>
        <v>0</v>
      </c>
      <c r="X260">
        <f>'Ozone-Energy'!W253</f>
        <v>0</v>
      </c>
      <c r="Y260">
        <f>'Ozone-Energy'!X253</f>
        <v>0</v>
      </c>
      <c r="Z260">
        <f>'Ozone-Energy'!Y253</f>
        <v>0</v>
      </c>
      <c r="AA260" s="43"/>
    </row>
    <row r="261" spans="2:27" ht="15">
      <c r="B261" s="60"/>
      <c r="C261">
        <v>244</v>
      </c>
      <c r="D261" s="359">
        <v>3.2</v>
      </c>
      <c r="E261" s="211">
        <f t="shared" si="33"/>
        <v>3.52</v>
      </c>
      <c r="F261" s="211">
        <f>'Studio Rain System'!L266</f>
        <v>20</v>
      </c>
      <c r="G261" s="211">
        <f>'Studio Rain System'!M266</f>
        <v>0.745</v>
      </c>
      <c r="H261" s="206">
        <f>'Flow Rate'!$W$27</f>
        <v>464206.53322409093</v>
      </c>
      <c r="I261" s="178">
        <f>'Ozone-Energy'!H254</f>
        <v>631588.57142857148</v>
      </c>
      <c r="J261" s="128">
        <f t="shared" si="35"/>
        <v>0.6315885714285715</v>
      </c>
      <c r="K261" s="193">
        <f>'Ozone-Energy'!J254</f>
        <v>17600</v>
      </c>
      <c r="L261" s="43">
        <f t="shared" si="34"/>
        <v>17.600000000000001</v>
      </c>
      <c r="M261" s="43">
        <f>'Ozone-Energy'!L254</f>
        <v>35200000</v>
      </c>
      <c r="N261" s="179">
        <f>'Ozone-Energy'!M254</f>
        <v>35.200000000000003</v>
      </c>
      <c r="O261" s="43">
        <f>'Ozone-Energy'!N254</f>
        <v>1200</v>
      </c>
      <c r="P261" s="180">
        <f t="shared" si="41"/>
        <v>4.32</v>
      </c>
      <c r="Q261" s="181">
        <f t="shared" si="40"/>
        <v>40.151588571428576</v>
      </c>
      <c r="R261" s="43">
        <f>'Ozone-Energy'!Q254</f>
        <v>0</v>
      </c>
      <c r="S261" s="43">
        <f>'Ozone-Energy'!R254</f>
        <v>0</v>
      </c>
      <c r="T261" s="43">
        <f>'Ozone-Energy'!S254</f>
        <v>0</v>
      </c>
      <c r="U261" s="43"/>
      <c r="V261" s="43"/>
      <c r="W261">
        <f>'Ozone-Energy'!V254</f>
        <v>0</v>
      </c>
      <c r="X261">
        <f>'Ozone-Energy'!W254</f>
        <v>0</v>
      </c>
      <c r="Y261">
        <f>'Ozone-Energy'!X254</f>
        <v>0</v>
      </c>
      <c r="Z261">
        <f>'Ozone-Energy'!Y254</f>
        <v>0</v>
      </c>
      <c r="AA261" s="43"/>
    </row>
    <row r="262" spans="2:27" ht="15">
      <c r="B262" s="60"/>
      <c r="C262">
        <v>245</v>
      </c>
      <c r="D262" s="359">
        <v>6.2</v>
      </c>
      <c r="E262" s="211">
        <f t="shared" si="33"/>
        <v>6.8199999999999994</v>
      </c>
      <c r="F262" s="211">
        <f>'Studio Rain System'!L267</f>
        <v>20</v>
      </c>
      <c r="G262" s="211">
        <f>'Studio Rain System'!M267</f>
        <v>0.745</v>
      </c>
      <c r="H262" s="206">
        <f>'Flow Rate'!$W$27</f>
        <v>464206.53322409093</v>
      </c>
      <c r="I262" s="178">
        <f>'Ozone-Energy'!H255</f>
        <v>1223702.857142857</v>
      </c>
      <c r="J262" s="128">
        <f t="shared" si="35"/>
        <v>1.223702857142857</v>
      </c>
      <c r="K262" s="193">
        <f>'Ozone-Energy'!J255</f>
        <v>34099.999999999993</v>
      </c>
      <c r="L262" s="43">
        <f t="shared" si="34"/>
        <v>34.099999999999994</v>
      </c>
      <c r="M262" s="43">
        <f>'Ozone-Energy'!L255</f>
        <v>68199999.999999985</v>
      </c>
      <c r="N262" s="179">
        <f>'Ozone-Energy'!M255</f>
        <v>68.199999999999989</v>
      </c>
      <c r="O262" s="43">
        <f>'Ozone-Energy'!N255</f>
        <v>1200</v>
      </c>
      <c r="P262" s="180">
        <f t="shared" si="41"/>
        <v>4.32</v>
      </c>
      <c r="Q262" s="181">
        <f t="shared" si="40"/>
        <v>73.743702857142836</v>
      </c>
      <c r="R262" s="43">
        <f>'Ozone-Energy'!Q255</f>
        <v>0</v>
      </c>
      <c r="S262" s="43">
        <f>'Ozone-Energy'!R255</f>
        <v>0</v>
      </c>
      <c r="T262" s="43">
        <f>'Ozone-Energy'!S255</f>
        <v>0</v>
      </c>
      <c r="U262" s="43"/>
      <c r="V262" s="43"/>
      <c r="W262">
        <f>'Ozone-Energy'!V255</f>
        <v>0</v>
      </c>
      <c r="X262">
        <f>'Ozone-Energy'!W255</f>
        <v>0</v>
      </c>
      <c r="Y262">
        <f>'Ozone-Energy'!X255</f>
        <v>0</v>
      </c>
      <c r="Z262">
        <f>'Ozone-Energy'!Y255</f>
        <v>0</v>
      </c>
      <c r="AA262" s="43"/>
    </row>
    <row r="263" spans="2:27" ht="15">
      <c r="B263" s="60"/>
      <c r="C263">
        <v>246</v>
      </c>
      <c r="D263" s="359">
        <v>0</v>
      </c>
      <c r="E263" s="211">
        <f t="shared" si="33"/>
        <v>0</v>
      </c>
      <c r="F263" s="211">
        <f>'Studio Rain System'!L268</f>
        <v>19.254999999999999</v>
      </c>
      <c r="G263" s="211">
        <f>'Studio Rain System'!M268</f>
        <v>0.745</v>
      </c>
      <c r="H263" s="206">
        <f>'Flow Rate'!$W$27</f>
        <v>464206.53322409093</v>
      </c>
      <c r="I263" s="178">
        <f>'Ozone-Energy'!H256</f>
        <v>0</v>
      </c>
      <c r="J263" s="128">
        <f t="shared" si="35"/>
        <v>0</v>
      </c>
      <c r="K263" s="193">
        <f>'Ozone-Energy'!J256</f>
        <v>0</v>
      </c>
      <c r="L263" s="43">
        <f t="shared" si="34"/>
        <v>0</v>
      </c>
      <c r="M263" s="43">
        <f>'Ozone-Energy'!L256</f>
        <v>0</v>
      </c>
      <c r="N263" s="179">
        <f>'Ozone-Energy'!M256</f>
        <v>0</v>
      </c>
      <c r="O263" s="43">
        <f>'Ozone-Energy'!N256</f>
        <v>1200</v>
      </c>
      <c r="P263" s="180">
        <f t="shared" si="41"/>
        <v>4.32</v>
      </c>
      <c r="Q263" s="181">
        <f t="shared" si="40"/>
        <v>4.32</v>
      </c>
      <c r="R263" s="43">
        <f>'Ozone-Energy'!Q256</f>
        <v>0</v>
      </c>
      <c r="S263" s="43">
        <f>'Ozone-Energy'!R256</f>
        <v>0</v>
      </c>
      <c r="T263" s="43">
        <f>'Ozone-Energy'!S256</f>
        <v>0</v>
      </c>
      <c r="U263" s="43"/>
      <c r="V263" s="43"/>
      <c r="W263">
        <f>'Ozone-Energy'!V256</f>
        <v>0</v>
      </c>
      <c r="X263">
        <f>'Ozone-Energy'!W256</f>
        <v>0</v>
      </c>
      <c r="Y263">
        <f>'Ozone-Energy'!X256</f>
        <v>0</v>
      </c>
      <c r="Z263">
        <f>'Ozone-Energy'!Y256</f>
        <v>0</v>
      </c>
      <c r="AA263" s="43"/>
    </row>
    <row r="264" spans="2:27" ht="15">
      <c r="B264" s="60"/>
      <c r="C264">
        <v>247</v>
      </c>
      <c r="D264" s="359">
        <v>0</v>
      </c>
      <c r="E264" s="211">
        <f t="shared" si="33"/>
        <v>0</v>
      </c>
      <c r="F264" s="211">
        <f>'Studio Rain System'!L269</f>
        <v>18.509999999999998</v>
      </c>
      <c r="G264" s="211">
        <f>'Studio Rain System'!M269</f>
        <v>0.745</v>
      </c>
      <c r="H264" s="206">
        <f>'Flow Rate'!$W$27</f>
        <v>464206.53322409093</v>
      </c>
      <c r="I264" s="178">
        <f>'Ozone-Energy'!H257</f>
        <v>0</v>
      </c>
      <c r="J264" s="128">
        <f t="shared" si="35"/>
        <v>0</v>
      </c>
      <c r="K264" s="193">
        <f>'Ozone-Energy'!J257</f>
        <v>0</v>
      </c>
      <c r="L264" s="43">
        <f t="shared" si="34"/>
        <v>0</v>
      </c>
      <c r="M264" s="43">
        <f>'Ozone-Energy'!L257</f>
        <v>0</v>
      </c>
      <c r="N264" s="179">
        <f>'Ozone-Energy'!M257</f>
        <v>0</v>
      </c>
      <c r="O264" s="43">
        <f>'Ozone-Energy'!N257</f>
        <v>1200</v>
      </c>
      <c r="P264" s="180">
        <f t="shared" si="41"/>
        <v>4.32</v>
      </c>
      <c r="Q264" s="181">
        <f t="shared" si="40"/>
        <v>4.32</v>
      </c>
      <c r="R264" s="43">
        <f>'Ozone-Energy'!Q257</f>
        <v>0</v>
      </c>
      <c r="S264" s="43">
        <f>'Ozone-Energy'!R257</f>
        <v>0</v>
      </c>
      <c r="T264" s="43">
        <f>'Ozone-Energy'!S257</f>
        <v>0</v>
      </c>
      <c r="U264" s="43"/>
      <c r="V264" s="43"/>
      <c r="W264">
        <f>'Ozone-Energy'!V257</f>
        <v>0</v>
      </c>
      <c r="X264">
        <f>'Ozone-Energy'!W257</f>
        <v>0</v>
      </c>
      <c r="Y264">
        <f>'Ozone-Energy'!X257</f>
        <v>0</v>
      </c>
      <c r="Z264">
        <f>'Ozone-Energy'!Y257</f>
        <v>0</v>
      </c>
      <c r="AA264" s="43"/>
    </row>
    <row r="265" spans="2:27" ht="15">
      <c r="B265" s="60"/>
      <c r="C265">
        <v>248</v>
      </c>
      <c r="D265" s="359">
        <v>0</v>
      </c>
      <c r="E265" s="211">
        <f t="shared" si="33"/>
        <v>0</v>
      </c>
      <c r="F265" s="211">
        <f>'Studio Rain System'!L270</f>
        <v>17.764999999999997</v>
      </c>
      <c r="G265" s="211">
        <f>'Studio Rain System'!M270</f>
        <v>0.745</v>
      </c>
      <c r="H265" s="206">
        <f>'Flow Rate'!$W$27</f>
        <v>464206.53322409093</v>
      </c>
      <c r="I265" s="178">
        <f>'Ozone-Energy'!H258</f>
        <v>0</v>
      </c>
      <c r="J265" s="128">
        <f t="shared" si="35"/>
        <v>0</v>
      </c>
      <c r="K265" s="193">
        <f>'Ozone-Energy'!J258</f>
        <v>0</v>
      </c>
      <c r="L265" s="43">
        <f t="shared" si="34"/>
        <v>0</v>
      </c>
      <c r="M265" s="43">
        <f>'Ozone-Energy'!L258</f>
        <v>0</v>
      </c>
      <c r="N265" s="179">
        <f>'Ozone-Energy'!M258</f>
        <v>0</v>
      </c>
      <c r="O265" s="43">
        <f>'Ozone-Energy'!N258</f>
        <v>1200</v>
      </c>
      <c r="P265" s="180">
        <f t="shared" si="41"/>
        <v>4.32</v>
      </c>
      <c r="Q265" s="181">
        <f t="shared" si="40"/>
        <v>4.32</v>
      </c>
      <c r="R265" s="43">
        <f>'Ozone-Energy'!Q258</f>
        <v>0</v>
      </c>
      <c r="S265" s="43">
        <f>'Ozone-Energy'!R258</f>
        <v>0</v>
      </c>
      <c r="T265" s="43">
        <f>'Ozone-Energy'!S258</f>
        <v>0</v>
      </c>
      <c r="U265" s="43"/>
      <c r="V265" s="43"/>
      <c r="W265">
        <f>'Ozone-Energy'!V258</f>
        <v>0</v>
      </c>
      <c r="X265">
        <f>'Ozone-Energy'!W258</f>
        <v>0</v>
      </c>
      <c r="Y265">
        <f>'Ozone-Energy'!X258</f>
        <v>0</v>
      </c>
      <c r="Z265">
        <f>'Ozone-Energy'!Y258</f>
        <v>0</v>
      </c>
      <c r="AA265" s="43"/>
    </row>
    <row r="266" spans="2:27" ht="15">
      <c r="B266" s="60"/>
      <c r="C266">
        <v>249</v>
      </c>
      <c r="D266" s="359">
        <v>0</v>
      </c>
      <c r="E266" s="211">
        <f t="shared" si="33"/>
        <v>0</v>
      </c>
      <c r="F266" s="211">
        <f>'Studio Rain System'!L271</f>
        <v>17.019999999999996</v>
      </c>
      <c r="G266" s="211">
        <f>'Studio Rain System'!M271</f>
        <v>0.745</v>
      </c>
      <c r="H266" s="206">
        <f>'Flow Rate'!$W$27</f>
        <v>464206.53322409093</v>
      </c>
      <c r="I266" s="178">
        <f>'Ozone-Energy'!H259</f>
        <v>0</v>
      </c>
      <c r="J266" s="128">
        <f t="shared" si="35"/>
        <v>0</v>
      </c>
      <c r="K266" s="193">
        <f>'Ozone-Energy'!J259</f>
        <v>0</v>
      </c>
      <c r="L266" s="43">
        <f t="shared" si="34"/>
        <v>0</v>
      </c>
      <c r="M266" s="43">
        <f>'Ozone-Energy'!L259</f>
        <v>0</v>
      </c>
      <c r="N266" s="179">
        <f>'Ozone-Energy'!M259</f>
        <v>0</v>
      </c>
      <c r="O266" s="43">
        <f>'Ozone-Energy'!N259</f>
        <v>1200</v>
      </c>
      <c r="P266" s="180">
        <f t="shared" si="41"/>
        <v>4.32</v>
      </c>
      <c r="Q266" s="181">
        <f t="shared" si="40"/>
        <v>4.32</v>
      </c>
      <c r="R266" s="43">
        <f>'Ozone-Energy'!Q259</f>
        <v>0</v>
      </c>
      <c r="S266" s="43">
        <f>'Ozone-Energy'!R259</f>
        <v>0</v>
      </c>
      <c r="T266" s="43">
        <f>'Ozone-Energy'!S259</f>
        <v>0</v>
      </c>
      <c r="U266" s="43"/>
      <c r="V266" s="43"/>
      <c r="W266">
        <f>'Ozone-Energy'!V259</f>
        <v>0</v>
      </c>
      <c r="X266">
        <f>'Ozone-Energy'!W259</f>
        <v>0</v>
      </c>
      <c r="Y266">
        <f>'Ozone-Energy'!X259</f>
        <v>0</v>
      </c>
      <c r="Z266">
        <f>'Ozone-Energy'!Y259</f>
        <v>0</v>
      </c>
      <c r="AA266" s="43"/>
    </row>
    <row r="267" spans="2:27" ht="15">
      <c r="B267" s="60"/>
      <c r="C267">
        <v>250</v>
      </c>
      <c r="D267" s="359">
        <v>0</v>
      </c>
      <c r="E267" s="211">
        <f t="shared" si="33"/>
        <v>0</v>
      </c>
      <c r="F267" s="211">
        <f>'Studio Rain System'!L272</f>
        <v>16.274999999999995</v>
      </c>
      <c r="G267" s="211">
        <f>'Studio Rain System'!M272</f>
        <v>0.745</v>
      </c>
      <c r="H267" s="206">
        <f>'Flow Rate'!$W$27</f>
        <v>464206.53322409093</v>
      </c>
      <c r="I267" s="178">
        <f>'Ozone-Energy'!H260</f>
        <v>0</v>
      </c>
      <c r="J267" s="128">
        <f t="shared" si="35"/>
        <v>0</v>
      </c>
      <c r="K267" s="193">
        <f>'Ozone-Energy'!J260</f>
        <v>0</v>
      </c>
      <c r="L267" s="43">
        <f t="shared" si="34"/>
        <v>0</v>
      </c>
      <c r="M267" s="43">
        <f>'Ozone-Energy'!L260</f>
        <v>0</v>
      </c>
      <c r="N267" s="179">
        <f>'Ozone-Energy'!M260</f>
        <v>0</v>
      </c>
      <c r="O267" s="43">
        <f>'Ozone-Energy'!N260</f>
        <v>1200</v>
      </c>
      <c r="P267" s="180">
        <f t="shared" si="41"/>
        <v>4.32</v>
      </c>
      <c r="Q267" s="181">
        <f t="shared" si="40"/>
        <v>4.32</v>
      </c>
      <c r="R267" s="43">
        <f>'Ozone-Energy'!Q260</f>
        <v>0</v>
      </c>
      <c r="S267" s="43">
        <f>'Ozone-Energy'!R260</f>
        <v>0</v>
      </c>
      <c r="T267" s="43">
        <f>'Ozone-Energy'!S260</f>
        <v>0</v>
      </c>
      <c r="U267" s="43"/>
      <c r="V267" s="43"/>
      <c r="W267">
        <f>'Ozone-Energy'!V260</f>
        <v>0</v>
      </c>
      <c r="X267">
        <f>'Ozone-Energy'!W260</f>
        <v>0</v>
      </c>
      <c r="Y267">
        <f>'Ozone-Energy'!X260</f>
        <v>0</v>
      </c>
      <c r="Z267">
        <f>'Ozone-Energy'!Y260</f>
        <v>0</v>
      </c>
      <c r="AA267" s="43"/>
    </row>
    <row r="268" spans="2:27" ht="15">
      <c r="B268" s="60"/>
      <c r="C268">
        <v>251</v>
      </c>
      <c r="D268" s="359">
        <v>0</v>
      </c>
      <c r="E268" s="211">
        <f t="shared" si="33"/>
        <v>0</v>
      </c>
      <c r="F268" s="211">
        <f>'Studio Rain System'!L273</f>
        <v>15.529999999999996</v>
      </c>
      <c r="G268" s="211">
        <f>'Studio Rain System'!M273</f>
        <v>0.745</v>
      </c>
      <c r="H268" s="206">
        <f>'Flow Rate'!$W$27</f>
        <v>464206.53322409093</v>
      </c>
      <c r="I268" s="178">
        <f>'Ozone-Energy'!H261</f>
        <v>0</v>
      </c>
      <c r="J268" s="128">
        <f t="shared" si="35"/>
        <v>0</v>
      </c>
      <c r="K268" s="193">
        <f>'Ozone-Energy'!J261</f>
        <v>0</v>
      </c>
      <c r="L268" s="43">
        <f t="shared" si="34"/>
        <v>0</v>
      </c>
      <c r="M268" s="43">
        <f>'Ozone-Energy'!L261</f>
        <v>0</v>
      </c>
      <c r="N268" s="179">
        <f>'Ozone-Energy'!M261</f>
        <v>0</v>
      </c>
      <c r="O268" s="43">
        <f>'Ozone-Energy'!N261</f>
        <v>1200</v>
      </c>
      <c r="P268" s="180">
        <f xml:space="preserve"> O268 * 3600 / 1000000</f>
        <v>4.32</v>
      </c>
      <c r="Q268" s="181">
        <f t="shared" si="40"/>
        <v>4.32</v>
      </c>
      <c r="R268" s="43">
        <f>'Ozone-Energy'!Q261</f>
        <v>0</v>
      </c>
      <c r="S268" s="43">
        <f>'Ozone-Energy'!R261</f>
        <v>0</v>
      </c>
      <c r="T268" s="43">
        <f>'Ozone-Energy'!S261</f>
        <v>0</v>
      </c>
      <c r="U268" s="43"/>
      <c r="V268" s="43"/>
      <c r="W268">
        <f>'Ozone-Energy'!V261</f>
        <v>0</v>
      </c>
      <c r="X268">
        <f>'Ozone-Energy'!W261</f>
        <v>0</v>
      </c>
      <c r="Y268">
        <f>'Ozone-Energy'!X261</f>
        <v>0</v>
      </c>
      <c r="Z268">
        <f>'Ozone-Energy'!Y261</f>
        <v>0</v>
      </c>
      <c r="AA268" s="43"/>
    </row>
    <row r="269" spans="2:27" ht="15">
      <c r="B269" s="60"/>
      <c r="C269">
        <v>252</v>
      </c>
      <c r="D269" s="359">
        <v>0</v>
      </c>
      <c r="E269" s="211">
        <f t="shared" si="33"/>
        <v>0</v>
      </c>
      <c r="F269" s="211">
        <f>'Studio Rain System'!L274</f>
        <v>14.784999999999997</v>
      </c>
      <c r="G269" s="211">
        <f>'Studio Rain System'!M274</f>
        <v>0.745</v>
      </c>
      <c r="H269" s="206">
        <f>'Flow Rate'!$W$27</f>
        <v>464206.53322409093</v>
      </c>
      <c r="I269" s="178">
        <f>'Ozone-Energy'!H262</f>
        <v>0</v>
      </c>
      <c r="J269" s="128">
        <f t="shared" si="35"/>
        <v>0</v>
      </c>
      <c r="K269" s="193">
        <f>'Ozone-Energy'!J262</f>
        <v>0</v>
      </c>
      <c r="L269" s="43">
        <f t="shared" si="34"/>
        <v>0</v>
      </c>
      <c r="M269" s="43">
        <f>'Ozone-Energy'!L262</f>
        <v>0</v>
      </c>
      <c r="N269" s="179">
        <f>'Ozone-Energy'!M262</f>
        <v>0</v>
      </c>
      <c r="O269" s="43">
        <f>'Ozone-Energy'!N262</f>
        <v>1200</v>
      </c>
      <c r="P269" s="180">
        <f t="shared" ref="P269:P277" si="42">O269 * 3600 / 1000000</f>
        <v>4.32</v>
      </c>
      <c r="Q269" s="181">
        <f t="shared" si="40"/>
        <v>4.32</v>
      </c>
      <c r="R269" s="43">
        <f>'Ozone-Energy'!Q262</f>
        <v>0</v>
      </c>
      <c r="S269" s="43">
        <f>'Ozone-Energy'!R262</f>
        <v>0</v>
      </c>
      <c r="T269" s="43">
        <f>'Ozone-Energy'!S262</f>
        <v>0</v>
      </c>
      <c r="U269" s="43"/>
      <c r="V269" s="43"/>
      <c r="W269">
        <f>'Ozone-Energy'!V262</f>
        <v>0</v>
      </c>
      <c r="X269">
        <f>'Ozone-Energy'!W262</f>
        <v>0</v>
      </c>
      <c r="Y269">
        <f>'Ozone-Energy'!X262</f>
        <v>0</v>
      </c>
      <c r="Z269">
        <f>'Ozone-Energy'!Y262</f>
        <v>0</v>
      </c>
      <c r="AA269" s="43"/>
    </row>
    <row r="270" spans="2:27" ht="15">
      <c r="B270" s="60"/>
      <c r="C270">
        <v>253</v>
      </c>
      <c r="D270" s="359">
        <v>0</v>
      </c>
      <c r="E270" s="211">
        <f t="shared" si="33"/>
        <v>0</v>
      </c>
      <c r="F270" s="211">
        <f>'Studio Rain System'!L275</f>
        <v>14.039999999999997</v>
      </c>
      <c r="G270" s="211">
        <f>'Studio Rain System'!M275</f>
        <v>0.745</v>
      </c>
      <c r="H270" s="206">
        <f>'Flow Rate'!$W$27</f>
        <v>464206.53322409093</v>
      </c>
      <c r="I270" s="178">
        <f>'Ozone-Energy'!H263</f>
        <v>0</v>
      </c>
      <c r="J270" s="128">
        <f t="shared" si="35"/>
        <v>0</v>
      </c>
      <c r="K270" s="193">
        <f>'Ozone-Energy'!J263</f>
        <v>0</v>
      </c>
      <c r="L270" s="43">
        <f t="shared" si="34"/>
        <v>0</v>
      </c>
      <c r="M270" s="43">
        <f>'Ozone-Energy'!L263</f>
        <v>0</v>
      </c>
      <c r="N270" s="179">
        <f>'Ozone-Energy'!M263</f>
        <v>0</v>
      </c>
      <c r="O270" s="43">
        <f>'Ozone-Energy'!N263</f>
        <v>1200</v>
      </c>
      <c r="P270" s="180">
        <f t="shared" si="42"/>
        <v>4.32</v>
      </c>
      <c r="Q270" s="181">
        <f t="shared" si="40"/>
        <v>4.32</v>
      </c>
      <c r="R270" s="43">
        <f>'Ozone-Energy'!Q263</f>
        <v>0</v>
      </c>
      <c r="S270" s="43">
        <f>'Ozone-Energy'!R263</f>
        <v>0</v>
      </c>
      <c r="T270" s="43">
        <f>'Ozone-Energy'!S263</f>
        <v>0</v>
      </c>
      <c r="U270" s="43"/>
      <c r="V270" s="43"/>
      <c r="W270">
        <f>'Ozone-Energy'!V263</f>
        <v>0</v>
      </c>
      <c r="X270">
        <f>'Ozone-Energy'!W263</f>
        <v>0</v>
      </c>
      <c r="Y270">
        <f>'Ozone-Energy'!X263</f>
        <v>0</v>
      </c>
      <c r="Z270">
        <f>'Ozone-Energy'!Y263</f>
        <v>0</v>
      </c>
      <c r="AA270" s="43"/>
    </row>
    <row r="271" spans="2:27" ht="15">
      <c r="B271" s="60"/>
      <c r="C271">
        <v>254</v>
      </c>
      <c r="D271" s="359">
        <v>0</v>
      </c>
      <c r="E271" s="211">
        <f t="shared" si="33"/>
        <v>0</v>
      </c>
      <c r="F271" s="211">
        <f>'Studio Rain System'!L276</f>
        <v>13.294999999999998</v>
      </c>
      <c r="G271" s="211">
        <f>'Studio Rain System'!M276</f>
        <v>0.745</v>
      </c>
      <c r="H271" s="206">
        <f>'Flow Rate'!$W$27</f>
        <v>464206.53322409093</v>
      </c>
      <c r="I271" s="178">
        <f>'Ozone-Energy'!H264</f>
        <v>0</v>
      </c>
      <c r="J271" s="128">
        <f t="shared" si="35"/>
        <v>0</v>
      </c>
      <c r="K271" s="193">
        <f>'Ozone-Energy'!J264</f>
        <v>0</v>
      </c>
      <c r="L271" s="43">
        <f t="shared" si="34"/>
        <v>0</v>
      </c>
      <c r="M271" s="43">
        <f>'Ozone-Energy'!L264</f>
        <v>0</v>
      </c>
      <c r="N271" s="179">
        <f>'Ozone-Energy'!M264</f>
        <v>0</v>
      </c>
      <c r="O271" s="43">
        <f>'Ozone-Energy'!N264</f>
        <v>1200</v>
      </c>
      <c r="P271" s="180">
        <f t="shared" si="42"/>
        <v>4.32</v>
      </c>
      <c r="Q271" s="181">
        <f t="shared" si="40"/>
        <v>4.32</v>
      </c>
      <c r="R271" s="43">
        <f>'Ozone-Energy'!Q264</f>
        <v>0</v>
      </c>
      <c r="S271" s="43">
        <f>'Ozone-Energy'!R264</f>
        <v>0</v>
      </c>
      <c r="T271" s="43">
        <f>'Ozone-Energy'!S264</f>
        <v>0</v>
      </c>
      <c r="U271" s="43"/>
      <c r="V271" s="43"/>
      <c r="W271">
        <f>'Ozone-Energy'!V264</f>
        <v>0</v>
      </c>
      <c r="X271">
        <f>'Ozone-Energy'!W264</f>
        <v>0</v>
      </c>
      <c r="Y271">
        <f>'Ozone-Energy'!X264</f>
        <v>0</v>
      </c>
      <c r="Z271">
        <f>'Ozone-Energy'!Y264</f>
        <v>0</v>
      </c>
      <c r="AA271" s="43"/>
    </row>
    <row r="272" spans="2:27" ht="15">
      <c r="B272" s="60"/>
      <c r="C272">
        <v>255</v>
      </c>
      <c r="D272" s="359">
        <v>0</v>
      </c>
      <c r="E272" s="211">
        <f t="shared" si="33"/>
        <v>0</v>
      </c>
      <c r="F272" s="211">
        <f>'Studio Rain System'!L277</f>
        <v>12.549999999999999</v>
      </c>
      <c r="G272" s="211">
        <f>'Studio Rain System'!M277</f>
        <v>0.745</v>
      </c>
      <c r="H272" s="206">
        <f>'Flow Rate'!$W$27</f>
        <v>464206.53322409093</v>
      </c>
      <c r="I272" s="178">
        <f>'Ozone-Energy'!H265</f>
        <v>0</v>
      </c>
      <c r="J272" s="128">
        <f t="shared" si="35"/>
        <v>0</v>
      </c>
      <c r="K272" s="193">
        <f>'Ozone-Energy'!J265</f>
        <v>0</v>
      </c>
      <c r="L272" s="43">
        <f t="shared" si="34"/>
        <v>0</v>
      </c>
      <c r="M272" s="43">
        <f>'Ozone-Energy'!L265</f>
        <v>0</v>
      </c>
      <c r="N272" s="179">
        <f>'Ozone-Energy'!M265</f>
        <v>0</v>
      </c>
      <c r="O272" s="43">
        <f>'Ozone-Energy'!N265</f>
        <v>1200</v>
      </c>
      <c r="P272" s="180">
        <f t="shared" si="42"/>
        <v>4.32</v>
      </c>
      <c r="Q272" s="181">
        <f t="shared" si="40"/>
        <v>4.32</v>
      </c>
      <c r="R272" s="43">
        <f>'Ozone-Energy'!Q265</f>
        <v>0</v>
      </c>
      <c r="S272" s="43">
        <f>'Ozone-Energy'!R265</f>
        <v>0</v>
      </c>
      <c r="T272" s="43">
        <f>'Ozone-Energy'!S265</f>
        <v>0</v>
      </c>
      <c r="U272" s="43"/>
      <c r="V272" s="43"/>
      <c r="W272">
        <f>'Ozone-Energy'!V265</f>
        <v>0</v>
      </c>
      <c r="X272">
        <f>'Ozone-Energy'!W265</f>
        <v>0</v>
      </c>
      <c r="Y272">
        <f>'Ozone-Energy'!X265</f>
        <v>0</v>
      </c>
      <c r="Z272">
        <f>'Ozone-Energy'!Y265</f>
        <v>0</v>
      </c>
      <c r="AA272" s="43"/>
    </row>
    <row r="273" spans="2:27" ht="15">
      <c r="B273" s="60"/>
      <c r="C273">
        <v>256</v>
      </c>
      <c r="D273" s="359">
        <v>0</v>
      </c>
      <c r="E273" s="211">
        <f t="shared" si="33"/>
        <v>0</v>
      </c>
      <c r="F273" s="211">
        <f>'Studio Rain System'!L278</f>
        <v>11.805</v>
      </c>
      <c r="G273" s="211">
        <f>'Studio Rain System'!M278</f>
        <v>0.745</v>
      </c>
      <c r="H273" s="206">
        <f>'Flow Rate'!$W$27</f>
        <v>464206.53322409093</v>
      </c>
      <c r="I273" s="178">
        <f>'Ozone-Energy'!H266</f>
        <v>0</v>
      </c>
      <c r="J273" s="128">
        <f t="shared" si="35"/>
        <v>0</v>
      </c>
      <c r="K273" s="193">
        <f>'Ozone-Energy'!J266</f>
        <v>0</v>
      </c>
      <c r="L273" s="43">
        <f t="shared" si="34"/>
        <v>0</v>
      </c>
      <c r="M273" s="43">
        <f>'Ozone-Energy'!L266</f>
        <v>0</v>
      </c>
      <c r="N273" s="179">
        <f>'Ozone-Energy'!M266</f>
        <v>0</v>
      </c>
      <c r="O273" s="43">
        <f>'Ozone-Energy'!N266</f>
        <v>1200</v>
      </c>
      <c r="P273" s="180">
        <f t="shared" si="42"/>
        <v>4.32</v>
      </c>
      <c r="Q273" s="181">
        <f t="shared" si="40"/>
        <v>4.32</v>
      </c>
      <c r="R273" s="43">
        <f>'Ozone-Energy'!Q266</f>
        <v>0</v>
      </c>
      <c r="S273" s="43">
        <f>'Ozone-Energy'!R266</f>
        <v>0</v>
      </c>
      <c r="T273" s="43">
        <f>'Ozone-Energy'!S266</f>
        <v>0</v>
      </c>
      <c r="U273" s="43"/>
      <c r="V273" s="43"/>
      <c r="W273">
        <f>'Ozone-Energy'!V266</f>
        <v>0</v>
      </c>
      <c r="X273">
        <f>'Ozone-Energy'!W266</f>
        <v>0</v>
      </c>
      <c r="Y273">
        <f>'Ozone-Energy'!X266</f>
        <v>0</v>
      </c>
      <c r="Z273">
        <f>'Ozone-Energy'!Y266</f>
        <v>0</v>
      </c>
      <c r="AA273" s="43"/>
    </row>
    <row r="274" spans="2:27" ht="15">
      <c r="B274" s="60"/>
      <c r="C274">
        <v>257</v>
      </c>
      <c r="D274" s="359">
        <v>0</v>
      </c>
      <c r="E274" s="211">
        <f t="shared" ref="E274:E337" si="43">(D274/1000)*$J$7</f>
        <v>0</v>
      </c>
      <c r="F274" s="211">
        <f>'Studio Rain System'!L279</f>
        <v>11.06</v>
      </c>
      <c r="G274" s="211">
        <f>'Studio Rain System'!M279</f>
        <v>0.745</v>
      </c>
      <c r="H274" s="206">
        <f>'Flow Rate'!$W$27</f>
        <v>464206.53322409093</v>
      </c>
      <c r="I274" s="178">
        <f>'Ozone-Energy'!H267</f>
        <v>0</v>
      </c>
      <c r="J274" s="128">
        <f t="shared" si="35"/>
        <v>0</v>
      </c>
      <c r="K274" s="193">
        <f>'Ozone-Energy'!J267</f>
        <v>0</v>
      </c>
      <c r="L274" s="43">
        <f t="shared" ref="L274:L337" si="44">K274/1000</f>
        <v>0</v>
      </c>
      <c r="M274" s="43">
        <f>'Ozone-Energy'!L267</f>
        <v>0</v>
      </c>
      <c r="N274" s="179">
        <f>'Ozone-Energy'!M267</f>
        <v>0</v>
      </c>
      <c r="O274" s="43">
        <f>'Ozone-Energy'!N267</f>
        <v>1200</v>
      </c>
      <c r="P274" s="180">
        <f t="shared" si="42"/>
        <v>4.32</v>
      </c>
      <c r="Q274" s="181">
        <f t="shared" si="40"/>
        <v>4.32</v>
      </c>
      <c r="R274" s="43">
        <f>'Ozone-Energy'!Q267</f>
        <v>0</v>
      </c>
      <c r="S274" s="43">
        <f>'Ozone-Energy'!R267</f>
        <v>0</v>
      </c>
      <c r="T274" s="43">
        <f>'Ozone-Energy'!S267</f>
        <v>0</v>
      </c>
      <c r="U274" s="43"/>
      <c r="V274" s="43"/>
      <c r="W274">
        <f>'Ozone-Energy'!V267</f>
        <v>0</v>
      </c>
      <c r="X274">
        <f>'Ozone-Energy'!W267</f>
        <v>0</v>
      </c>
      <c r="Y274">
        <f>'Ozone-Energy'!X267</f>
        <v>0</v>
      </c>
      <c r="Z274">
        <f>'Ozone-Energy'!Y267</f>
        <v>0</v>
      </c>
      <c r="AA274" s="43"/>
    </row>
    <row r="275" spans="2:27" ht="15">
      <c r="B275" s="60"/>
      <c r="C275">
        <v>258</v>
      </c>
      <c r="D275" s="359">
        <v>0</v>
      </c>
      <c r="E275" s="211">
        <f t="shared" si="43"/>
        <v>0</v>
      </c>
      <c r="F275" s="211">
        <f>'Studio Rain System'!L280</f>
        <v>10.315000000000001</v>
      </c>
      <c r="G275" s="211">
        <f>'Studio Rain System'!M280</f>
        <v>0.745</v>
      </c>
      <c r="H275" s="206">
        <f>'Flow Rate'!$W$27</f>
        <v>464206.53322409093</v>
      </c>
      <c r="I275" s="178">
        <f>'Ozone-Energy'!H268</f>
        <v>0</v>
      </c>
      <c r="J275" s="128">
        <f t="shared" ref="J275:J338" si="45">I275 * 10^(-6)</f>
        <v>0</v>
      </c>
      <c r="K275" s="193">
        <f>'Ozone-Energy'!J268</f>
        <v>0</v>
      </c>
      <c r="L275" s="43">
        <f t="shared" si="44"/>
        <v>0</v>
      </c>
      <c r="M275" s="43">
        <f>'Ozone-Energy'!L268</f>
        <v>0</v>
      </c>
      <c r="N275" s="179">
        <f>'Ozone-Energy'!M268</f>
        <v>0</v>
      </c>
      <c r="O275" s="43">
        <f>'Ozone-Energy'!N268</f>
        <v>1200</v>
      </c>
      <c r="P275" s="180">
        <f t="shared" si="42"/>
        <v>4.32</v>
      </c>
      <c r="Q275" s="181">
        <f t="shared" si="40"/>
        <v>4.32</v>
      </c>
      <c r="R275" s="43">
        <f>'Ozone-Energy'!Q268</f>
        <v>0</v>
      </c>
      <c r="S275" s="43">
        <f>'Ozone-Energy'!R268</f>
        <v>0</v>
      </c>
      <c r="T275" s="43">
        <f>'Ozone-Energy'!S268</f>
        <v>0</v>
      </c>
      <c r="U275" s="43"/>
      <c r="V275" s="43"/>
      <c r="W275">
        <f>'Ozone-Energy'!V268</f>
        <v>0</v>
      </c>
      <c r="X275">
        <f>'Ozone-Energy'!W268</f>
        <v>0</v>
      </c>
      <c r="Y275">
        <f>'Ozone-Energy'!X268</f>
        <v>0</v>
      </c>
      <c r="Z275">
        <f>'Ozone-Energy'!Y268</f>
        <v>0</v>
      </c>
      <c r="AA275" s="43"/>
    </row>
    <row r="276" spans="2:27" ht="15">
      <c r="B276" s="60"/>
      <c r="C276">
        <v>259</v>
      </c>
      <c r="D276" s="359">
        <v>0</v>
      </c>
      <c r="E276" s="211">
        <f t="shared" si="43"/>
        <v>0</v>
      </c>
      <c r="F276" s="211">
        <f>'Studio Rain System'!L281</f>
        <v>9.5700000000000021</v>
      </c>
      <c r="G276" s="211">
        <f>'Studio Rain System'!M281</f>
        <v>0.745</v>
      </c>
      <c r="H276" s="206">
        <f>'Flow Rate'!$W$27</f>
        <v>464206.53322409093</v>
      </c>
      <c r="I276" s="178">
        <f>'Ozone-Energy'!H269</f>
        <v>0</v>
      </c>
      <c r="J276" s="128">
        <f t="shared" si="45"/>
        <v>0</v>
      </c>
      <c r="K276" s="193">
        <f>'Ozone-Energy'!J269</f>
        <v>0</v>
      </c>
      <c r="L276" s="43">
        <f t="shared" si="44"/>
        <v>0</v>
      </c>
      <c r="M276" s="43">
        <f>'Ozone-Energy'!L269</f>
        <v>0</v>
      </c>
      <c r="N276" s="179">
        <f>'Ozone-Energy'!M269</f>
        <v>0</v>
      </c>
      <c r="O276" s="43">
        <f>'Ozone-Energy'!N269</f>
        <v>1200</v>
      </c>
      <c r="P276" s="180">
        <f t="shared" si="42"/>
        <v>4.32</v>
      </c>
      <c r="Q276" s="181">
        <f t="shared" si="40"/>
        <v>4.32</v>
      </c>
      <c r="R276" s="43">
        <f>'Ozone-Energy'!Q269</f>
        <v>0</v>
      </c>
      <c r="S276" s="43">
        <f>'Ozone-Energy'!R269</f>
        <v>0</v>
      </c>
      <c r="T276" s="43">
        <f>'Ozone-Energy'!S269</f>
        <v>0</v>
      </c>
      <c r="U276" s="43"/>
      <c r="V276" s="43"/>
      <c r="W276">
        <f>'Ozone-Energy'!V269</f>
        <v>0</v>
      </c>
      <c r="X276">
        <f>'Ozone-Energy'!W269</f>
        <v>0</v>
      </c>
      <c r="Y276">
        <f>'Ozone-Energy'!X269</f>
        <v>0</v>
      </c>
      <c r="Z276">
        <f>'Ozone-Energy'!Y269</f>
        <v>0</v>
      </c>
      <c r="AA276" s="43"/>
    </row>
    <row r="277" spans="2:27" ht="15">
      <c r="B277" s="60"/>
      <c r="C277">
        <v>260</v>
      </c>
      <c r="D277" s="359">
        <v>0</v>
      </c>
      <c r="E277" s="211">
        <f t="shared" si="43"/>
        <v>0</v>
      </c>
      <c r="F277" s="211">
        <f>'Studio Rain System'!L282</f>
        <v>8.8250000000000028</v>
      </c>
      <c r="G277" s="211">
        <f>'Studio Rain System'!M282</f>
        <v>0.745</v>
      </c>
      <c r="H277" s="206">
        <f>'Flow Rate'!$W$27</f>
        <v>464206.53322409093</v>
      </c>
      <c r="I277" s="178">
        <f>'Ozone-Energy'!H270</f>
        <v>0</v>
      </c>
      <c r="J277" s="128">
        <f t="shared" si="45"/>
        <v>0</v>
      </c>
      <c r="K277" s="193">
        <f>'Ozone-Energy'!J270</f>
        <v>0</v>
      </c>
      <c r="L277" s="43">
        <f t="shared" si="44"/>
        <v>0</v>
      </c>
      <c r="M277" s="43">
        <f>'Ozone-Energy'!L270</f>
        <v>0</v>
      </c>
      <c r="N277" s="179">
        <f>'Ozone-Energy'!M270</f>
        <v>0</v>
      </c>
      <c r="O277" s="43">
        <f>'Ozone-Energy'!N270</f>
        <v>1200</v>
      </c>
      <c r="P277" s="180">
        <f t="shared" si="42"/>
        <v>4.32</v>
      </c>
      <c r="Q277" s="181">
        <f t="shared" si="40"/>
        <v>4.32</v>
      </c>
      <c r="R277" s="43">
        <f>'Ozone-Energy'!Q270</f>
        <v>0</v>
      </c>
      <c r="S277" s="43">
        <f>'Ozone-Energy'!R270</f>
        <v>0</v>
      </c>
      <c r="T277" s="43">
        <f>'Ozone-Energy'!S270</f>
        <v>0</v>
      </c>
      <c r="U277" s="43"/>
      <c r="V277" s="43"/>
      <c r="W277">
        <f>'Ozone-Energy'!V270</f>
        <v>0</v>
      </c>
      <c r="X277">
        <f>'Ozone-Energy'!W270</f>
        <v>0</v>
      </c>
      <c r="Y277">
        <f>'Ozone-Energy'!X270</f>
        <v>0</v>
      </c>
      <c r="Z277">
        <f>'Ozone-Energy'!Y270</f>
        <v>0</v>
      </c>
      <c r="AA277" s="43"/>
    </row>
    <row r="278" spans="2:27" ht="15">
      <c r="B278" s="60"/>
      <c r="C278">
        <v>261</v>
      </c>
      <c r="D278" s="359">
        <v>26.4</v>
      </c>
      <c r="E278" s="211">
        <f t="shared" si="43"/>
        <v>29.04</v>
      </c>
      <c r="F278" s="211">
        <f>'Studio Rain System'!L283</f>
        <v>20</v>
      </c>
      <c r="G278" s="211">
        <f>'Studio Rain System'!M283</f>
        <v>0.745</v>
      </c>
      <c r="H278" s="206">
        <f>'Flow Rate'!$W$27</f>
        <v>464206.53322409093</v>
      </c>
      <c r="I278" s="178">
        <f>'Ozone-Energy'!H271</f>
        <v>5210605.7142857146</v>
      </c>
      <c r="J278" s="128">
        <f t="shared" si="45"/>
        <v>5.2106057142857143</v>
      </c>
      <c r="K278" s="193">
        <f>'Ozone-Energy'!J271</f>
        <v>145200</v>
      </c>
      <c r="L278" s="43">
        <f t="shared" si="44"/>
        <v>145.19999999999999</v>
      </c>
      <c r="M278" s="43">
        <f>'Ozone-Energy'!L271</f>
        <v>290400000</v>
      </c>
      <c r="N278" s="179">
        <f>'Ozone-Energy'!M271</f>
        <v>290.39999999999998</v>
      </c>
      <c r="O278" s="43">
        <f>'Ozone-Energy'!N271</f>
        <v>1200</v>
      </c>
      <c r="P278" s="180">
        <f xml:space="preserve"> O278 * 3600 / 1000000</f>
        <v>4.32</v>
      </c>
      <c r="Q278" s="181">
        <f t="shared" si="40"/>
        <v>299.93060571428566</v>
      </c>
      <c r="R278" s="43">
        <f>'Ozone-Energy'!Q271</f>
        <v>0</v>
      </c>
      <c r="S278" s="43">
        <f>'Ozone-Energy'!R271</f>
        <v>0</v>
      </c>
      <c r="T278" s="43">
        <f>'Ozone-Energy'!S271</f>
        <v>0</v>
      </c>
      <c r="U278" s="43"/>
      <c r="V278" s="43"/>
      <c r="W278">
        <f>'Ozone-Energy'!V271</f>
        <v>0</v>
      </c>
      <c r="X278">
        <f>'Ozone-Energy'!W271</f>
        <v>0</v>
      </c>
      <c r="Y278">
        <f>'Ozone-Energy'!X271</f>
        <v>0</v>
      </c>
      <c r="Z278">
        <f>'Ozone-Energy'!Y271</f>
        <v>0</v>
      </c>
      <c r="AA278" s="43"/>
    </row>
    <row r="279" spans="2:27" ht="15">
      <c r="B279" s="60"/>
      <c r="C279">
        <v>262</v>
      </c>
      <c r="D279" s="359">
        <v>0.4</v>
      </c>
      <c r="E279" s="211">
        <f t="shared" si="43"/>
        <v>0.44</v>
      </c>
      <c r="F279" s="211">
        <f>'Studio Rain System'!L284</f>
        <v>19.695</v>
      </c>
      <c r="G279" s="211">
        <f>'Studio Rain System'!M284</f>
        <v>0.745</v>
      </c>
      <c r="H279" s="206">
        <f>'Flow Rate'!$W$27</f>
        <v>464206.53322409093</v>
      </c>
      <c r="I279" s="178">
        <f>'Ozone-Energy'!H272</f>
        <v>78948.571428571435</v>
      </c>
      <c r="J279" s="128">
        <f t="shared" si="45"/>
        <v>7.8948571428571437E-2</v>
      </c>
      <c r="K279" s="193">
        <f>'Ozone-Energy'!J272</f>
        <v>2200</v>
      </c>
      <c r="L279" s="43">
        <f t="shared" si="44"/>
        <v>2.2000000000000002</v>
      </c>
      <c r="M279" s="43">
        <f>'Ozone-Energy'!L272</f>
        <v>4400000</v>
      </c>
      <c r="N279" s="179">
        <f>'Ozone-Energy'!M272</f>
        <v>4.4000000000000004</v>
      </c>
      <c r="O279" s="43">
        <f>'Ozone-Energy'!N272</f>
        <v>1200</v>
      </c>
      <c r="P279" s="180">
        <f t="shared" ref="P279:P287" si="46">O279 * 3600 / 1000000</f>
        <v>4.32</v>
      </c>
      <c r="Q279" s="181">
        <f t="shared" si="40"/>
        <v>8.7989485714285713</v>
      </c>
      <c r="R279" s="43">
        <f>'Ozone-Energy'!Q272</f>
        <v>0</v>
      </c>
      <c r="S279" s="43">
        <f>'Ozone-Energy'!R272</f>
        <v>0</v>
      </c>
      <c r="T279" s="43">
        <f>'Ozone-Energy'!S272</f>
        <v>0</v>
      </c>
      <c r="U279" s="43"/>
      <c r="V279" s="43"/>
      <c r="W279">
        <f>'Ozone-Energy'!V272</f>
        <v>0</v>
      </c>
      <c r="X279">
        <f>'Ozone-Energy'!W272</f>
        <v>0</v>
      </c>
      <c r="Y279">
        <f>'Ozone-Energy'!X272</f>
        <v>0</v>
      </c>
      <c r="Z279">
        <f>'Ozone-Energy'!Y272</f>
        <v>0</v>
      </c>
      <c r="AA279" s="43"/>
    </row>
    <row r="280" spans="2:27" ht="15">
      <c r="B280" s="60"/>
      <c r="C280">
        <v>263</v>
      </c>
      <c r="D280" s="359">
        <v>0</v>
      </c>
      <c r="E280" s="211">
        <f t="shared" si="43"/>
        <v>0</v>
      </c>
      <c r="F280" s="211">
        <f>'Studio Rain System'!L285</f>
        <v>18.95</v>
      </c>
      <c r="G280" s="211">
        <f>'Studio Rain System'!M285</f>
        <v>0.745</v>
      </c>
      <c r="H280" s="206">
        <f>'Flow Rate'!$W$27</f>
        <v>464206.53322409093</v>
      </c>
      <c r="I280" s="178">
        <f>'Ozone-Energy'!H273</f>
        <v>0</v>
      </c>
      <c r="J280" s="128">
        <f t="shared" si="45"/>
        <v>0</v>
      </c>
      <c r="K280" s="193">
        <f>'Ozone-Energy'!J273</f>
        <v>0</v>
      </c>
      <c r="L280" s="43">
        <f t="shared" si="44"/>
        <v>0</v>
      </c>
      <c r="M280" s="43">
        <f>'Ozone-Energy'!L273</f>
        <v>0</v>
      </c>
      <c r="N280" s="179">
        <f>'Ozone-Energy'!M273</f>
        <v>0</v>
      </c>
      <c r="O280" s="43">
        <f>'Ozone-Energy'!N273</f>
        <v>1200</v>
      </c>
      <c r="P280" s="180">
        <f t="shared" si="46"/>
        <v>4.32</v>
      </c>
      <c r="Q280" s="181">
        <f t="shared" si="40"/>
        <v>4.32</v>
      </c>
      <c r="R280" s="43">
        <f>'Ozone-Energy'!Q273</f>
        <v>0</v>
      </c>
      <c r="S280" s="43">
        <f>'Ozone-Energy'!R273</f>
        <v>0</v>
      </c>
      <c r="T280" s="43">
        <f>'Ozone-Energy'!S273</f>
        <v>0</v>
      </c>
      <c r="U280" s="43"/>
      <c r="V280" s="43"/>
      <c r="W280">
        <f>'Ozone-Energy'!V273</f>
        <v>0</v>
      </c>
      <c r="X280">
        <f>'Ozone-Energy'!W273</f>
        <v>0</v>
      </c>
      <c r="Y280">
        <f>'Ozone-Energy'!X273</f>
        <v>0</v>
      </c>
      <c r="Z280">
        <f>'Ozone-Energy'!Y273</f>
        <v>0</v>
      </c>
      <c r="AA280" s="43"/>
    </row>
    <row r="281" spans="2:27" ht="15">
      <c r="B281" s="60"/>
      <c r="C281">
        <v>264</v>
      </c>
      <c r="D281" s="359">
        <v>2</v>
      </c>
      <c r="E281" s="211">
        <f t="shared" si="43"/>
        <v>2.2000000000000002</v>
      </c>
      <c r="F281" s="211">
        <f>'Studio Rain System'!L286</f>
        <v>20</v>
      </c>
      <c r="G281" s="211">
        <f>'Studio Rain System'!M286</f>
        <v>0.745</v>
      </c>
      <c r="H281" s="206">
        <f>'Flow Rate'!$W$27</f>
        <v>464206.53322409093</v>
      </c>
      <c r="I281" s="178">
        <f>'Ozone-Energy'!H274</f>
        <v>394742.85714285716</v>
      </c>
      <c r="J281" s="128">
        <f t="shared" si="45"/>
        <v>0.39474285714285712</v>
      </c>
      <c r="K281" s="193">
        <f>'Ozone-Energy'!J274</f>
        <v>11000</v>
      </c>
      <c r="L281" s="43">
        <f t="shared" si="44"/>
        <v>11</v>
      </c>
      <c r="M281" s="43">
        <f>'Ozone-Energy'!L274</f>
        <v>22000000</v>
      </c>
      <c r="N281" s="179">
        <f>'Ozone-Energy'!M274</f>
        <v>22</v>
      </c>
      <c r="O281" s="43">
        <f>'Ozone-Energy'!N274</f>
        <v>1200</v>
      </c>
      <c r="P281" s="180">
        <f t="shared" si="46"/>
        <v>4.32</v>
      </c>
      <c r="Q281" s="181">
        <f t="shared" si="40"/>
        <v>26.714742857142859</v>
      </c>
      <c r="R281" s="43">
        <f>'Ozone-Energy'!Q274</f>
        <v>0</v>
      </c>
      <c r="S281" s="43">
        <f>'Ozone-Energy'!R274</f>
        <v>0</v>
      </c>
      <c r="T281" s="43">
        <f>'Ozone-Energy'!S274</f>
        <v>0</v>
      </c>
      <c r="U281" s="43"/>
      <c r="V281" s="43"/>
      <c r="W281">
        <f>'Ozone-Energy'!V274</f>
        <v>0</v>
      </c>
      <c r="X281">
        <f>'Ozone-Energy'!W274</f>
        <v>0</v>
      </c>
      <c r="Y281">
        <f>'Ozone-Energy'!X274</f>
        <v>0</v>
      </c>
      <c r="Z281">
        <f>'Ozone-Energy'!Y274</f>
        <v>0</v>
      </c>
      <c r="AA281" s="43"/>
    </row>
    <row r="282" spans="2:27" ht="15">
      <c r="B282" s="60"/>
      <c r="C282">
        <v>265</v>
      </c>
      <c r="D282" s="359">
        <v>12.4</v>
      </c>
      <c r="E282" s="211">
        <f t="shared" si="43"/>
        <v>13.639999999999999</v>
      </c>
      <c r="F282" s="211">
        <f>'Studio Rain System'!L287</f>
        <v>20</v>
      </c>
      <c r="G282" s="211">
        <f>'Studio Rain System'!M287</f>
        <v>0.745</v>
      </c>
      <c r="H282" s="206">
        <f>'Flow Rate'!$W$27</f>
        <v>464206.53322409093</v>
      </c>
      <c r="I282" s="178">
        <f>'Ozone-Energy'!H275</f>
        <v>2447405.7142857141</v>
      </c>
      <c r="J282" s="128">
        <f t="shared" si="45"/>
        <v>2.447405714285714</v>
      </c>
      <c r="K282" s="193">
        <f>'Ozone-Energy'!J275</f>
        <v>68199.999999999985</v>
      </c>
      <c r="L282" s="43">
        <f t="shared" si="44"/>
        <v>68.199999999999989</v>
      </c>
      <c r="M282" s="43">
        <f>'Ozone-Energy'!L275</f>
        <v>136399999.99999997</v>
      </c>
      <c r="N282" s="179">
        <f>'Ozone-Energy'!M275</f>
        <v>136.39999999999998</v>
      </c>
      <c r="O282" s="43">
        <f>'Ozone-Energy'!N275</f>
        <v>1200</v>
      </c>
      <c r="P282" s="180">
        <f t="shared" si="46"/>
        <v>4.32</v>
      </c>
      <c r="Q282" s="181">
        <f t="shared" si="40"/>
        <v>143.16740571428568</v>
      </c>
      <c r="R282" s="43">
        <f>'Ozone-Energy'!Q275</f>
        <v>0</v>
      </c>
      <c r="S282" s="43">
        <f>'Ozone-Energy'!R275</f>
        <v>0</v>
      </c>
      <c r="T282" s="43">
        <f>'Ozone-Energy'!S275</f>
        <v>0</v>
      </c>
      <c r="U282" s="43"/>
      <c r="V282" s="43"/>
      <c r="W282">
        <f>'Ozone-Energy'!V275</f>
        <v>0</v>
      </c>
      <c r="X282">
        <f>'Ozone-Energy'!W275</f>
        <v>0</v>
      </c>
      <c r="Y282">
        <f>'Ozone-Energy'!X275</f>
        <v>0</v>
      </c>
      <c r="Z282">
        <f>'Ozone-Energy'!Y275</f>
        <v>0</v>
      </c>
      <c r="AA282" s="43"/>
    </row>
    <row r="283" spans="2:27" ht="15">
      <c r="B283" s="60"/>
      <c r="C283">
        <v>266</v>
      </c>
      <c r="D283" s="359">
        <v>29.4</v>
      </c>
      <c r="E283" s="211">
        <f t="shared" si="43"/>
        <v>32.339999999999996</v>
      </c>
      <c r="F283" s="211">
        <f>'Studio Rain System'!L288</f>
        <v>20</v>
      </c>
      <c r="G283" s="211">
        <f>'Studio Rain System'!M288</f>
        <v>0.745</v>
      </c>
      <c r="H283" s="206">
        <f>'Flow Rate'!$W$27</f>
        <v>464206.53322409093</v>
      </c>
      <c r="I283" s="178">
        <f>'Ozone-Energy'!H276</f>
        <v>5802720</v>
      </c>
      <c r="J283" s="128">
        <f t="shared" si="45"/>
        <v>5.8027199999999999</v>
      </c>
      <c r="K283" s="193">
        <f>'Ozone-Energy'!J276</f>
        <v>161699.99999999997</v>
      </c>
      <c r="L283" s="43">
        <f t="shared" si="44"/>
        <v>161.69999999999996</v>
      </c>
      <c r="M283" s="43">
        <f>'Ozone-Energy'!L276</f>
        <v>323399999.99999994</v>
      </c>
      <c r="N283" s="179">
        <f>'Ozone-Energy'!M276</f>
        <v>323.39999999999992</v>
      </c>
      <c r="O283" s="43">
        <f>'Ozone-Energy'!N276</f>
        <v>1200</v>
      </c>
      <c r="P283" s="180">
        <f t="shared" si="46"/>
        <v>4.32</v>
      </c>
      <c r="Q283" s="181">
        <f t="shared" si="40"/>
        <v>333.52271999999994</v>
      </c>
      <c r="R283" s="43">
        <f>'Ozone-Energy'!Q276</f>
        <v>0</v>
      </c>
      <c r="S283" s="43">
        <f>'Ozone-Energy'!R276</f>
        <v>0</v>
      </c>
      <c r="T283" s="43">
        <f>'Ozone-Energy'!S276</f>
        <v>0</v>
      </c>
      <c r="U283" s="43"/>
      <c r="V283" s="43"/>
      <c r="W283">
        <f>'Ozone-Energy'!V276</f>
        <v>0</v>
      </c>
      <c r="X283">
        <f>'Ozone-Energy'!W276</f>
        <v>0</v>
      </c>
      <c r="Y283">
        <f>'Ozone-Energy'!X276</f>
        <v>0</v>
      </c>
      <c r="Z283">
        <f>'Ozone-Energy'!Y276</f>
        <v>0</v>
      </c>
      <c r="AA283" s="43"/>
    </row>
    <row r="284" spans="2:27" ht="15">
      <c r="B284" s="60"/>
      <c r="C284">
        <v>267</v>
      </c>
      <c r="D284" s="359">
        <v>1.6</v>
      </c>
      <c r="E284" s="211">
        <f t="shared" si="43"/>
        <v>1.76</v>
      </c>
      <c r="F284" s="211">
        <f>'Studio Rain System'!L289</f>
        <v>20</v>
      </c>
      <c r="G284" s="211">
        <f>'Studio Rain System'!M289</f>
        <v>0.745</v>
      </c>
      <c r="H284" s="206">
        <f>'Flow Rate'!$W$27</f>
        <v>464206.53322409093</v>
      </c>
      <c r="I284" s="178">
        <f>'Ozone-Energy'!H277</f>
        <v>315794.28571428574</v>
      </c>
      <c r="J284" s="128">
        <f t="shared" si="45"/>
        <v>0.31579428571428575</v>
      </c>
      <c r="K284" s="193">
        <f>'Ozone-Energy'!J277</f>
        <v>8800</v>
      </c>
      <c r="L284" s="43">
        <f t="shared" si="44"/>
        <v>8.8000000000000007</v>
      </c>
      <c r="M284" s="43">
        <f>'Ozone-Energy'!L277</f>
        <v>17600000</v>
      </c>
      <c r="N284" s="179">
        <f>'Ozone-Energy'!M277</f>
        <v>17.600000000000001</v>
      </c>
      <c r="O284" s="43">
        <f>'Ozone-Energy'!N277</f>
        <v>1200</v>
      </c>
      <c r="P284" s="180">
        <f t="shared" si="46"/>
        <v>4.32</v>
      </c>
      <c r="Q284" s="181">
        <f t="shared" si="40"/>
        <v>22.235794285714288</v>
      </c>
      <c r="R284" s="43">
        <f>'Ozone-Energy'!Q277</f>
        <v>0</v>
      </c>
      <c r="S284" s="43">
        <f>'Ozone-Energy'!R277</f>
        <v>0</v>
      </c>
      <c r="T284" s="43">
        <f>'Ozone-Energy'!S277</f>
        <v>0</v>
      </c>
      <c r="U284" s="43"/>
      <c r="V284" s="43"/>
      <c r="W284">
        <f>'Ozone-Energy'!V277</f>
        <v>0</v>
      </c>
      <c r="X284">
        <f>'Ozone-Energy'!W277</f>
        <v>0</v>
      </c>
      <c r="Y284">
        <f>'Ozone-Energy'!X277</f>
        <v>0</v>
      </c>
      <c r="Z284">
        <f>'Ozone-Energy'!Y277</f>
        <v>0</v>
      </c>
      <c r="AA284" s="43"/>
    </row>
    <row r="285" spans="2:27" ht="15">
      <c r="B285" s="60"/>
      <c r="C285">
        <v>268</v>
      </c>
      <c r="D285" s="359">
        <v>0.6</v>
      </c>
      <c r="E285" s="211">
        <f t="shared" si="43"/>
        <v>0.65999999999999992</v>
      </c>
      <c r="F285" s="211">
        <f>'Studio Rain System'!L290</f>
        <v>19.914999999999999</v>
      </c>
      <c r="G285" s="211">
        <f>'Studio Rain System'!M290</f>
        <v>0.745</v>
      </c>
      <c r="H285" s="206">
        <f>'Flow Rate'!$W$27</f>
        <v>464206.53322409093</v>
      </c>
      <c r="I285" s="178">
        <f>'Ozone-Energy'!H278</f>
        <v>118422.85714285713</v>
      </c>
      <c r="J285" s="128">
        <f t="shared" si="45"/>
        <v>0.11842285714285712</v>
      </c>
      <c r="K285" s="193">
        <f>'Ozone-Energy'!J278</f>
        <v>3299.9999999999991</v>
      </c>
      <c r="L285" s="43">
        <f t="shared" si="44"/>
        <v>3.2999999999999989</v>
      </c>
      <c r="M285" s="43">
        <f>'Ozone-Energy'!L278</f>
        <v>6599999.9999999981</v>
      </c>
      <c r="N285" s="179">
        <f>'Ozone-Energy'!M278</f>
        <v>6.5999999999999979</v>
      </c>
      <c r="O285" s="43">
        <f>'Ozone-Energy'!N278</f>
        <v>1200</v>
      </c>
      <c r="P285" s="180">
        <f t="shared" si="46"/>
        <v>4.32</v>
      </c>
      <c r="Q285" s="181">
        <f t="shared" si="40"/>
        <v>11.038422857142855</v>
      </c>
      <c r="R285" s="43">
        <f>'Ozone-Energy'!Q278</f>
        <v>0</v>
      </c>
      <c r="S285" s="43">
        <f>'Ozone-Energy'!R278</f>
        <v>0</v>
      </c>
      <c r="T285" s="43">
        <f>'Ozone-Energy'!S278</f>
        <v>0</v>
      </c>
      <c r="U285" s="43"/>
      <c r="V285" s="43"/>
      <c r="W285">
        <f>'Ozone-Energy'!V278</f>
        <v>0</v>
      </c>
      <c r="X285">
        <f>'Ozone-Energy'!W278</f>
        <v>0</v>
      </c>
      <c r="Y285">
        <f>'Ozone-Energy'!X278</f>
        <v>0</v>
      </c>
      <c r="Z285">
        <f>'Ozone-Energy'!Y278</f>
        <v>0</v>
      </c>
      <c r="AA285" s="43"/>
    </row>
    <row r="286" spans="2:27" ht="15">
      <c r="B286" s="60"/>
      <c r="C286">
        <v>269</v>
      </c>
      <c r="D286" s="359">
        <v>8.1999999999999993</v>
      </c>
      <c r="E286" s="211">
        <f t="shared" si="43"/>
        <v>9.02</v>
      </c>
      <c r="F286" s="211">
        <f>'Studio Rain System'!L291</f>
        <v>20</v>
      </c>
      <c r="G286" s="211">
        <f>'Studio Rain System'!M291</f>
        <v>0.745</v>
      </c>
      <c r="H286" s="206">
        <f>'Flow Rate'!$W$27</f>
        <v>464206.53322409093</v>
      </c>
      <c r="I286" s="178">
        <f>'Ozone-Energy'!H279</f>
        <v>1618445.7142857143</v>
      </c>
      <c r="J286" s="128">
        <f t="shared" si="45"/>
        <v>1.6184457142857143</v>
      </c>
      <c r="K286" s="193">
        <f>'Ozone-Energy'!J279</f>
        <v>45100</v>
      </c>
      <c r="L286" s="43">
        <f t="shared" si="44"/>
        <v>45.1</v>
      </c>
      <c r="M286" s="43">
        <f>'Ozone-Energy'!L279</f>
        <v>90200000</v>
      </c>
      <c r="N286" s="179">
        <f>'Ozone-Energy'!M279</f>
        <v>90.2</v>
      </c>
      <c r="O286" s="43">
        <f>'Ozone-Energy'!N279</f>
        <v>1200</v>
      </c>
      <c r="P286" s="180">
        <f t="shared" si="46"/>
        <v>4.32</v>
      </c>
      <c r="Q286" s="181">
        <f t="shared" si="40"/>
        <v>96.138445714285723</v>
      </c>
      <c r="R286" s="43">
        <f>'Ozone-Energy'!Q279</f>
        <v>0</v>
      </c>
      <c r="S286" s="43">
        <f>'Ozone-Energy'!R279</f>
        <v>0</v>
      </c>
      <c r="T286" s="43">
        <f>'Ozone-Energy'!S279</f>
        <v>0</v>
      </c>
      <c r="U286" s="43"/>
      <c r="V286" s="43"/>
      <c r="W286">
        <f>'Ozone-Energy'!V279</f>
        <v>0</v>
      </c>
      <c r="X286">
        <f>'Ozone-Energy'!W279</f>
        <v>0</v>
      </c>
      <c r="Y286">
        <f>'Ozone-Energy'!X279</f>
        <v>0</v>
      </c>
      <c r="Z286">
        <f>'Ozone-Energy'!Y279</f>
        <v>0</v>
      </c>
      <c r="AA286" s="43"/>
    </row>
    <row r="287" spans="2:27" ht="15">
      <c r="B287" s="60"/>
      <c r="C287">
        <v>270</v>
      </c>
      <c r="D287" s="359">
        <v>0</v>
      </c>
      <c r="E287" s="211">
        <f t="shared" si="43"/>
        <v>0</v>
      </c>
      <c r="F287" s="211">
        <f>'Studio Rain System'!L292</f>
        <v>19.254999999999999</v>
      </c>
      <c r="G287" s="211">
        <f>'Studio Rain System'!M292</f>
        <v>0.745</v>
      </c>
      <c r="H287" s="206">
        <f>'Flow Rate'!$W$27</f>
        <v>464206.53322409093</v>
      </c>
      <c r="I287" s="178">
        <f>'Ozone-Energy'!H280</f>
        <v>0</v>
      </c>
      <c r="J287" s="128">
        <f t="shared" si="45"/>
        <v>0</v>
      </c>
      <c r="K287" s="193">
        <f>'Ozone-Energy'!J280</f>
        <v>0</v>
      </c>
      <c r="L287" s="43">
        <f t="shared" si="44"/>
        <v>0</v>
      </c>
      <c r="M287" s="43">
        <f>'Ozone-Energy'!L280</f>
        <v>0</v>
      </c>
      <c r="N287" s="179">
        <f>'Ozone-Energy'!M280</f>
        <v>0</v>
      </c>
      <c r="O287" s="43">
        <f>'Ozone-Energy'!N280</f>
        <v>1200</v>
      </c>
      <c r="P287" s="180">
        <f t="shared" si="46"/>
        <v>4.32</v>
      </c>
      <c r="Q287" s="181">
        <f t="shared" si="40"/>
        <v>4.32</v>
      </c>
      <c r="R287" s="43">
        <f>'Ozone-Energy'!Q280</f>
        <v>0</v>
      </c>
      <c r="S287" s="43">
        <f>'Ozone-Energy'!R280</f>
        <v>0</v>
      </c>
      <c r="T287" s="43">
        <f>'Ozone-Energy'!S280</f>
        <v>0</v>
      </c>
      <c r="U287" s="43"/>
      <c r="V287" s="43"/>
      <c r="W287">
        <f>'Ozone-Energy'!V280</f>
        <v>0</v>
      </c>
      <c r="X287">
        <f>'Ozone-Energy'!W280</f>
        <v>0</v>
      </c>
      <c r="Y287">
        <f>'Ozone-Energy'!X280</f>
        <v>0</v>
      </c>
      <c r="Z287">
        <f>'Ozone-Energy'!Y280</f>
        <v>0</v>
      </c>
      <c r="AA287" s="43"/>
    </row>
    <row r="288" spans="2:27" ht="15">
      <c r="B288" s="60"/>
      <c r="C288">
        <v>271</v>
      </c>
      <c r="D288" s="359">
        <v>12.4</v>
      </c>
      <c r="E288" s="211">
        <f t="shared" si="43"/>
        <v>13.639999999999999</v>
      </c>
      <c r="F288" s="211">
        <f>'Studio Rain System'!L293</f>
        <v>20</v>
      </c>
      <c r="G288" s="211">
        <f>'Studio Rain System'!M293</f>
        <v>0.745</v>
      </c>
      <c r="H288" s="206">
        <f>'Flow Rate'!$W$27</f>
        <v>464206.53322409093</v>
      </c>
      <c r="I288" s="178">
        <f>'Ozone-Energy'!H281</f>
        <v>2447405.7142857141</v>
      </c>
      <c r="J288" s="128">
        <f t="shared" si="45"/>
        <v>2.447405714285714</v>
      </c>
      <c r="K288" s="193">
        <f>'Ozone-Energy'!J281</f>
        <v>68199.999999999985</v>
      </c>
      <c r="L288" s="43">
        <f t="shared" si="44"/>
        <v>68.199999999999989</v>
      </c>
      <c r="M288" s="43">
        <f>'Ozone-Energy'!L281</f>
        <v>136399999.99999997</v>
      </c>
      <c r="N288" s="179">
        <f>'Ozone-Energy'!M281</f>
        <v>136.39999999999998</v>
      </c>
      <c r="O288" s="43">
        <f>'Ozone-Energy'!N281</f>
        <v>1200</v>
      </c>
      <c r="P288" s="180">
        <f xml:space="preserve"> O288 * 3600 / 1000000</f>
        <v>4.32</v>
      </c>
      <c r="Q288" s="181">
        <f t="shared" si="40"/>
        <v>143.16740571428568</v>
      </c>
      <c r="R288" s="43">
        <f>'Ozone-Energy'!Q281</f>
        <v>0</v>
      </c>
      <c r="S288" s="43">
        <f>'Ozone-Energy'!R281</f>
        <v>0</v>
      </c>
      <c r="T288" s="43">
        <f>'Ozone-Energy'!S281</f>
        <v>0</v>
      </c>
      <c r="U288" s="43"/>
      <c r="V288" s="43"/>
      <c r="W288">
        <f>'Ozone-Energy'!V281</f>
        <v>0</v>
      </c>
      <c r="X288">
        <f>'Ozone-Energy'!W281</f>
        <v>0</v>
      </c>
      <c r="Y288">
        <f>'Ozone-Energy'!X281</f>
        <v>0</v>
      </c>
      <c r="Z288">
        <f>'Ozone-Energy'!Y281</f>
        <v>0</v>
      </c>
      <c r="AA288" s="43"/>
    </row>
    <row r="289" spans="2:27" ht="15">
      <c r="B289" s="60"/>
      <c r="C289">
        <v>272</v>
      </c>
      <c r="D289" s="359">
        <v>5.6</v>
      </c>
      <c r="E289" s="211">
        <f t="shared" si="43"/>
        <v>6.16</v>
      </c>
      <c r="F289" s="211">
        <f>'Studio Rain System'!L294</f>
        <v>20</v>
      </c>
      <c r="G289" s="211">
        <f>'Studio Rain System'!M294</f>
        <v>0.745</v>
      </c>
      <c r="H289" s="206">
        <f>'Flow Rate'!$W$27</f>
        <v>464206.53322409093</v>
      </c>
      <c r="I289" s="178">
        <f>'Ozone-Energy'!H282</f>
        <v>1105280</v>
      </c>
      <c r="J289" s="128">
        <f t="shared" si="45"/>
        <v>1.10528</v>
      </c>
      <c r="K289" s="193">
        <f>'Ozone-Energy'!J282</f>
        <v>30800</v>
      </c>
      <c r="L289" s="43">
        <f t="shared" si="44"/>
        <v>30.8</v>
      </c>
      <c r="M289" s="43">
        <f>'Ozone-Energy'!L282</f>
        <v>61600000</v>
      </c>
      <c r="N289" s="179">
        <f>'Ozone-Energy'!M282</f>
        <v>61.6</v>
      </c>
      <c r="O289" s="43">
        <f>'Ozone-Energy'!N282</f>
        <v>1200</v>
      </c>
      <c r="P289" s="180">
        <f t="shared" ref="P289:P297" si="47">O289 * 3600 / 1000000</f>
        <v>4.32</v>
      </c>
      <c r="Q289" s="181">
        <f t="shared" si="40"/>
        <v>67.025280000000009</v>
      </c>
      <c r="R289" s="43">
        <f>'Ozone-Energy'!Q282</f>
        <v>0</v>
      </c>
      <c r="S289" s="43">
        <f>'Ozone-Energy'!R282</f>
        <v>0</v>
      </c>
      <c r="T289" s="43">
        <f>'Ozone-Energy'!S282</f>
        <v>0</v>
      </c>
      <c r="U289" s="43"/>
      <c r="V289" s="43"/>
      <c r="W289">
        <f>'Ozone-Energy'!V282</f>
        <v>0</v>
      </c>
      <c r="X289">
        <f>'Ozone-Energy'!W282</f>
        <v>0</v>
      </c>
      <c r="Y289">
        <f>'Ozone-Energy'!X282</f>
        <v>0</v>
      </c>
      <c r="Z289">
        <f>'Ozone-Energy'!Y282</f>
        <v>0</v>
      </c>
      <c r="AA289" s="43"/>
    </row>
    <row r="290" spans="2:27" ht="15">
      <c r="B290" s="60"/>
      <c r="C290">
        <v>273</v>
      </c>
      <c r="D290" s="359">
        <v>0</v>
      </c>
      <c r="E290" s="211">
        <f t="shared" si="43"/>
        <v>0</v>
      </c>
      <c r="F290" s="211">
        <f>'Studio Rain System'!L295</f>
        <v>19.254999999999999</v>
      </c>
      <c r="G290" s="211">
        <f>'Studio Rain System'!M295</f>
        <v>0.745</v>
      </c>
      <c r="H290" s="206">
        <f>'Flow Rate'!$W$27</f>
        <v>464206.53322409093</v>
      </c>
      <c r="I290" s="178">
        <f>'Ozone-Energy'!H283</f>
        <v>0</v>
      </c>
      <c r="J290" s="128">
        <f t="shared" si="45"/>
        <v>0</v>
      </c>
      <c r="K290" s="193">
        <f>'Ozone-Energy'!J283</f>
        <v>0</v>
      </c>
      <c r="L290" s="43">
        <f t="shared" si="44"/>
        <v>0</v>
      </c>
      <c r="M290" s="43">
        <f>'Ozone-Energy'!L283</f>
        <v>0</v>
      </c>
      <c r="N290" s="179">
        <f>'Ozone-Energy'!M283</f>
        <v>0</v>
      </c>
      <c r="O290" s="43">
        <f>'Ozone-Energy'!N283</f>
        <v>1200</v>
      </c>
      <c r="P290" s="180">
        <f t="shared" si="47"/>
        <v>4.32</v>
      </c>
      <c r="Q290" s="181">
        <f t="shared" si="40"/>
        <v>4.32</v>
      </c>
      <c r="R290" s="43">
        <f>'Ozone-Energy'!Q283</f>
        <v>0</v>
      </c>
      <c r="S290" s="43">
        <f>'Ozone-Energy'!R283</f>
        <v>0</v>
      </c>
      <c r="T290" s="43">
        <f>'Ozone-Energy'!S283</f>
        <v>0</v>
      </c>
      <c r="U290" s="43"/>
      <c r="V290" s="43"/>
      <c r="W290">
        <f>'Ozone-Energy'!V283</f>
        <v>0</v>
      </c>
      <c r="X290">
        <f>'Ozone-Energy'!W283</f>
        <v>0</v>
      </c>
      <c r="Y290">
        <f>'Ozone-Energy'!X283</f>
        <v>0</v>
      </c>
      <c r="Z290">
        <f>'Ozone-Energy'!Y283</f>
        <v>0</v>
      </c>
      <c r="AA290" s="43"/>
    </row>
    <row r="291" spans="2:27" ht="15">
      <c r="B291" s="60"/>
      <c r="C291">
        <v>274</v>
      </c>
      <c r="D291" s="359">
        <v>0</v>
      </c>
      <c r="E291" s="211">
        <f t="shared" si="43"/>
        <v>0</v>
      </c>
      <c r="F291" s="211">
        <f>'Studio Rain System'!L296</f>
        <v>18.509999999999998</v>
      </c>
      <c r="G291" s="211">
        <f>'Studio Rain System'!M296</f>
        <v>0.745</v>
      </c>
      <c r="H291" s="206">
        <f>'Flow Rate'!$W$27</f>
        <v>464206.53322409093</v>
      </c>
      <c r="I291" s="178">
        <f>'Ozone-Energy'!H284</f>
        <v>0</v>
      </c>
      <c r="J291" s="128">
        <f t="shared" si="45"/>
        <v>0</v>
      </c>
      <c r="K291" s="193">
        <f>'Ozone-Energy'!J284</f>
        <v>0</v>
      </c>
      <c r="L291" s="43">
        <f t="shared" si="44"/>
        <v>0</v>
      </c>
      <c r="M291" s="43">
        <f>'Ozone-Energy'!L284</f>
        <v>0</v>
      </c>
      <c r="N291" s="179">
        <f>'Ozone-Energy'!M284</f>
        <v>0</v>
      </c>
      <c r="O291" s="43">
        <f>'Ozone-Energy'!N284</f>
        <v>1200</v>
      </c>
      <c r="P291" s="180">
        <f t="shared" si="47"/>
        <v>4.32</v>
      </c>
      <c r="Q291" s="181">
        <f t="shared" si="40"/>
        <v>4.32</v>
      </c>
      <c r="R291" s="43">
        <f>'Ozone-Energy'!Q284</f>
        <v>0</v>
      </c>
      <c r="S291" s="43">
        <f>'Ozone-Energy'!R284</f>
        <v>0</v>
      </c>
      <c r="T291" s="43">
        <f>'Ozone-Energy'!S284</f>
        <v>0</v>
      </c>
      <c r="U291" s="43"/>
      <c r="V291" s="43"/>
      <c r="W291">
        <f>'Ozone-Energy'!V284</f>
        <v>0</v>
      </c>
      <c r="X291">
        <f>'Ozone-Energy'!W284</f>
        <v>0</v>
      </c>
      <c r="Y291">
        <f>'Ozone-Energy'!X284</f>
        <v>0</v>
      </c>
      <c r="Z291">
        <f>'Ozone-Energy'!Y284</f>
        <v>0</v>
      </c>
      <c r="AA291" s="43"/>
    </row>
    <row r="292" spans="2:27" ht="15">
      <c r="B292" s="60"/>
      <c r="C292">
        <v>275</v>
      </c>
      <c r="D292" s="359">
        <v>0</v>
      </c>
      <c r="E292" s="211">
        <f t="shared" si="43"/>
        <v>0</v>
      </c>
      <c r="F292" s="211">
        <f>'Studio Rain System'!L297</f>
        <v>17.764999999999997</v>
      </c>
      <c r="G292" s="211">
        <f>'Studio Rain System'!M297</f>
        <v>0.745</v>
      </c>
      <c r="H292" s="206">
        <f>'Flow Rate'!$W$27</f>
        <v>464206.53322409093</v>
      </c>
      <c r="I292" s="178">
        <f>'Ozone-Energy'!H285</f>
        <v>0</v>
      </c>
      <c r="J292" s="128">
        <f t="shared" si="45"/>
        <v>0</v>
      </c>
      <c r="K292" s="193">
        <f>'Ozone-Energy'!J285</f>
        <v>0</v>
      </c>
      <c r="L292" s="43">
        <f t="shared" si="44"/>
        <v>0</v>
      </c>
      <c r="M292" s="43">
        <f>'Ozone-Energy'!L285</f>
        <v>0</v>
      </c>
      <c r="N292" s="179">
        <f>'Ozone-Energy'!M285</f>
        <v>0</v>
      </c>
      <c r="O292" s="43">
        <f>'Ozone-Energy'!N285</f>
        <v>1200</v>
      </c>
      <c r="P292" s="180">
        <f t="shared" si="47"/>
        <v>4.32</v>
      </c>
      <c r="Q292" s="181">
        <f t="shared" si="40"/>
        <v>4.32</v>
      </c>
      <c r="R292" s="43">
        <f>'Ozone-Energy'!Q285</f>
        <v>0</v>
      </c>
      <c r="S292" s="43">
        <f>'Ozone-Energy'!R285</f>
        <v>0</v>
      </c>
      <c r="T292" s="43">
        <f>'Ozone-Energy'!S285</f>
        <v>0</v>
      </c>
      <c r="U292" s="43"/>
      <c r="V292" s="43"/>
      <c r="W292">
        <f>'Ozone-Energy'!V285</f>
        <v>0</v>
      </c>
      <c r="X292">
        <f>'Ozone-Energy'!W285</f>
        <v>0</v>
      </c>
      <c r="Y292">
        <f>'Ozone-Energy'!X285</f>
        <v>0</v>
      </c>
      <c r="Z292">
        <f>'Ozone-Energy'!Y285</f>
        <v>0</v>
      </c>
      <c r="AA292" s="43"/>
    </row>
    <row r="293" spans="2:27" ht="15">
      <c r="B293" s="60"/>
      <c r="C293">
        <v>276</v>
      </c>
      <c r="D293" s="359">
        <v>57.8</v>
      </c>
      <c r="E293" s="211">
        <f t="shared" si="43"/>
        <v>63.58</v>
      </c>
      <c r="F293" s="211">
        <f>'Studio Rain System'!L298</f>
        <v>20</v>
      </c>
      <c r="G293" s="211">
        <f>'Studio Rain System'!M298</f>
        <v>0.745</v>
      </c>
      <c r="H293" s="206">
        <f>'Flow Rate'!$W$27</f>
        <v>464206.53322409093</v>
      </c>
      <c r="I293" s="178">
        <f>'Ozone-Energy'!H286</f>
        <v>11408068.571428573</v>
      </c>
      <c r="J293" s="128">
        <f t="shared" si="45"/>
        <v>11.408068571428572</v>
      </c>
      <c r="K293" s="193">
        <f>'Ozone-Energy'!J286</f>
        <v>317900</v>
      </c>
      <c r="L293" s="43">
        <f t="shared" si="44"/>
        <v>317.89999999999998</v>
      </c>
      <c r="M293" s="43">
        <f>'Ozone-Energy'!L286</f>
        <v>635800000</v>
      </c>
      <c r="N293" s="179">
        <f>'Ozone-Energy'!M286</f>
        <v>635.79999999999995</v>
      </c>
      <c r="O293" s="43">
        <f>'Ozone-Energy'!N286</f>
        <v>1200</v>
      </c>
      <c r="P293" s="180">
        <f t="shared" si="47"/>
        <v>4.32</v>
      </c>
      <c r="Q293" s="181">
        <f t="shared" si="40"/>
        <v>651.52806857142855</v>
      </c>
      <c r="R293" s="43">
        <f>'Ozone-Energy'!Q286</f>
        <v>0</v>
      </c>
      <c r="S293" s="43">
        <f>'Ozone-Energy'!R286</f>
        <v>0</v>
      </c>
      <c r="T293" s="43">
        <f>'Ozone-Energy'!S286</f>
        <v>0</v>
      </c>
      <c r="U293" s="43"/>
      <c r="V293" s="43"/>
      <c r="W293">
        <f>'Ozone-Energy'!V286</f>
        <v>0</v>
      </c>
      <c r="X293">
        <f>'Ozone-Energy'!W286</f>
        <v>0</v>
      </c>
      <c r="Y293">
        <f>'Ozone-Energy'!X286</f>
        <v>0</v>
      </c>
      <c r="Z293">
        <f>'Ozone-Energy'!Y286</f>
        <v>0</v>
      </c>
      <c r="AA293" s="43"/>
    </row>
    <row r="294" spans="2:27" ht="15">
      <c r="B294" s="60"/>
      <c r="C294">
        <v>277</v>
      </c>
      <c r="D294" s="359">
        <v>6</v>
      </c>
      <c r="E294" s="211">
        <f t="shared" si="43"/>
        <v>6.6000000000000005</v>
      </c>
      <c r="F294" s="211">
        <f>'Studio Rain System'!L299</f>
        <v>20</v>
      </c>
      <c r="G294" s="211">
        <f>'Studio Rain System'!M299</f>
        <v>0.745</v>
      </c>
      <c r="H294" s="206">
        <f>'Flow Rate'!$W$27</f>
        <v>464206.53322409093</v>
      </c>
      <c r="I294" s="178">
        <f>'Ozone-Energy'!H287</f>
        <v>1184228.5714285716</v>
      </c>
      <c r="J294" s="128">
        <f t="shared" si="45"/>
        <v>1.1842285714285716</v>
      </c>
      <c r="K294" s="193">
        <f>'Ozone-Energy'!J287</f>
        <v>33000.000000000007</v>
      </c>
      <c r="L294" s="43">
        <f t="shared" si="44"/>
        <v>33.000000000000007</v>
      </c>
      <c r="M294" s="43">
        <f>'Ozone-Energy'!L287</f>
        <v>66000000.000000015</v>
      </c>
      <c r="N294" s="179">
        <f>'Ozone-Energy'!M287</f>
        <v>66.000000000000014</v>
      </c>
      <c r="O294" s="43">
        <f>'Ozone-Energy'!N287</f>
        <v>1200</v>
      </c>
      <c r="P294" s="180">
        <f t="shared" si="47"/>
        <v>4.32</v>
      </c>
      <c r="Q294" s="181">
        <f t="shared" si="40"/>
        <v>71.504228571428598</v>
      </c>
      <c r="R294" s="43">
        <f>'Ozone-Energy'!Q287</f>
        <v>0</v>
      </c>
      <c r="S294" s="43">
        <f>'Ozone-Energy'!R287</f>
        <v>0</v>
      </c>
      <c r="T294" s="43">
        <f>'Ozone-Energy'!S287</f>
        <v>0</v>
      </c>
      <c r="U294" s="43"/>
      <c r="V294" s="43"/>
      <c r="W294">
        <f>'Ozone-Energy'!V287</f>
        <v>0</v>
      </c>
      <c r="X294">
        <f>'Ozone-Energy'!W287</f>
        <v>0</v>
      </c>
      <c r="Y294">
        <f>'Ozone-Energy'!X287</f>
        <v>0</v>
      </c>
      <c r="Z294">
        <f>'Ozone-Energy'!Y287</f>
        <v>0</v>
      </c>
      <c r="AA294" s="43"/>
    </row>
    <row r="295" spans="2:27" ht="15">
      <c r="B295" s="60"/>
      <c r="C295">
        <v>278</v>
      </c>
      <c r="D295" s="359">
        <v>9.1999999999999993</v>
      </c>
      <c r="E295" s="211">
        <f t="shared" si="43"/>
        <v>10.119999999999999</v>
      </c>
      <c r="F295" s="211">
        <f>'Studio Rain System'!L300</f>
        <v>20</v>
      </c>
      <c r="G295" s="211">
        <f>'Studio Rain System'!M300</f>
        <v>0.745</v>
      </c>
      <c r="H295" s="206">
        <f>'Flow Rate'!$W$27</f>
        <v>464206.53322409093</v>
      </c>
      <c r="I295" s="178">
        <f>'Ozone-Energy'!H288</f>
        <v>1815817.142857143</v>
      </c>
      <c r="J295" s="128">
        <f t="shared" si="45"/>
        <v>1.8158171428571428</v>
      </c>
      <c r="K295" s="193">
        <f>'Ozone-Energy'!J288</f>
        <v>50600</v>
      </c>
      <c r="L295" s="43">
        <f t="shared" si="44"/>
        <v>50.6</v>
      </c>
      <c r="M295" s="43">
        <f>'Ozone-Energy'!L288</f>
        <v>101200000</v>
      </c>
      <c r="N295" s="179">
        <f>'Ozone-Energy'!M288</f>
        <v>101.2</v>
      </c>
      <c r="O295" s="43">
        <f>'Ozone-Energy'!N288</f>
        <v>1200</v>
      </c>
      <c r="P295" s="180">
        <f t="shared" si="47"/>
        <v>4.32</v>
      </c>
      <c r="Q295" s="181">
        <f t="shared" si="40"/>
        <v>107.33581714285714</v>
      </c>
      <c r="R295" s="43">
        <f>'Ozone-Energy'!Q288</f>
        <v>0</v>
      </c>
      <c r="S295" s="43">
        <f>'Ozone-Energy'!R288</f>
        <v>0</v>
      </c>
      <c r="T295" s="43">
        <f>'Ozone-Energy'!S288</f>
        <v>0</v>
      </c>
      <c r="U295" s="43"/>
      <c r="V295" s="43"/>
      <c r="W295">
        <f>'Ozone-Energy'!V288</f>
        <v>0</v>
      </c>
      <c r="X295">
        <f>'Ozone-Energy'!W288</f>
        <v>0</v>
      </c>
      <c r="Y295">
        <f>'Ozone-Energy'!X288</f>
        <v>0</v>
      </c>
      <c r="Z295">
        <f>'Ozone-Energy'!Y288</f>
        <v>0</v>
      </c>
      <c r="AA295" s="43"/>
    </row>
    <row r="296" spans="2:27" ht="15">
      <c r="B296" s="60"/>
      <c r="C296">
        <v>279</v>
      </c>
      <c r="D296" s="359">
        <v>0.4</v>
      </c>
      <c r="E296" s="211">
        <f t="shared" si="43"/>
        <v>0.44</v>
      </c>
      <c r="F296" s="211">
        <f>'Studio Rain System'!L301</f>
        <v>19.695</v>
      </c>
      <c r="G296" s="211">
        <f>'Studio Rain System'!M301</f>
        <v>0.745</v>
      </c>
      <c r="H296" s="206">
        <f>'Flow Rate'!$W$27</f>
        <v>464206.53322409093</v>
      </c>
      <c r="I296" s="178">
        <f>'Ozone-Energy'!H289</f>
        <v>78948.571428571435</v>
      </c>
      <c r="J296" s="128">
        <f t="shared" si="45"/>
        <v>7.8948571428571437E-2</v>
      </c>
      <c r="K296" s="193">
        <f>'Ozone-Energy'!J289</f>
        <v>2200</v>
      </c>
      <c r="L296" s="43">
        <f t="shared" si="44"/>
        <v>2.2000000000000002</v>
      </c>
      <c r="M296" s="43">
        <f>'Ozone-Energy'!L289</f>
        <v>4400000</v>
      </c>
      <c r="N296" s="179">
        <f>'Ozone-Energy'!M289</f>
        <v>4.4000000000000004</v>
      </c>
      <c r="O296" s="43">
        <f>'Ozone-Energy'!N289</f>
        <v>1200</v>
      </c>
      <c r="P296" s="180">
        <f t="shared" si="47"/>
        <v>4.32</v>
      </c>
      <c r="Q296" s="181">
        <f t="shared" si="40"/>
        <v>8.7989485714285713</v>
      </c>
      <c r="R296" s="43">
        <f>'Ozone-Energy'!Q289</f>
        <v>0</v>
      </c>
      <c r="S296" s="43">
        <f>'Ozone-Energy'!R289</f>
        <v>0</v>
      </c>
      <c r="T296" s="43">
        <f>'Ozone-Energy'!S289</f>
        <v>0</v>
      </c>
      <c r="U296" s="43"/>
      <c r="V296" s="43"/>
      <c r="W296">
        <f>'Ozone-Energy'!V289</f>
        <v>0</v>
      </c>
      <c r="X296">
        <f>'Ozone-Energy'!W289</f>
        <v>0</v>
      </c>
      <c r="Y296">
        <f>'Ozone-Energy'!X289</f>
        <v>0</v>
      </c>
      <c r="Z296">
        <f>'Ozone-Energy'!Y289</f>
        <v>0</v>
      </c>
      <c r="AA296" s="43"/>
    </row>
    <row r="297" spans="2:27" ht="15">
      <c r="B297" s="60"/>
      <c r="C297">
        <v>280</v>
      </c>
      <c r="D297" s="359">
        <v>0</v>
      </c>
      <c r="E297" s="211">
        <f t="shared" si="43"/>
        <v>0</v>
      </c>
      <c r="F297" s="211">
        <f>'Studio Rain System'!L302</f>
        <v>18.95</v>
      </c>
      <c r="G297" s="211">
        <f>'Studio Rain System'!M302</f>
        <v>0.745</v>
      </c>
      <c r="H297" s="206">
        <f>'Flow Rate'!$W$27</f>
        <v>464206.53322409093</v>
      </c>
      <c r="I297" s="178">
        <f>'Ozone-Energy'!H290</f>
        <v>0</v>
      </c>
      <c r="J297" s="128">
        <f t="shared" si="45"/>
        <v>0</v>
      </c>
      <c r="K297" s="193">
        <f>'Ozone-Energy'!J290</f>
        <v>0</v>
      </c>
      <c r="L297" s="43">
        <f t="shared" si="44"/>
        <v>0</v>
      </c>
      <c r="M297" s="43">
        <f>'Ozone-Energy'!L290</f>
        <v>0</v>
      </c>
      <c r="N297" s="179">
        <f>'Ozone-Energy'!M290</f>
        <v>0</v>
      </c>
      <c r="O297" s="43">
        <f>'Ozone-Energy'!N290</f>
        <v>1200</v>
      </c>
      <c r="P297" s="180">
        <f t="shared" si="47"/>
        <v>4.32</v>
      </c>
      <c r="Q297" s="181">
        <f t="shared" si="40"/>
        <v>4.32</v>
      </c>
      <c r="R297" s="43">
        <f>'Ozone-Energy'!Q290</f>
        <v>0</v>
      </c>
      <c r="S297" s="43">
        <f>'Ozone-Energy'!R290</f>
        <v>0</v>
      </c>
      <c r="T297" s="43">
        <f>'Ozone-Energy'!S290</f>
        <v>0</v>
      </c>
      <c r="U297" s="43"/>
      <c r="V297" s="43"/>
      <c r="W297">
        <f>'Ozone-Energy'!V290</f>
        <v>0</v>
      </c>
      <c r="X297">
        <f>'Ozone-Energy'!W290</f>
        <v>0</v>
      </c>
      <c r="Y297">
        <f>'Ozone-Energy'!X290</f>
        <v>0</v>
      </c>
      <c r="Z297">
        <f>'Ozone-Energy'!Y290</f>
        <v>0</v>
      </c>
      <c r="AA297" s="43"/>
    </row>
    <row r="298" spans="2:27" ht="15">
      <c r="B298" s="60"/>
      <c r="C298">
        <v>281</v>
      </c>
      <c r="D298" s="359">
        <v>1.4</v>
      </c>
      <c r="E298" s="211">
        <f t="shared" si="43"/>
        <v>1.54</v>
      </c>
      <c r="F298" s="211">
        <f>'Studio Rain System'!L303</f>
        <v>19.744999999999997</v>
      </c>
      <c r="G298" s="211">
        <f>'Studio Rain System'!M303</f>
        <v>0.745</v>
      </c>
      <c r="H298" s="206">
        <f>'Flow Rate'!$W$27</f>
        <v>464206.53322409093</v>
      </c>
      <c r="I298" s="178">
        <f>'Ozone-Energy'!H291</f>
        <v>276320</v>
      </c>
      <c r="J298" s="128">
        <f t="shared" si="45"/>
        <v>0.27632000000000001</v>
      </c>
      <c r="K298" s="193">
        <f>'Ozone-Energy'!J291</f>
        <v>7700</v>
      </c>
      <c r="L298" s="43">
        <f t="shared" si="44"/>
        <v>7.7</v>
      </c>
      <c r="M298" s="43">
        <f>'Ozone-Energy'!L291</f>
        <v>15400000</v>
      </c>
      <c r="N298" s="179">
        <f>'Ozone-Energy'!M291</f>
        <v>15.4</v>
      </c>
      <c r="O298" s="43">
        <f>'Ozone-Energy'!N291</f>
        <v>1200</v>
      </c>
      <c r="P298" s="180">
        <f xml:space="preserve"> O298 * 3600 / 1000000</f>
        <v>4.32</v>
      </c>
      <c r="Q298" s="181">
        <f t="shared" si="40"/>
        <v>19.996320000000001</v>
      </c>
      <c r="R298" s="43">
        <f>'Ozone-Energy'!Q291</f>
        <v>0</v>
      </c>
      <c r="S298" s="43">
        <f>'Ozone-Energy'!R291</f>
        <v>0</v>
      </c>
      <c r="T298" s="43">
        <f>'Ozone-Energy'!S291</f>
        <v>0</v>
      </c>
      <c r="U298" s="43"/>
      <c r="V298" s="43"/>
      <c r="W298">
        <f>'Ozone-Energy'!V291</f>
        <v>0</v>
      </c>
      <c r="X298">
        <f>'Ozone-Energy'!W291</f>
        <v>0</v>
      </c>
      <c r="Y298">
        <f>'Ozone-Energy'!X291</f>
        <v>0</v>
      </c>
      <c r="Z298">
        <f>'Ozone-Energy'!Y291</f>
        <v>0</v>
      </c>
      <c r="AA298" s="43"/>
    </row>
    <row r="299" spans="2:27" ht="15">
      <c r="B299" s="60"/>
      <c r="C299">
        <v>282</v>
      </c>
      <c r="D299" s="359">
        <v>1.8</v>
      </c>
      <c r="E299" s="211">
        <f t="shared" si="43"/>
        <v>1.98</v>
      </c>
      <c r="F299" s="211">
        <f>'Studio Rain System'!L304</f>
        <v>20</v>
      </c>
      <c r="G299" s="211">
        <f>'Studio Rain System'!M304</f>
        <v>0.745</v>
      </c>
      <c r="H299" s="206">
        <f>'Flow Rate'!$W$27</f>
        <v>464206.53322409093</v>
      </c>
      <c r="I299" s="178">
        <f>'Ozone-Energy'!H292</f>
        <v>355268.57142857148</v>
      </c>
      <c r="J299" s="128">
        <f t="shared" si="45"/>
        <v>0.35526857142857149</v>
      </c>
      <c r="K299" s="193">
        <f>'Ozone-Energy'!J292</f>
        <v>9900</v>
      </c>
      <c r="L299" s="43">
        <f t="shared" si="44"/>
        <v>9.9</v>
      </c>
      <c r="M299" s="43">
        <f>'Ozone-Energy'!L292</f>
        <v>19800000</v>
      </c>
      <c r="N299" s="179">
        <f>'Ozone-Energy'!M292</f>
        <v>19.8</v>
      </c>
      <c r="O299" s="43">
        <f>'Ozone-Energy'!N292</f>
        <v>1200</v>
      </c>
      <c r="P299" s="180">
        <f t="shared" ref="P299:P307" si="48">O299 * 3600 / 1000000</f>
        <v>4.32</v>
      </c>
      <c r="Q299" s="181">
        <f t="shared" si="40"/>
        <v>24.475268571428572</v>
      </c>
      <c r="R299" s="43">
        <f>'Ozone-Energy'!Q292</f>
        <v>0</v>
      </c>
      <c r="S299" s="43">
        <f>'Ozone-Energy'!R292</f>
        <v>0</v>
      </c>
      <c r="T299" s="43">
        <f>'Ozone-Energy'!S292</f>
        <v>0</v>
      </c>
      <c r="U299" s="43"/>
      <c r="V299" s="43"/>
      <c r="W299">
        <f>'Ozone-Energy'!V292</f>
        <v>0</v>
      </c>
      <c r="X299">
        <f>'Ozone-Energy'!W292</f>
        <v>0</v>
      </c>
      <c r="Y299">
        <f>'Ozone-Energy'!X292</f>
        <v>0</v>
      </c>
      <c r="Z299">
        <f>'Ozone-Energy'!Y292</f>
        <v>0</v>
      </c>
      <c r="AA299" s="43"/>
    </row>
    <row r="300" spans="2:27" ht="15">
      <c r="B300" s="60"/>
      <c r="C300">
        <v>283</v>
      </c>
      <c r="D300" s="359">
        <v>17.8</v>
      </c>
      <c r="E300" s="211">
        <f t="shared" si="43"/>
        <v>19.579999999999998</v>
      </c>
      <c r="F300" s="211">
        <f>'Studio Rain System'!L305</f>
        <v>20</v>
      </c>
      <c r="G300" s="211">
        <f>'Studio Rain System'!M305</f>
        <v>0.745</v>
      </c>
      <c r="H300" s="206">
        <f>'Flow Rate'!$W$27</f>
        <v>464206.53322409093</v>
      </c>
      <c r="I300" s="178">
        <f>'Ozone-Energy'!H293</f>
        <v>3513211.4285714286</v>
      </c>
      <c r="J300" s="128">
        <f t="shared" si="45"/>
        <v>3.5132114285714287</v>
      </c>
      <c r="K300" s="193">
        <f>'Ozone-Energy'!J293</f>
        <v>97900</v>
      </c>
      <c r="L300" s="43">
        <f t="shared" si="44"/>
        <v>97.9</v>
      </c>
      <c r="M300" s="43">
        <f>'Ozone-Energy'!L293</f>
        <v>195800000</v>
      </c>
      <c r="N300" s="179">
        <f>'Ozone-Energy'!M293</f>
        <v>195.8</v>
      </c>
      <c r="O300" s="43">
        <f>'Ozone-Energy'!N293</f>
        <v>1200</v>
      </c>
      <c r="P300" s="180">
        <f t="shared" si="48"/>
        <v>4.32</v>
      </c>
      <c r="Q300" s="181">
        <f t="shared" si="40"/>
        <v>203.63321142857143</v>
      </c>
      <c r="R300" s="43">
        <f>'Ozone-Energy'!Q293</f>
        <v>0</v>
      </c>
      <c r="S300" s="43">
        <f>'Ozone-Energy'!R293</f>
        <v>0</v>
      </c>
      <c r="T300" s="43">
        <f>'Ozone-Energy'!S293</f>
        <v>0</v>
      </c>
      <c r="U300" s="43"/>
      <c r="V300" s="43"/>
      <c r="W300">
        <f>'Ozone-Energy'!V293</f>
        <v>0</v>
      </c>
      <c r="X300">
        <f>'Ozone-Energy'!W293</f>
        <v>0</v>
      </c>
      <c r="Y300">
        <f>'Ozone-Energy'!X293</f>
        <v>0</v>
      </c>
      <c r="Z300">
        <f>'Ozone-Energy'!Y293</f>
        <v>0</v>
      </c>
      <c r="AA300" s="43"/>
    </row>
    <row r="301" spans="2:27" ht="15">
      <c r="B301" s="60"/>
      <c r="C301">
        <v>284</v>
      </c>
      <c r="D301" s="359">
        <v>15.4</v>
      </c>
      <c r="E301" s="211">
        <f t="shared" si="43"/>
        <v>16.940000000000001</v>
      </c>
      <c r="F301" s="211">
        <f>'Studio Rain System'!L306</f>
        <v>20</v>
      </c>
      <c r="G301" s="211">
        <f>'Studio Rain System'!M306</f>
        <v>0.745</v>
      </c>
      <c r="H301" s="206">
        <f>'Flow Rate'!$W$27</f>
        <v>464206.53322409093</v>
      </c>
      <c r="I301" s="178">
        <f>'Ozone-Energy'!H294</f>
        <v>3039520</v>
      </c>
      <c r="J301" s="128">
        <f t="shared" si="45"/>
        <v>3.03952</v>
      </c>
      <c r="K301" s="193">
        <f>'Ozone-Energy'!J294</f>
        <v>84700</v>
      </c>
      <c r="L301" s="43">
        <f t="shared" si="44"/>
        <v>84.7</v>
      </c>
      <c r="M301" s="43">
        <f>'Ozone-Energy'!L294</f>
        <v>169400000</v>
      </c>
      <c r="N301" s="179">
        <f>'Ozone-Energy'!M294</f>
        <v>169.4</v>
      </c>
      <c r="O301" s="43">
        <f>'Ozone-Energy'!N294</f>
        <v>1200</v>
      </c>
      <c r="P301" s="180">
        <f t="shared" si="48"/>
        <v>4.32</v>
      </c>
      <c r="Q301" s="181">
        <f t="shared" si="40"/>
        <v>176.75952000000001</v>
      </c>
      <c r="R301" s="43">
        <f>'Ozone-Energy'!Q294</f>
        <v>0</v>
      </c>
      <c r="S301" s="43">
        <f>'Ozone-Energy'!R294</f>
        <v>0</v>
      </c>
      <c r="T301" s="43">
        <f>'Ozone-Energy'!S294</f>
        <v>0</v>
      </c>
      <c r="U301" s="43"/>
      <c r="V301" s="43"/>
      <c r="W301">
        <f>'Ozone-Energy'!V294</f>
        <v>0</v>
      </c>
      <c r="X301">
        <f>'Ozone-Energy'!W294</f>
        <v>0</v>
      </c>
      <c r="Y301">
        <f>'Ozone-Energy'!X294</f>
        <v>0</v>
      </c>
      <c r="Z301">
        <f>'Ozone-Energy'!Y294</f>
        <v>0</v>
      </c>
      <c r="AA301" s="43"/>
    </row>
    <row r="302" spans="2:27" ht="15">
      <c r="B302" s="60"/>
      <c r="C302">
        <v>285</v>
      </c>
      <c r="D302" s="359">
        <v>33</v>
      </c>
      <c r="E302" s="211">
        <f t="shared" si="43"/>
        <v>36.300000000000004</v>
      </c>
      <c r="F302" s="211">
        <f>'Studio Rain System'!L307</f>
        <v>20</v>
      </c>
      <c r="G302" s="211">
        <f>'Studio Rain System'!M307</f>
        <v>0.745</v>
      </c>
      <c r="H302" s="206">
        <f>'Flow Rate'!$W$27</f>
        <v>464206.53322409093</v>
      </c>
      <c r="I302" s="178">
        <f>'Ozone-Energy'!H295</f>
        <v>6513257.1428571446</v>
      </c>
      <c r="J302" s="128">
        <f t="shared" si="45"/>
        <v>6.5132571428571442</v>
      </c>
      <c r="K302" s="193">
        <f>'Ozone-Energy'!J295</f>
        <v>181500.00000000006</v>
      </c>
      <c r="L302" s="43">
        <f t="shared" si="44"/>
        <v>181.50000000000006</v>
      </c>
      <c r="M302" s="43">
        <f>'Ozone-Energy'!L295</f>
        <v>363000000.00000012</v>
      </c>
      <c r="N302" s="179">
        <f>'Ozone-Energy'!M295</f>
        <v>363.00000000000011</v>
      </c>
      <c r="O302" s="43">
        <f>'Ozone-Energy'!N295</f>
        <v>1200</v>
      </c>
      <c r="P302" s="180">
        <f t="shared" si="48"/>
        <v>4.32</v>
      </c>
      <c r="Q302" s="181">
        <f t="shared" si="40"/>
        <v>373.83325714285724</v>
      </c>
      <c r="R302" s="43">
        <f>'Ozone-Energy'!Q295</f>
        <v>0</v>
      </c>
      <c r="S302" s="43">
        <f>'Ozone-Energy'!R295</f>
        <v>0</v>
      </c>
      <c r="T302" s="43">
        <f>'Ozone-Energy'!S295</f>
        <v>0</v>
      </c>
      <c r="U302" s="43"/>
      <c r="V302" s="43"/>
      <c r="W302">
        <f>'Ozone-Energy'!V295</f>
        <v>0</v>
      </c>
      <c r="X302">
        <f>'Ozone-Energy'!W295</f>
        <v>0</v>
      </c>
      <c r="Y302">
        <f>'Ozone-Energy'!X295</f>
        <v>0</v>
      </c>
      <c r="Z302">
        <f>'Ozone-Energy'!Y295</f>
        <v>0</v>
      </c>
      <c r="AA302" s="43"/>
    </row>
    <row r="303" spans="2:27" ht="15">
      <c r="B303" s="60"/>
      <c r="C303">
        <v>286</v>
      </c>
      <c r="D303" s="359">
        <v>31.4</v>
      </c>
      <c r="E303" s="211">
        <f t="shared" si="43"/>
        <v>34.54</v>
      </c>
      <c r="F303" s="211">
        <f>'Studio Rain System'!L308</f>
        <v>20</v>
      </c>
      <c r="G303" s="211">
        <f>'Studio Rain System'!M308</f>
        <v>0.745</v>
      </c>
      <c r="H303" s="206">
        <f>'Flow Rate'!$W$27</f>
        <v>464206.53322409093</v>
      </c>
      <c r="I303" s="178">
        <f>'Ozone-Energy'!H296</f>
        <v>6197462.8571428573</v>
      </c>
      <c r="J303" s="128">
        <f t="shared" si="45"/>
        <v>6.1974628571428569</v>
      </c>
      <c r="K303" s="193">
        <f>'Ozone-Energy'!J296</f>
        <v>172700</v>
      </c>
      <c r="L303" s="43">
        <f t="shared" si="44"/>
        <v>172.7</v>
      </c>
      <c r="M303" s="43">
        <f>'Ozone-Energy'!L296</f>
        <v>345400000</v>
      </c>
      <c r="N303" s="179">
        <f>'Ozone-Energy'!M296</f>
        <v>345.4</v>
      </c>
      <c r="O303" s="43">
        <f>'Ozone-Energy'!N296</f>
        <v>1200</v>
      </c>
      <c r="P303" s="180">
        <f t="shared" si="48"/>
        <v>4.32</v>
      </c>
      <c r="Q303" s="181">
        <f t="shared" si="40"/>
        <v>355.91746285714282</v>
      </c>
      <c r="R303" s="43">
        <f>'Ozone-Energy'!Q296</f>
        <v>0</v>
      </c>
      <c r="S303" s="43">
        <f>'Ozone-Energy'!R296</f>
        <v>0</v>
      </c>
      <c r="T303" s="43">
        <f>'Ozone-Energy'!S296</f>
        <v>0</v>
      </c>
      <c r="U303" s="43"/>
      <c r="V303" s="43"/>
      <c r="W303">
        <f>'Ozone-Energy'!V296</f>
        <v>0</v>
      </c>
      <c r="X303">
        <f>'Ozone-Energy'!W296</f>
        <v>0</v>
      </c>
      <c r="Y303">
        <f>'Ozone-Energy'!X296</f>
        <v>0</v>
      </c>
      <c r="Z303">
        <f>'Ozone-Energy'!Y296</f>
        <v>0</v>
      </c>
      <c r="AA303" s="43"/>
    </row>
    <row r="304" spans="2:27" ht="15">
      <c r="B304" s="60"/>
      <c r="C304">
        <v>287</v>
      </c>
      <c r="D304" s="359">
        <v>28.4</v>
      </c>
      <c r="E304" s="211">
        <f t="shared" si="43"/>
        <v>31.24</v>
      </c>
      <c r="F304" s="211">
        <f>'Studio Rain System'!L309</f>
        <v>20</v>
      </c>
      <c r="G304" s="211">
        <f>'Studio Rain System'!M309</f>
        <v>0.745</v>
      </c>
      <c r="H304" s="206">
        <f>'Flow Rate'!$W$27</f>
        <v>464206.53322409093</v>
      </c>
      <c r="I304" s="178">
        <f>'Ozone-Energy'!H297</f>
        <v>5605348.5714285718</v>
      </c>
      <c r="J304" s="128">
        <f t="shared" si="45"/>
        <v>5.6053485714285713</v>
      </c>
      <c r="K304" s="193">
        <f>'Ozone-Energy'!J297</f>
        <v>156200</v>
      </c>
      <c r="L304" s="43">
        <f t="shared" si="44"/>
        <v>156.19999999999999</v>
      </c>
      <c r="M304" s="43">
        <f>'Ozone-Energy'!L297</f>
        <v>312400000</v>
      </c>
      <c r="N304" s="179">
        <f>'Ozone-Energy'!M297</f>
        <v>312.39999999999998</v>
      </c>
      <c r="O304" s="43">
        <f>'Ozone-Energy'!N297</f>
        <v>1200</v>
      </c>
      <c r="P304" s="180">
        <f t="shared" si="48"/>
        <v>4.32</v>
      </c>
      <c r="Q304" s="181">
        <f t="shared" si="40"/>
        <v>322.32534857142855</v>
      </c>
      <c r="R304" s="43">
        <f>'Ozone-Energy'!Q297</f>
        <v>0</v>
      </c>
      <c r="S304" s="43">
        <f>'Ozone-Energy'!R297</f>
        <v>0</v>
      </c>
      <c r="T304" s="43">
        <f>'Ozone-Energy'!S297</f>
        <v>0</v>
      </c>
      <c r="U304" s="43"/>
      <c r="V304" s="43"/>
      <c r="W304">
        <f>'Ozone-Energy'!V297</f>
        <v>0</v>
      </c>
      <c r="X304">
        <f>'Ozone-Energy'!W297</f>
        <v>0</v>
      </c>
      <c r="Y304">
        <f>'Ozone-Energy'!X297</f>
        <v>0</v>
      </c>
      <c r="Z304">
        <f>'Ozone-Energy'!Y297</f>
        <v>0</v>
      </c>
      <c r="AA304" s="43"/>
    </row>
    <row r="305" spans="2:27" ht="15">
      <c r="B305" s="60"/>
      <c r="C305">
        <v>288</v>
      </c>
      <c r="D305" s="359">
        <v>6.4</v>
      </c>
      <c r="E305" s="211">
        <f t="shared" si="43"/>
        <v>7.04</v>
      </c>
      <c r="F305" s="211">
        <f>'Studio Rain System'!L310</f>
        <v>20</v>
      </c>
      <c r="G305" s="211">
        <f>'Studio Rain System'!M310</f>
        <v>0.745</v>
      </c>
      <c r="H305" s="206">
        <f>'Flow Rate'!$W$27</f>
        <v>464206.53322409093</v>
      </c>
      <c r="I305" s="178">
        <f>'Ozone-Energy'!H298</f>
        <v>1263177.142857143</v>
      </c>
      <c r="J305" s="128">
        <f t="shared" si="45"/>
        <v>1.263177142857143</v>
      </c>
      <c r="K305" s="193">
        <f>'Ozone-Energy'!J298</f>
        <v>35200</v>
      </c>
      <c r="L305" s="43">
        <f t="shared" si="44"/>
        <v>35.200000000000003</v>
      </c>
      <c r="M305" s="43">
        <f>'Ozone-Energy'!L298</f>
        <v>70400000</v>
      </c>
      <c r="N305" s="179">
        <f>'Ozone-Energy'!M298</f>
        <v>70.400000000000006</v>
      </c>
      <c r="O305" s="43">
        <f>'Ozone-Energy'!N298</f>
        <v>1200</v>
      </c>
      <c r="P305" s="180">
        <f t="shared" si="48"/>
        <v>4.32</v>
      </c>
      <c r="Q305" s="181">
        <f t="shared" si="40"/>
        <v>75.983177142857159</v>
      </c>
      <c r="R305" s="43">
        <f>'Ozone-Energy'!Q298</f>
        <v>0</v>
      </c>
      <c r="S305" s="43">
        <f>'Ozone-Energy'!R298</f>
        <v>0</v>
      </c>
      <c r="T305" s="43">
        <f>'Ozone-Energy'!S298</f>
        <v>0</v>
      </c>
      <c r="U305" s="43"/>
      <c r="V305" s="43"/>
      <c r="W305">
        <f>'Ozone-Energy'!V298</f>
        <v>0</v>
      </c>
      <c r="X305">
        <f>'Ozone-Energy'!W298</f>
        <v>0</v>
      </c>
      <c r="Y305">
        <f>'Ozone-Energy'!X298</f>
        <v>0</v>
      </c>
      <c r="Z305">
        <f>'Ozone-Energy'!Y298</f>
        <v>0</v>
      </c>
      <c r="AA305" s="43"/>
    </row>
    <row r="306" spans="2:27" ht="15">
      <c r="B306" s="60"/>
      <c r="C306">
        <v>289</v>
      </c>
      <c r="D306" s="359">
        <v>17.2</v>
      </c>
      <c r="E306" s="211">
        <f t="shared" si="43"/>
        <v>18.920000000000002</v>
      </c>
      <c r="F306" s="211">
        <f>'Studio Rain System'!L311</f>
        <v>20</v>
      </c>
      <c r="G306" s="211">
        <f>'Studio Rain System'!M311</f>
        <v>0.745</v>
      </c>
      <c r="H306" s="206">
        <f>'Flow Rate'!$W$27</f>
        <v>464206.53322409093</v>
      </c>
      <c r="I306" s="178">
        <f>'Ozone-Energy'!H299</f>
        <v>3394788.5714285718</v>
      </c>
      <c r="J306" s="128">
        <f t="shared" si="45"/>
        <v>3.3947885714285717</v>
      </c>
      <c r="K306" s="193">
        <f>'Ozone-Energy'!J299</f>
        <v>94600</v>
      </c>
      <c r="L306" s="43">
        <f t="shared" si="44"/>
        <v>94.6</v>
      </c>
      <c r="M306" s="43">
        <f>'Ozone-Energy'!L299</f>
        <v>189200000</v>
      </c>
      <c r="N306" s="179">
        <f>'Ozone-Energy'!M299</f>
        <v>189.2</v>
      </c>
      <c r="O306" s="43">
        <f>'Ozone-Energy'!N299</f>
        <v>1200</v>
      </c>
      <c r="P306" s="180">
        <f t="shared" si="48"/>
        <v>4.32</v>
      </c>
      <c r="Q306" s="181">
        <f t="shared" si="40"/>
        <v>196.91478857142855</v>
      </c>
      <c r="R306" s="43">
        <f>'Ozone-Energy'!Q299</f>
        <v>0</v>
      </c>
      <c r="S306" s="43">
        <f>'Ozone-Energy'!R299</f>
        <v>0</v>
      </c>
      <c r="T306" s="43">
        <f>'Ozone-Energy'!S299</f>
        <v>0</v>
      </c>
      <c r="U306" s="43"/>
      <c r="V306" s="43"/>
      <c r="W306">
        <f>'Ozone-Energy'!V299</f>
        <v>0</v>
      </c>
      <c r="X306">
        <f>'Ozone-Energy'!W299</f>
        <v>0</v>
      </c>
      <c r="Y306">
        <f>'Ozone-Energy'!X299</f>
        <v>0</v>
      </c>
      <c r="Z306">
        <f>'Ozone-Energy'!Y299</f>
        <v>0</v>
      </c>
      <c r="AA306" s="43"/>
    </row>
    <row r="307" spans="2:27" ht="15">
      <c r="B307" s="60"/>
      <c r="C307">
        <v>290</v>
      </c>
      <c r="D307" s="359">
        <v>27</v>
      </c>
      <c r="E307" s="211">
        <f t="shared" si="43"/>
        <v>29.7</v>
      </c>
      <c r="F307" s="211">
        <f>'Studio Rain System'!L312</f>
        <v>20</v>
      </c>
      <c r="G307" s="211">
        <f>'Studio Rain System'!M312</f>
        <v>0.745</v>
      </c>
      <c r="H307" s="206">
        <f>'Flow Rate'!$W$27</f>
        <v>464206.53322409093</v>
      </c>
      <c r="I307" s="178">
        <f>'Ozone-Energy'!H300</f>
        <v>5329028.5714285718</v>
      </c>
      <c r="J307" s="128">
        <f t="shared" si="45"/>
        <v>5.3290285714285712</v>
      </c>
      <c r="K307" s="193">
        <f>'Ozone-Energy'!J300</f>
        <v>148500</v>
      </c>
      <c r="L307" s="43">
        <f t="shared" si="44"/>
        <v>148.5</v>
      </c>
      <c r="M307" s="43">
        <f>'Ozone-Energy'!L300</f>
        <v>297000000</v>
      </c>
      <c r="N307" s="179">
        <f>'Ozone-Energy'!M300</f>
        <v>297</v>
      </c>
      <c r="O307" s="43">
        <f>'Ozone-Energy'!N300</f>
        <v>1200</v>
      </c>
      <c r="P307" s="180">
        <f t="shared" si="48"/>
        <v>4.32</v>
      </c>
      <c r="Q307" s="181">
        <f t="shared" si="40"/>
        <v>306.64902857142857</v>
      </c>
      <c r="R307" s="43">
        <f>'Ozone-Energy'!Q300</f>
        <v>0</v>
      </c>
      <c r="S307" s="43">
        <f>'Ozone-Energy'!R300</f>
        <v>0</v>
      </c>
      <c r="T307" s="43">
        <f>'Ozone-Energy'!S300</f>
        <v>0</v>
      </c>
      <c r="U307" s="43"/>
      <c r="V307" s="43"/>
      <c r="W307">
        <f>'Ozone-Energy'!V300</f>
        <v>0</v>
      </c>
      <c r="X307">
        <f>'Ozone-Energy'!W300</f>
        <v>0</v>
      </c>
      <c r="Y307">
        <f>'Ozone-Energy'!X300</f>
        <v>0</v>
      </c>
      <c r="Z307">
        <f>'Ozone-Energy'!Y300</f>
        <v>0</v>
      </c>
      <c r="AA307" s="43"/>
    </row>
    <row r="308" spans="2:27" ht="15">
      <c r="B308" s="60"/>
      <c r="C308">
        <v>291</v>
      </c>
      <c r="D308" s="359">
        <v>16.8</v>
      </c>
      <c r="E308" s="211">
        <f t="shared" si="43"/>
        <v>18.480000000000004</v>
      </c>
      <c r="F308" s="211">
        <f>'Studio Rain System'!L313</f>
        <v>20</v>
      </c>
      <c r="G308" s="211">
        <f>'Studio Rain System'!M313</f>
        <v>0.745</v>
      </c>
      <c r="H308" s="206">
        <f>'Flow Rate'!$W$27</f>
        <v>464206.53322409093</v>
      </c>
      <c r="I308" s="178">
        <f>'Ozone-Energy'!H301</f>
        <v>3315840.0000000009</v>
      </c>
      <c r="J308" s="128">
        <f t="shared" si="45"/>
        <v>3.3158400000000006</v>
      </c>
      <c r="K308" s="193">
        <f>'Ozone-Energy'!J301</f>
        <v>92400.000000000029</v>
      </c>
      <c r="L308" s="43">
        <f t="shared" si="44"/>
        <v>92.400000000000034</v>
      </c>
      <c r="M308" s="43">
        <f>'Ozone-Energy'!L301</f>
        <v>184800000.00000006</v>
      </c>
      <c r="N308" s="179">
        <f>'Ozone-Energy'!M301</f>
        <v>184.80000000000007</v>
      </c>
      <c r="O308" s="43">
        <f>'Ozone-Energy'!N301</f>
        <v>1200</v>
      </c>
      <c r="P308" s="180">
        <f xml:space="preserve"> O308 * 3600 / 1000000</f>
        <v>4.32</v>
      </c>
      <c r="Q308" s="181">
        <f t="shared" si="40"/>
        <v>192.43584000000007</v>
      </c>
      <c r="R308" s="43">
        <f>'Ozone-Energy'!Q301</f>
        <v>0</v>
      </c>
      <c r="S308" s="43">
        <f>'Ozone-Energy'!R301</f>
        <v>0</v>
      </c>
      <c r="T308" s="43">
        <f>'Ozone-Energy'!S301</f>
        <v>0</v>
      </c>
      <c r="U308" s="43"/>
      <c r="V308" s="43"/>
      <c r="W308">
        <f>'Ozone-Energy'!V301</f>
        <v>0</v>
      </c>
      <c r="X308">
        <f>'Ozone-Energy'!W301</f>
        <v>0</v>
      </c>
      <c r="Y308">
        <f>'Ozone-Energy'!X301</f>
        <v>0</v>
      </c>
      <c r="Z308">
        <f>'Ozone-Energy'!Y301</f>
        <v>0</v>
      </c>
      <c r="AA308" s="43"/>
    </row>
    <row r="309" spans="2:27" ht="15">
      <c r="B309" s="60"/>
      <c r="C309">
        <v>292</v>
      </c>
      <c r="D309" s="359">
        <v>46.2</v>
      </c>
      <c r="E309" s="211">
        <f t="shared" si="43"/>
        <v>50.820000000000007</v>
      </c>
      <c r="F309" s="211">
        <f>'Studio Rain System'!L314</f>
        <v>20</v>
      </c>
      <c r="G309" s="211">
        <f>'Studio Rain System'!M314</f>
        <v>0.745</v>
      </c>
      <c r="H309" s="206">
        <f>'Flow Rate'!$W$27</f>
        <v>464206.53322409093</v>
      </c>
      <c r="I309" s="178">
        <f>'Ozone-Energy'!H302</f>
        <v>9118560.0000000019</v>
      </c>
      <c r="J309" s="128">
        <f t="shared" si="45"/>
        <v>9.1185600000000022</v>
      </c>
      <c r="K309" s="193">
        <f>'Ozone-Energy'!J302</f>
        <v>254100.00000000006</v>
      </c>
      <c r="L309" s="43">
        <f t="shared" si="44"/>
        <v>254.10000000000005</v>
      </c>
      <c r="M309" s="43">
        <f>'Ozone-Energy'!L302</f>
        <v>508200000.00000012</v>
      </c>
      <c r="N309" s="179">
        <f>'Ozone-Energy'!M302</f>
        <v>508.2000000000001</v>
      </c>
      <c r="O309" s="43">
        <f>'Ozone-Energy'!N302</f>
        <v>1200</v>
      </c>
      <c r="P309" s="180">
        <f t="shared" ref="P309:P317" si="49">O309 * 3600 / 1000000</f>
        <v>4.32</v>
      </c>
      <c r="Q309" s="181">
        <f t="shared" si="40"/>
        <v>521.63856000000021</v>
      </c>
      <c r="R309" s="43">
        <f>'Ozone-Energy'!Q302</f>
        <v>0</v>
      </c>
      <c r="S309" s="43">
        <f>'Ozone-Energy'!R302</f>
        <v>0</v>
      </c>
      <c r="T309" s="43">
        <f>'Ozone-Energy'!S302</f>
        <v>0</v>
      </c>
      <c r="U309" s="43"/>
      <c r="V309" s="43"/>
      <c r="W309">
        <f>'Ozone-Energy'!V302</f>
        <v>0</v>
      </c>
      <c r="X309">
        <f>'Ozone-Energy'!W302</f>
        <v>0</v>
      </c>
      <c r="Y309">
        <f>'Ozone-Energy'!X302</f>
        <v>0</v>
      </c>
      <c r="Z309">
        <f>'Ozone-Energy'!Y302</f>
        <v>0</v>
      </c>
      <c r="AA309" s="43"/>
    </row>
    <row r="310" spans="2:27" ht="15">
      <c r="B310" s="60"/>
      <c r="C310">
        <v>293</v>
      </c>
      <c r="D310" s="359">
        <v>10.8</v>
      </c>
      <c r="E310" s="211">
        <f t="shared" si="43"/>
        <v>11.88</v>
      </c>
      <c r="F310" s="211">
        <f>'Studio Rain System'!L315</f>
        <v>20</v>
      </c>
      <c r="G310" s="211">
        <f>'Studio Rain System'!M315</f>
        <v>0.745</v>
      </c>
      <c r="H310" s="206">
        <f>'Flow Rate'!$W$27</f>
        <v>464206.53322409093</v>
      </c>
      <c r="I310" s="178">
        <f>'Ozone-Energy'!H303</f>
        <v>2131611.4285714286</v>
      </c>
      <c r="J310" s="128">
        <f t="shared" si="45"/>
        <v>2.1316114285714285</v>
      </c>
      <c r="K310" s="193">
        <f>'Ozone-Energy'!J303</f>
        <v>59400</v>
      </c>
      <c r="L310" s="43">
        <f t="shared" si="44"/>
        <v>59.4</v>
      </c>
      <c r="M310" s="43">
        <f>'Ozone-Energy'!L303</f>
        <v>118800000</v>
      </c>
      <c r="N310" s="179">
        <f>'Ozone-Energy'!M303</f>
        <v>118.8</v>
      </c>
      <c r="O310" s="43">
        <f>'Ozone-Energy'!N303</f>
        <v>1200</v>
      </c>
      <c r="P310" s="180">
        <f t="shared" si="49"/>
        <v>4.32</v>
      </c>
      <c r="Q310" s="181">
        <f t="shared" si="40"/>
        <v>125.25161142857144</v>
      </c>
      <c r="R310" s="43">
        <f>'Ozone-Energy'!Q303</f>
        <v>0</v>
      </c>
      <c r="S310" s="43">
        <f>'Ozone-Energy'!R303</f>
        <v>0</v>
      </c>
      <c r="T310" s="43">
        <f>'Ozone-Energy'!S303</f>
        <v>0</v>
      </c>
      <c r="U310" s="43"/>
      <c r="V310" s="43"/>
      <c r="W310">
        <f>'Ozone-Energy'!V303</f>
        <v>0</v>
      </c>
      <c r="X310">
        <f>'Ozone-Energy'!W303</f>
        <v>0</v>
      </c>
      <c r="Y310">
        <f>'Ozone-Energy'!X303</f>
        <v>0</v>
      </c>
      <c r="Z310">
        <f>'Ozone-Energy'!Y303</f>
        <v>0</v>
      </c>
      <c r="AA310" s="43"/>
    </row>
    <row r="311" spans="2:27" ht="15">
      <c r="B311" s="60"/>
      <c r="C311">
        <v>294</v>
      </c>
      <c r="D311" s="359">
        <v>40.200000000000003</v>
      </c>
      <c r="E311" s="211">
        <f t="shared" si="43"/>
        <v>44.22</v>
      </c>
      <c r="F311" s="211">
        <f>'Studio Rain System'!L316</f>
        <v>20</v>
      </c>
      <c r="G311" s="211">
        <f>'Studio Rain System'!M316</f>
        <v>0.745</v>
      </c>
      <c r="H311" s="206">
        <f>'Flow Rate'!$W$27</f>
        <v>464206.53322409093</v>
      </c>
      <c r="I311" s="178">
        <f>'Ozone-Energy'!H304</f>
        <v>7934331.4285714291</v>
      </c>
      <c r="J311" s="128">
        <f t="shared" si="45"/>
        <v>7.9343314285714284</v>
      </c>
      <c r="K311" s="193">
        <f>'Ozone-Energy'!J304</f>
        <v>221100</v>
      </c>
      <c r="L311" s="43">
        <f t="shared" si="44"/>
        <v>221.1</v>
      </c>
      <c r="M311" s="43">
        <f>'Ozone-Energy'!L304</f>
        <v>442200000</v>
      </c>
      <c r="N311" s="179">
        <f>'Ozone-Energy'!M304</f>
        <v>442.2</v>
      </c>
      <c r="O311" s="43">
        <f>'Ozone-Energy'!N304</f>
        <v>1200</v>
      </c>
      <c r="P311" s="180">
        <f t="shared" si="49"/>
        <v>4.32</v>
      </c>
      <c r="Q311" s="181">
        <f t="shared" si="40"/>
        <v>454.45433142857144</v>
      </c>
      <c r="R311" s="43">
        <f>'Ozone-Energy'!Q304</f>
        <v>0</v>
      </c>
      <c r="S311" s="43">
        <f>'Ozone-Energy'!R304</f>
        <v>0</v>
      </c>
      <c r="T311" s="43">
        <f>'Ozone-Energy'!S304</f>
        <v>0</v>
      </c>
      <c r="U311" s="43"/>
      <c r="V311" s="43"/>
      <c r="W311">
        <f>'Ozone-Energy'!V304</f>
        <v>0</v>
      </c>
      <c r="X311">
        <f>'Ozone-Energy'!W304</f>
        <v>0</v>
      </c>
      <c r="Y311">
        <f>'Ozone-Energy'!X304</f>
        <v>0</v>
      </c>
      <c r="Z311">
        <f>'Ozone-Energy'!Y304</f>
        <v>0</v>
      </c>
      <c r="AA311" s="43"/>
    </row>
    <row r="312" spans="2:27" ht="15">
      <c r="B312" s="60"/>
      <c r="C312">
        <v>295</v>
      </c>
      <c r="D312" s="359">
        <v>21.4</v>
      </c>
      <c r="E312" s="211">
        <f t="shared" si="43"/>
        <v>23.54</v>
      </c>
      <c r="F312" s="211">
        <f>'Studio Rain System'!L317</f>
        <v>20</v>
      </c>
      <c r="G312" s="211">
        <f>'Studio Rain System'!M317</f>
        <v>0.745</v>
      </c>
      <c r="H312" s="206">
        <f>'Flow Rate'!$W$27</f>
        <v>464206.53322409093</v>
      </c>
      <c r="I312" s="178">
        <f>'Ozone-Energy'!H305</f>
        <v>4223748.5714285718</v>
      </c>
      <c r="J312" s="128">
        <f t="shared" si="45"/>
        <v>4.2237485714285716</v>
      </c>
      <c r="K312" s="193">
        <f>'Ozone-Energy'!J305</f>
        <v>117700</v>
      </c>
      <c r="L312" s="43">
        <f t="shared" si="44"/>
        <v>117.7</v>
      </c>
      <c r="M312" s="43">
        <f>'Ozone-Energy'!L305</f>
        <v>235400000</v>
      </c>
      <c r="N312" s="179">
        <f>'Ozone-Energy'!M305</f>
        <v>235.4</v>
      </c>
      <c r="O312" s="43">
        <f>'Ozone-Energy'!N305</f>
        <v>1200</v>
      </c>
      <c r="P312" s="180">
        <f t="shared" si="49"/>
        <v>4.32</v>
      </c>
      <c r="Q312" s="181">
        <f t="shared" si="40"/>
        <v>243.94374857142856</v>
      </c>
      <c r="R312" s="43">
        <f>'Ozone-Energy'!Q305</f>
        <v>0</v>
      </c>
      <c r="S312" s="43">
        <f>'Ozone-Energy'!R305</f>
        <v>0</v>
      </c>
      <c r="T312" s="43">
        <f>'Ozone-Energy'!S305</f>
        <v>0</v>
      </c>
      <c r="U312" s="43"/>
      <c r="V312" s="43"/>
      <c r="W312">
        <f>'Ozone-Energy'!V305</f>
        <v>0</v>
      </c>
      <c r="X312">
        <f>'Ozone-Energy'!W305</f>
        <v>0</v>
      </c>
      <c r="Y312">
        <f>'Ozone-Energy'!X305</f>
        <v>0</v>
      </c>
      <c r="Z312">
        <f>'Ozone-Energy'!Y305</f>
        <v>0</v>
      </c>
      <c r="AA312" s="43"/>
    </row>
    <row r="313" spans="2:27" ht="15">
      <c r="B313" s="60"/>
      <c r="C313">
        <v>296</v>
      </c>
      <c r="D313" s="359">
        <v>9.4</v>
      </c>
      <c r="E313" s="211">
        <f t="shared" si="43"/>
        <v>10.34</v>
      </c>
      <c r="F313" s="211">
        <f>'Studio Rain System'!L318</f>
        <v>20</v>
      </c>
      <c r="G313" s="211">
        <f>'Studio Rain System'!M318</f>
        <v>0.745</v>
      </c>
      <c r="H313" s="206">
        <f>'Flow Rate'!$W$27</f>
        <v>464206.53322409093</v>
      </c>
      <c r="I313" s="178">
        <f>'Ozone-Energy'!H306</f>
        <v>1855291.4285714286</v>
      </c>
      <c r="J313" s="128">
        <f t="shared" si="45"/>
        <v>1.8552914285714286</v>
      </c>
      <c r="K313" s="193">
        <f>'Ozone-Energy'!J306</f>
        <v>51700</v>
      </c>
      <c r="L313" s="43">
        <f t="shared" si="44"/>
        <v>51.7</v>
      </c>
      <c r="M313" s="43">
        <f>'Ozone-Energy'!L306</f>
        <v>103400000</v>
      </c>
      <c r="N313" s="179">
        <f>'Ozone-Energy'!M306</f>
        <v>103.4</v>
      </c>
      <c r="O313" s="43">
        <f>'Ozone-Energy'!N306</f>
        <v>1200</v>
      </c>
      <c r="P313" s="180">
        <f t="shared" si="49"/>
        <v>4.32</v>
      </c>
      <c r="Q313" s="181">
        <f t="shared" si="40"/>
        <v>109.57529142857143</v>
      </c>
      <c r="R313" s="43">
        <f>'Ozone-Energy'!Q306</f>
        <v>0</v>
      </c>
      <c r="S313" s="43">
        <f>'Ozone-Energy'!R306</f>
        <v>0</v>
      </c>
      <c r="T313" s="43">
        <f>'Ozone-Energy'!S306</f>
        <v>0</v>
      </c>
      <c r="U313" s="43"/>
      <c r="V313" s="43"/>
      <c r="W313">
        <f>'Ozone-Energy'!V306</f>
        <v>0</v>
      </c>
      <c r="X313">
        <f>'Ozone-Energy'!W306</f>
        <v>0</v>
      </c>
      <c r="Y313">
        <f>'Ozone-Energy'!X306</f>
        <v>0</v>
      </c>
      <c r="Z313">
        <f>'Ozone-Energy'!Y306</f>
        <v>0</v>
      </c>
      <c r="AA313" s="43"/>
    </row>
    <row r="314" spans="2:27" ht="15">
      <c r="B314" s="60"/>
      <c r="C314">
        <v>297</v>
      </c>
      <c r="D314" s="359">
        <v>1.6</v>
      </c>
      <c r="E314" s="211">
        <f t="shared" si="43"/>
        <v>1.76</v>
      </c>
      <c r="F314" s="211">
        <f>'Studio Rain System'!L319</f>
        <v>20</v>
      </c>
      <c r="G314" s="211">
        <f>'Studio Rain System'!M319</f>
        <v>0.745</v>
      </c>
      <c r="H314" s="206">
        <f>'Flow Rate'!$W$27</f>
        <v>464206.53322409093</v>
      </c>
      <c r="I314" s="178">
        <f>'Ozone-Energy'!H307</f>
        <v>315794.28571428574</v>
      </c>
      <c r="J314" s="128">
        <f t="shared" si="45"/>
        <v>0.31579428571428575</v>
      </c>
      <c r="K314" s="193">
        <f>'Ozone-Energy'!J307</f>
        <v>8800</v>
      </c>
      <c r="L314" s="43">
        <f t="shared" si="44"/>
        <v>8.8000000000000007</v>
      </c>
      <c r="M314" s="43">
        <f>'Ozone-Energy'!L307</f>
        <v>17600000</v>
      </c>
      <c r="N314" s="179">
        <f>'Ozone-Energy'!M307</f>
        <v>17.600000000000001</v>
      </c>
      <c r="O314" s="43">
        <f>'Ozone-Energy'!N307</f>
        <v>1200</v>
      </c>
      <c r="P314" s="180">
        <f t="shared" si="49"/>
        <v>4.32</v>
      </c>
      <c r="Q314" s="181">
        <f t="shared" si="40"/>
        <v>22.235794285714288</v>
      </c>
      <c r="R314" s="43">
        <f>'Ozone-Energy'!Q307</f>
        <v>0</v>
      </c>
      <c r="S314" s="43">
        <f>'Ozone-Energy'!R307</f>
        <v>0</v>
      </c>
      <c r="T314" s="43">
        <f>'Ozone-Energy'!S307</f>
        <v>0</v>
      </c>
      <c r="U314" s="43"/>
      <c r="V314" s="43"/>
      <c r="W314">
        <f>'Ozone-Energy'!V307</f>
        <v>0</v>
      </c>
      <c r="X314">
        <f>'Ozone-Energy'!W307</f>
        <v>0</v>
      </c>
      <c r="Y314">
        <f>'Ozone-Energy'!X307</f>
        <v>0</v>
      </c>
      <c r="Z314">
        <f>'Ozone-Energy'!Y307</f>
        <v>0</v>
      </c>
      <c r="AA314" s="43"/>
    </row>
    <row r="315" spans="2:27" ht="15">
      <c r="B315" s="60"/>
      <c r="C315">
        <v>298</v>
      </c>
      <c r="D315" s="359">
        <v>21.8</v>
      </c>
      <c r="E315" s="211">
        <f t="shared" si="43"/>
        <v>23.98</v>
      </c>
      <c r="F315" s="211">
        <f>'Studio Rain System'!L320</f>
        <v>20</v>
      </c>
      <c r="G315" s="211">
        <f>'Studio Rain System'!M320</f>
        <v>0.745</v>
      </c>
      <c r="H315" s="206">
        <f>'Flow Rate'!$W$27</f>
        <v>464206.53322409093</v>
      </c>
      <c r="I315" s="178">
        <f>'Ozone-Energy'!H308</f>
        <v>4302697.1428571427</v>
      </c>
      <c r="J315" s="128">
        <f t="shared" si="45"/>
        <v>4.3026971428571423</v>
      </c>
      <c r="K315" s="193">
        <f>'Ozone-Energy'!J308</f>
        <v>119900</v>
      </c>
      <c r="L315" s="43">
        <f t="shared" si="44"/>
        <v>119.9</v>
      </c>
      <c r="M315" s="43">
        <f>'Ozone-Energy'!L308</f>
        <v>239800000</v>
      </c>
      <c r="N315" s="179">
        <f>'Ozone-Energy'!M308</f>
        <v>239.8</v>
      </c>
      <c r="O315" s="43">
        <f>'Ozone-Energy'!N308</f>
        <v>1200</v>
      </c>
      <c r="P315" s="180">
        <f t="shared" si="49"/>
        <v>4.32</v>
      </c>
      <c r="Q315" s="181">
        <f t="shared" ref="Q315:Q378" si="50">J315 + N315 + P315</f>
        <v>248.42269714285715</v>
      </c>
      <c r="R315" s="43">
        <f>'Ozone-Energy'!Q308</f>
        <v>0</v>
      </c>
      <c r="S315" s="43">
        <f>'Ozone-Energy'!R308</f>
        <v>0</v>
      </c>
      <c r="T315" s="43">
        <f>'Ozone-Energy'!S308</f>
        <v>0</v>
      </c>
      <c r="U315" s="43"/>
      <c r="V315" s="43"/>
      <c r="W315">
        <f>'Ozone-Energy'!V308</f>
        <v>0</v>
      </c>
      <c r="X315">
        <f>'Ozone-Energy'!W308</f>
        <v>0</v>
      </c>
      <c r="Y315">
        <f>'Ozone-Energy'!X308</f>
        <v>0</v>
      </c>
      <c r="Z315">
        <f>'Ozone-Energy'!Y308</f>
        <v>0</v>
      </c>
      <c r="AA315" s="43"/>
    </row>
    <row r="316" spans="2:27" ht="15">
      <c r="B316" s="60"/>
      <c r="C316">
        <v>299</v>
      </c>
      <c r="D316" s="359">
        <v>2.4</v>
      </c>
      <c r="E316" s="211">
        <f t="shared" si="43"/>
        <v>2.6399999999999997</v>
      </c>
      <c r="F316" s="211">
        <f>'Studio Rain System'!L321</f>
        <v>20</v>
      </c>
      <c r="G316" s="211">
        <f>'Studio Rain System'!M321</f>
        <v>0.745</v>
      </c>
      <c r="H316" s="206">
        <f>'Flow Rate'!$W$27</f>
        <v>464206.53322409093</v>
      </c>
      <c r="I316" s="178">
        <f>'Ozone-Energy'!H309</f>
        <v>473691.42857142852</v>
      </c>
      <c r="J316" s="128">
        <f t="shared" si="45"/>
        <v>0.47369142857142849</v>
      </c>
      <c r="K316" s="193">
        <f>'Ozone-Energy'!J309</f>
        <v>13199.999999999996</v>
      </c>
      <c r="L316" s="43">
        <f t="shared" si="44"/>
        <v>13.199999999999996</v>
      </c>
      <c r="M316" s="43">
        <f>'Ozone-Energy'!L309</f>
        <v>26399999.999999993</v>
      </c>
      <c r="N316" s="179">
        <f>'Ozone-Energy'!M309</f>
        <v>26.399999999999991</v>
      </c>
      <c r="O316" s="43">
        <f>'Ozone-Energy'!N309</f>
        <v>1200</v>
      </c>
      <c r="P316" s="180">
        <f t="shared" si="49"/>
        <v>4.32</v>
      </c>
      <c r="Q316" s="181">
        <f t="shared" si="50"/>
        <v>31.19369142857142</v>
      </c>
      <c r="R316" s="43">
        <f>'Ozone-Energy'!Q309</f>
        <v>0</v>
      </c>
      <c r="S316" s="43">
        <f>'Ozone-Energy'!R309</f>
        <v>0</v>
      </c>
      <c r="T316" s="43">
        <f>'Ozone-Energy'!S309</f>
        <v>0</v>
      </c>
      <c r="U316" s="43"/>
      <c r="V316" s="43"/>
      <c r="W316">
        <f>'Ozone-Energy'!V309</f>
        <v>0</v>
      </c>
      <c r="X316">
        <f>'Ozone-Energy'!W309</f>
        <v>0</v>
      </c>
      <c r="Y316">
        <f>'Ozone-Energy'!X309</f>
        <v>0</v>
      </c>
      <c r="Z316">
        <f>'Ozone-Energy'!Y309</f>
        <v>0</v>
      </c>
      <c r="AA316" s="43"/>
    </row>
    <row r="317" spans="2:27" ht="15">
      <c r="B317" s="60"/>
      <c r="C317">
        <v>300</v>
      </c>
      <c r="D317" s="359">
        <v>33.6</v>
      </c>
      <c r="E317" s="211">
        <f t="shared" si="43"/>
        <v>36.960000000000008</v>
      </c>
      <c r="F317" s="211">
        <f>'Studio Rain System'!L322</f>
        <v>20</v>
      </c>
      <c r="G317" s="211">
        <f>'Studio Rain System'!M322</f>
        <v>0.745</v>
      </c>
      <c r="H317" s="206">
        <f>'Flow Rate'!$W$27</f>
        <v>464206.53322409093</v>
      </c>
      <c r="I317" s="178">
        <f>'Ozone-Energy'!H310</f>
        <v>6631680.0000000019</v>
      </c>
      <c r="J317" s="128">
        <f t="shared" si="45"/>
        <v>6.6316800000000011</v>
      </c>
      <c r="K317" s="193">
        <f>'Ozone-Energy'!J310</f>
        <v>184800.00000000006</v>
      </c>
      <c r="L317" s="43">
        <f t="shared" si="44"/>
        <v>184.80000000000007</v>
      </c>
      <c r="M317" s="43">
        <f>'Ozone-Energy'!L310</f>
        <v>369600000.00000012</v>
      </c>
      <c r="N317" s="179">
        <f>'Ozone-Energy'!M310</f>
        <v>369.60000000000014</v>
      </c>
      <c r="O317" s="43">
        <f>'Ozone-Energy'!N310</f>
        <v>1200</v>
      </c>
      <c r="P317" s="180">
        <f t="shared" si="49"/>
        <v>4.32</v>
      </c>
      <c r="Q317" s="181">
        <f t="shared" si="50"/>
        <v>380.55168000000015</v>
      </c>
      <c r="R317" s="43">
        <f>'Ozone-Energy'!Q310</f>
        <v>0</v>
      </c>
      <c r="S317" s="43">
        <f>'Ozone-Energy'!R310</f>
        <v>0</v>
      </c>
      <c r="T317" s="43">
        <f>'Ozone-Energy'!S310</f>
        <v>0</v>
      </c>
      <c r="U317" s="43"/>
      <c r="V317" s="43"/>
      <c r="W317">
        <f>'Ozone-Energy'!V310</f>
        <v>0</v>
      </c>
      <c r="X317">
        <f>'Ozone-Energy'!W310</f>
        <v>0</v>
      </c>
      <c r="Y317">
        <f>'Ozone-Energy'!X310</f>
        <v>0</v>
      </c>
      <c r="Z317">
        <f>'Ozone-Energy'!Y310</f>
        <v>0</v>
      </c>
      <c r="AA317" s="43"/>
    </row>
    <row r="318" spans="2:27" ht="15">
      <c r="B318" s="60"/>
      <c r="C318">
        <v>301</v>
      </c>
      <c r="D318" s="359">
        <v>24.4</v>
      </c>
      <c r="E318" s="211">
        <f t="shared" si="43"/>
        <v>26.839999999999996</v>
      </c>
      <c r="F318" s="211">
        <f>'Studio Rain System'!L323</f>
        <v>20</v>
      </c>
      <c r="G318" s="211">
        <f>'Studio Rain System'!M323</f>
        <v>0.745</v>
      </c>
      <c r="H318" s="206">
        <f>'Flow Rate'!$W$27</f>
        <v>464206.53322409093</v>
      </c>
      <c r="I318" s="178">
        <f>'Ozone-Energy'!H311</f>
        <v>4815862.8571428563</v>
      </c>
      <c r="J318" s="128">
        <f t="shared" si="45"/>
        <v>4.8158628571428563</v>
      </c>
      <c r="K318" s="193">
        <f>'Ozone-Energy'!J311</f>
        <v>134199.99999999997</v>
      </c>
      <c r="L318" s="43">
        <f t="shared" si="44"/>
        <v>134.19999999999996</v>
      </c>
      <c r="M318" s="43">
        <f>'Ozone-Energy'!L311</f>
        <v>268399999.99999991</v>
      </c>
      <c r="N318" s="179">
        <f>'Ozone-Energy'!M311</f>
        <v>268.39999999999992</v>
      </c>
      <c r="O318" s="43">
        <f>'Ozone-Energy'!N311</f>
        <v>1200</v>
      </c>
      <c r="P318" s="180">
        <f xml:space="preserve"> O318 * 3600 / 1000000</f>
        <v>4.32</v>
      </c>
      <c r="Q318" s="181">
        <f t="shared" si="50"/>
        <v>277.53586285714277</v>
      </c>
      <c r="R318" s="43">
        <f>'Ozone-Energy'!Q311</f>
        <v>0</v>
      </c>
      <c r="S318" s="43">
        <f>'Ozone-Energy'!R311</f>
        <v>0</v>
      </c>
      <c r="T318" s="43">
        <f>'Ozone-Energy'!S311</f>
        <v>0</v>
      </c>
      <c r="U318" s="43"/>
      <c r="V318" s="43"/>
      <c r="W318">
        <f>'Ozone-Energy'!V311</f>
        <v>0</v>
      </c>
      <c r="X318">
        <f>'Ozone-Energy'!W311</f>
        <v>0</v>
      </c>
      <c r="Y318">
        <f>'Ozone-Energy'!X311</f>
        <v>0</v>
      </c>
      <c r="Z318">
        <f>'Ozone-Energy'!Y311</f>
        <v>0</v>
      </c>
      <c r="AA318" s="43"/>
    </row>
    <row r="319" spans="2:27" ht="15">
      <c r="B319" s="60"/>
      <c r="C319">
        <v>302</v>
      </c>
      <c r="D319" s="359">
        <v>7</v>
      </c>
      <c r="E319" s="211">
        <f t="shared" si="43"/>
        <v>7.7</v>
      </c>
      <c r="F319" s="211">
        <f>'Studio Rain System'!L324</f>
        <v>20</v>
      </c>
      <c r="G319" s="211">
        <f>'Studio Rain System'!M324</f>
        <v>0.745</v>
      </c>
      <c r="H319" s="206">
        <f>'Flow Rate'!$W$27</f>
        <v>464206.53322409093</v>
      </c>
      <c r="I319" s="178">
        <f>'Ozone-Energy'!H312</f>
        <v>1381600</v>
      </c>
      <c r="J319" s="128">
        <f t="shared" si="45"/>
        <v>1.3815999999999999</v>
      </c>
      <c r="K319" s="193">
        <f>'Ozone-Energy'!J312</f>
        <v>38500</v>
      </c>
      <c r="L319" s="43">
        <f t="shared" si="44"/>
        <v>38.5</v>
      </c>
      <c r="M319" s="43">
        <f>'Ozone-Energy'!L312</f>
        <v>77000000</v>
      </c>
      <c r="N319" s="179">
        <f>'Ozone-Energy'!M312</f>
        <v>77</v>
      </c>
      <c r="O319" s="43">
        <f>'Ozone-Energy'!N312</f>
        <v>1200</v>
      </c>
      <c r="P319" s="180">
        <f t="shared" ref="P319:P327" si="51">O319 * 3600 / 1000000</f>
        <v>4.32</v>
      </c>
      <c r="Q319" s="181">
        <f t="shared" si="50"/>
        <v>82.701600000000013</v>
      </c>
      <c r="R319" s="43">
        <f>'Ozone-Energy'!Q312</f>
        <v>0</v>
      </c>
      <c r="S319" s="43">
        <f>'Ozone-Energy'!R312</f>
        <v>0</v>
      </c>
      <c r="T319" s="43">
        <f>'Ozone-Energy'!S312</f>
        <v>0</v>
      </c>
      <c r="U319" s="43"/>
      <c r="V319" s="43"/>
      <c r="W319">
        <f>'Ozone-Energy'!V312</f>
        <v>0</v>
      </c>
      <c r="X319">
        <f>'Ozone-Energy'!W312</f>
        <v>0</v>
      </c>
      <c r="Y319">
        <f>'Ozone-Energy'!X312</f>
        <v>0</v>
      </c>
      <c r="Z319">
        <f>'Ozone-Energy'!Y312</f>
        <v>0</v>
      </c>
      <c r="AA319" s="43"/>
    </row>
    <row r="320" spans="2:27" ht="15">
      <c r="B320" s="60"/>
      <c r="C320">
        <v>303</v>
      </c>
      <c r="D320" s="359">
        <v>9</v>
      </c>
      <c r="E320" s="211">
        <f t="shared" si="43"/>
        <v>9.8999999999999986</v>
      </c>
      <c r="F320" s="211">
        <f>'Studio Rain System'!L325</f>
        <v>20</v>
      </c>
      <c r="G320" s="211">
        <f>'Studio Rain System'!M325</f>
        <v>0.745</v>
      </c>
      <c r="H320" s="206">
        <f>'Flow Rate'!$W$27</f>
        <v>464206.53322409093</v>
      </c>
      <c r="I320" s="178">
        <f>'Ozone-Energy'!H313</f>
        <v>1776342.8571428568</v>
      </c>
      <c r="J320" s="128">
        <f t="shared" si="45"/>
        <v>1.7763428571428568</v>
      </c>
      <c r="K320" s="193">
        <f>'Ozone-Energy'!J313</f>
        <v>49499.999999999985</v>
      </c>
      <c r="L320" s="43">
        <f t="shared" si="44"/>
        <v>49.499999999999986</v>
      </c>
      <c r="M320" s="43">
        <f>'Ozone-Energy'!L313</f>
        <v>98999999.99999997</v>
      </c>
      <c r="N320" s="179">
        <f>'Ozone-Energy'!M313</f>
        <v>98.999999999999972</v>
      </c>
      <c r="O320" s="43">
        <f>'Ozone-Energy'!N313</f>
        <v>1200</v>
      </c>
      <c r="P320" s="180">
        <f t="shared" si="51"/>
        <v>4.32</v>
      </c>
      <c r="Q320" s="181">
        <f t="shared" si="50"/>
        <v>105.09634285714282</v>
      </c>
      <c r="R320" s="43">
        <f>'Ozone-Energy'!Q313</f>
        <v>0</v>
      </c>
      <c r="S320" s="43">
        <f>'Ozone-Energy'!R313</f>
        <v>0</v>
      </c>
      <c r="T320" s="43">
        <f>'Ozone-Energy'!S313</f>
        <v>0</v>
      </c>
      <c r="U320" s="43"/>
      <c r="V320" s="43"/>
      <c r="W320">
        <f>'Ozone-Energy'!V313</f>
        <v>0</v>
      </c>
      <c r="X320">
        <f>'Ozone-Energy'!W313</f>
        <v>0</v>
      </c>
      <c r="Y320">
        <f>'Ozone-Energy'!X313</f>
        <v>0</v>
      </c>
      <c r="Z320">
        <f>'Ozone-Energy'!Y313</f>
        <v>0</v>
      </c>
      <c r="AA320" s="43"/>
    </row>
    <row r="321" spans="2:27" ht="15">
      <c r="B321" s="60"/>
      <c r="C321">
        <v>304</v>
      </c>
      <c r="D321" s="359">
        <v>15</v>
      </c>
      <c r="E321" s="211">
        <f t="shared" si="43"/>
        <v>16.5</v>
      </c>
      <c r="F321" s="211">
        <f>'Studio Rain System'!L326</f>
        <v>20</v>
      </c>
      <c r="G321" s="211">
        <f>'Studio Rain System'!M326</f>
        <v>0.745</v>
      </c>
      <c r="H321" s="206">
        <f>'Flow Rate'!$W$27</f>
        <v>464206.53322409093</v>
      </c>
      <c r="I321" s="178">
        <f>'Ozone-Energy'!H314</f>
        <v>2960571.4285714286</v>
      </c>
      <c r="J321" s="128">
        <f t="shared" si="45"/>
        <v>2.9605714285714284</v>
      </c>
      <c r="K321" s="193">
        <f>'Ozone-Energy'!J314</f>
        <v>82500</v>
      </c>
      <c r="L321" s="43">
        <f t="shared" si="44"/>
        <v>82.5</v>
      </c>
      <c r="M321" s="43">
        <f>'Ozone-Energy'!L314</f>
        <v>165000000</v>
      </c>
      <c r="N321" s="179">
        <f>'Ozone-Energy'!M314</f>
        <v>165</v>
      </c>
      <c r="O321" s="43">
        <f>'Ozone-Energy'!N314</f>
        <v>1200</v>
      </c>
      <c r="P321" s="180">
        <f t="shared" si="51"/>
        <v>4.32</v>
      </c>
      <c r="Q321" s="181">
        <f t="shared" si="50"/>
        <v>172.28057142857142</v>
      </c>
      <c r="R321" s="43">
        <f>'Ozone-Energy'!Q314</f>
        <v>0</v>
      </c>
      <c r="S321" s="43">
        <f>'Ozone-Energy'!R314</f>
        <v>0</v>
      </c>
      <c r="T321" s="43">
        <f>'Ozone-Energy'!S314</f>
        <v>0</v>
      </c>
      <c r="U321" s="43"/>
      <c r="V321" s="43"/>
      <c r="W321">
        <f>'Ozone-Energy'!V314</f>
        <v>0</v>
      </c>
      <c r="X321">
        <f>'Ozone-Energy'!W314</f>
        <v>0</v>
      </c>
      <c r="Y321">
        <f>'Ozone-Energy'!X314</f>
        <v>0</v>
      </c>
      <c r="Z321">
        <f>'Ozone-Energy'!Y314</f>
        <v>0</v>
      </c>
      <c r="AA321" s="43"/>
    </row>
    <row r="322" spans="2:27" ht="15">
      <c r="B322" s="60"/>
      <c r="C322">
        <v>305</v>
      </c>
      <c r="D322" s="359">
        <v>6.4</v>
      </c>
      <c r="E322" s="211">
        <f t="shared" si="43"/>
        <v>7.04</v>
      </c>
      <c r="F322" s="211">
        <f>'Studio Rain System'!L327</f>
        <v>20</v>
      </c>
      <c r="G322" s="211">
        <f>'Studio Rain System'!M327</f>
        <v>0.745</v>
      </c>
      <c r="H322" s="206">
        <f>'Flow Rate'!$W$27</f>
        <v>464206.53322409093</v>
      </c>
      <c r="I322" s="178">
        <f>'Ozone-Energy'!H315</f>
        <v>1263177.142857143</v>
      </c>
      <c r="J322" s="128">
        <f t="shared" si="45"/>
        <v>1.263177142857143</v>
      </c>
      <c r="K322" s="193">
        <f>'Ozone-Energy'!J315</f>
        <v>35200</v>
      </c>
      <c r="L322" s="43">
        <f t="shared" si="44"/>
        <v>35.200000000000003</v>
      </c>
      <c r="M322" s="43">
        <f>'Ozone-Energy'!L315</f>
        <v>70400000</v>
      </c>
      <c r="N322" s="179">
        <f>'Ozone-Energy'!M315</f>
        <v>70.400000000000006</v>
      </c>
      <c r="O322" s="43">
        <f>'Ozone-Energy'!N315</f>
        <v>1200</v>
      </c>
      <c r="P322" s="180">
        <f t="shared" si="51"/>
        <v>4.32</v>
      </c>
      <c r="Q322" s="181">
        <f t="shared" si="50"/>
        <v>75.983177142857159</v>
      </c>
      <c r="R322" s="43">
        <f>'Ozone-Energy'!Q315</f>
        <v>0</v>
      </c>
      <c r="S322" s="43">
        <f>'Ozone-Energy'!R315</f>
        <v>0</v>
      </c>
      <c r="T322" s="43">
        <f>'Ozone-Energy'!S315</f>
        <v>0</v>
      </c>
      <c r="U322" s="43"/>
      <c r="V322" s="43"/>
      <c r="W322">
        <f>'Ozone-Energy'!V315</f>
        <v>0</v>
      </c>
      <c r="X322">
        <f>'Ozone-Energy'!W315</f>
        <v>0</v>
      </c>
      <c r="Y322">
        <f>'Ozone-Energy'!X315</f>
        <v>0</v>
      </c>
      <c r="Z322">
        <f>'Ozone-Energy'!Y315</f>
        <v>0</v>
      </c>
      <c r="AA322" s="43"/>
    </row>
    <row r="323" spans="2:27" ht="15">
      <c r="B323" s="60"/>
      <c r="C323">
        <v>306</v>
      </c>
      <c r="D323" s="359">
        <v>37.6</v>
      </c>
      <c r="E323" s="211">
        <f t="shared" si="43"/>
        <v>41.36</v>
      </c>
      <c r="F323" s="211">
        <f>'Studio Rain System'!L328</f>
        <v>20</v>
      </c>
      <c r="G323" s="211">
        <f>'Studio Rain System'!M328</f>
        <v>0.745</v>
      </c>
      <c r="H323" s="206">
        <f>'Flow Rate'!$W$27</f>
        <v>464206.53322409093</v>
      </c>
      <c r="I323" s="178">
        <f>'Ozone-Energy'!H316</f>
        <v>7421165.7142857146</v>
      </c>
      <c r="J323" s="128">
        <f t="shared" si="45"/>
        <v>7.4211657142857144</v>
      </c>
      <c r="K323" s="193">
        <f>'Ozone-Energy'!J316</f>
        <v>206800</v>
      </c>
      <c r="L323" s="43">
        <f t="shared" si="44"/>
        <v>206.8</v>
      </c>
      <c r="M323" s="43">
        <f>'Ozone-Energy'!L316</f>
        <v>413600000</v>
      </c>
      <c r="N323" s="179">
        <f>'Ozone-Energy'!M316</f>
        <v>413.6</v>
      </c>
      <c r="O323" s="43">
        <f>'Ozone-Energy'!N316</f>
        <v>1200</v>
      </c>
      <c r="P323" s="180">
        <f t="shared" si="51"/>
        <v>4.32</v>
      </c>
      <c r="Q323" s="181">
        <f t="shared" si="50"/>
        <v>425.34116571428575</v>
      </c>
      <c r="R323" s="43">
        <f>'Ozone-Energy'!Q316</f>
        <v>0</v>
      </c>
      <c r="S323" s="43">
        <f>'Ozone-Energy'!R316</f>
        <v>0</v>
      </c>
      <c r="T323" s="43">
        <f>'Ozone-Energy'!S316</f>
        <v>0</v>
      </c>
      <c r="U323" s="43"/>
      <c r="V323" s="43"/>
      <c r="W323">
        <f>'Ozone-Energy'!V316</f>
        <v>0</v>
      </c>
      <c r="X323">
        <f>'Ozone-Energy'!W316</f>
        <v>0</v>
      </c>
      <c r="Y323">
        <f>'Ozone-Energy'!X316</f>
        <v>0</v>
      </c>
      <c r="Z323">
        <f>'Ozone-Energy'!Y316</f>
        <v>0</v>
      </c>
      <c r="AA323" s="43"/>
    </row>
    <row r="324" spans="2:27" ht="15">
      <c r="B324" s="60"/>
      <c r="C324">
        <v>307</v>
      </c>
      <c r="D324" s="359">
        <v>35.200000000000003</v>
      </c>
      <c r="E324" s="211">
        <f t="shared" si="43"/>
        <v>38.72</v>
      </c>
      <c r="F324" s="211">
        <f>'Studio Rain System'!L329</f>
        <v>20</v>
      </c>
      <c r="G324" s="211">
        <f>'Studio Rain System'!M329</f>
        <v>0.745</v>
      </c>
      <c r="H324" s="206">
        <f>'Flow Rate'!$W$27</f>
        <v>464206.53322409093</v>
      </c>
      <c r="I324" s="178">
        <f>'Ozone-Energy'!H317</f>
        <v>6947474.2857142864</v>
      </c>
      <c r="J324" s="128">
        <f t="shared" si="45"/>
        <v>6.9474742857142857</v>
      </c>
      <c r="K324" s="193">
        <f>'Ozone-Energy'!J317</f>
        <v>193600</v>
      </c>
      <c r="L324" s="43">
        <f t="shared" si="44"/>
        <v>193.6</v>
      </c>
      <c r="M324" s="43">
        <f>'Ozone-Energy'!L317</f>
        <v>387200000</v>
      </c>
      <c r="N324" s="179">
        <f>'Ozone-Energy'!M317</f>
        <v>387.2</v>
      </c>
      <c r="O324" s="43">
        <f>'Ozone-Energy'!N317</f>
        <v>1200</v>
      </c>
      <c r="P324" s="180">
        <f t="shared" si="51"/>
        <v>4.32</v>
      </c>
      <c r="Q324" s="181">
        <f t="shared" si="50"/>
        <v>398.46747428571427</v>
      </c>
      <c r="R324" s="43">
        <f>'Ozone-Energy'!Q317</f>
        <v>0</v>
      </c>
      <c r="S324" s="43">
        <f>'Ozone-Energy'!R317</f>
        <v>0</v>
      </c>
      <c r="T324" s="43">
        <f>'Ozone-Energy'!S317</f>
        <v>0</v>
      </c>
      <c r="U324" s="43"/>
      <c r="V324" s="43"/>
      <c r="W324">
        <f>'Ozone-Energy'!V317</f>
        <v>0</v>
      </c>
      <c r="X324">
        <f>'Ozone-Energy'!W317</f>
        <v>0</v>
      </c>
      <c r="Y324">
        <f>'Ozone-Energy'!X317</f>
        <v>0</v>
      </c>
      <c r="Z324">
        <f>'Ozone-Energy'!Y317</f>
        <v>0</v>
      </c>
      <c r="AA324" s="43"/>
    </row>
    <row r="325" spans="2:27" ht="15">
      <c r="B325" s="60"/>
      <c r="C325">
        <v>308</v>
      </c>
      <c r="D325" s="359">
        <v>9</v>
      </c>
      <c r="E325" s="211">
        <f t="shared" si="43"/>
        <v>9.8999999999999986</v>
      </c>
      <c r="F325" s="211">
        <f>'Studio Rain System'!L330</f>
        <v>20</v>
      </c>
      <c r="G325" s="211">
        <f>'Studio Rain System'!M330</f>
        <v>0.745</v>
      </c>
      <c r="H325" s="206">
        <f>'Flow Rate'!$W$27</f>
        <v>464206.53322409093</v>
      </c>
      <c r="I325" s="178">
        <f>'Ozone-Energy'!H318</f>
        <v>1776342.8571428568</v>
      </c>
      <c r="J325" s="128">
        <f t="shared" si="45"/>
        <v>1.7763428571428568</v>
      </c>
      <c r="K325" s="193">
        <f>'Ozone-Energy'!J318</f>
        <v>49499.999999999985</v>
      </c>
      <c r="L325" s="43">
        <f t="shared" si="44"/>
        <v>49.499999999999986</v>
      </c>
      <c r="M325" s="43">
        <f>'Ozone-Energy'!L318</f>
        <v>98999999.99999997</v>
      </c>
      <c r="N325" s="179">
        <f>'Ozone-Energy'!M318</f>
        <v>98.999999999999972</v>
      </c>
      <c r="O325" s="43">
        <f>'Ozone-Energy'!N318</f>
        <v>1200</v>
      </c>
      <c r="P325" s="180">
        <f t="shared" si="51"/>
        <v>4.32</v>
      </c>
      <c r="Q325" s="181">
        <f t="shared" si="50"/>
        <v>105.09634285714282</v>
      </c>
      <c r="R325" s="43">
        <f>'Ozone-Energy'!Q318</f>
        <v>0</v>
      </c>
      <c r="S325" s="43">
        <f>'Ozone-Energy'!R318</f>
        <v>0</v>
      </c>
      <c r="T325" s="43">
        <f>'Ozone-Energy'!S318</f>
        <v>0</v>
      </c>
      <c r="U325" s="43"/>
      <c r="V325" s="43"/>
      <c r="W325">
        <f>'Ozone-Energy'!V318</f>
        <v>0</v>
      </c>
      <c r="X325">
        <f>'Ozone-Energy'!W318</f>
        <v>0</v>
      </c>
      <c r="Y325">
        <f>'Ozone-Energy'!X318</f>
        <v>0</v>
      </c>
      <c r="Z325">
        <f>'Ozone-Energy'!Y318</f>
        <v>0</v>
      </c>
      <c r="AA325" s="43"/>
    </row>
    <row r="326" spans="2:27" ht="15">
      <c r="B326" s="60"/>
      <c r="C326">
        <v>309</v>
      </c>
      <c r="D326" s="359">
        <v>4.4000000000000004</v>
      </c>
      <c r="E326" s="211">
        <f t="shared" si="43"/>
        <v>4.84</v>
      </c>
      <c r="F326" s="211">
        <f>'Studio Rain System'!L331</f>
        <v>20</v>
      </c>
      <c r="G326" s="211">
        <f>'Studio Rain System'!M331</f>
        <v>0.745</v>
      </c>
      <c r="H326" s="206">
        <f>'Flow Rate'!$W$27</f>
        <v>464206.53322409093</v>
      </c>
      <c r="I326" s="178">
        <f>'Ozone-Energy'!H319</f>
        <v>868434.2857142858</v>
      </c>
      <c r="J326" s="128">
        <f t="shared" si="45"/>
        <v>0.86843428571428571</v>
      </c>
      <c r="K326" s="193">
        <f>'Ozone-Energy'!J319</f>
        <v>24200</v>
      </c>
      <c r="L326" s="43">
        <f t="shared" si="44"/>
        <v>24.2</v>
      </c>
      <c r="M326" s="43">
        <f>'Ozone-Energy'!L319</f>
        <v>48400000</v>
      </c>
      <c r="N326" s="179">
        <f>'Ozone-Energy'!M319</f>
        <v>48.4</v>
      </c>
      <c r="O326" s="43">
        <f>'Ozone-Energy'!N319</f>
        <v>1200</v>
      </c>
      <c r="P326" s="180">
        <f t="shared" si="51"/>
        <v>4.32</v>
      </c>
      <c r="Q326" s="181">
        <f t="shared" si="50"/>
        <v>53.588434285714285</v>
      </c>
      <c r="R326" s="43">
        <f>'Ozone-Energy'!Q319</f>
        <v>0</v>
      </c>
      <c r="S326" s="43">
        <f>'Ozone-Energy'!R319</f>
        <v>0</v>
      </c>
      <c r="T326" s="43">
        <f>'Ozone-Energy'!S319</f>
        <v>0</v>
      </c>
      <c r="U326" s="43"/>
      <c r="V326" s="43"/>
      <c r="W326">
        <f>'Ozone-Energy'!V319</f>
        <v>0</v>
      </c>
      <c r="X326">
        <f>'Ozone-Energy'!W319</f>
        <v>0</v>
      </c>
      <c r="Y326">
        <f>'Ozone-Energy'!X319</f>
        <v>0</v>
      </c>
      <c r="Z326">
        <f>'Ozone-Energy'!Y319</f>
        <v>0</v>
      </c>
      <c r="AA326" s="43"/>
    </row>
    <row r="327" spans="2:27" ht="15">
      <c r="B327" s="60"/>
      <c r="C327">
        <v>310</v>
      </c>
      <c r="D327" s="359">
        <v>20.2</v>
      </c>
      <c r="E327" s="211">
        <f t="shared" si="43"/>
        <v>22.22</v>
      </c>
      <c r="F327" s="211">
        <f>'Studio Rain System'!L332</f>
        <v>20</v>
      </c>
      <c r="G327" s="211">
        <f>'Studio Rain System'!M332</f>
        <v>0.745</v>
      </c>
      <c r="H327" s="206">
        <f>'Flow Rate'!$W$27</f>
        <v>464206.53322409093</v>
      </c>
      <c r="I327" s="178">
        <f>'Ozone-Energy'!H320</f>
        <v>3986902.8571428573</v>
      </c>
      <c r="J327" s="128">
        <f t="shared" si="45"/>
        <v>3.9869028571428573</v>
      </c>
      <c r="K327" s="193">
        <f>'Ozone-Energy'!J320</f>
        <v>111100</v>
      </c>
      <c r="L327" s="43">
        <f t="shared" si="44"/>
        <v>111.1</v>
      </c>
      <c r="M327" s="43">
        <f>'Ozone-Energy'!L320</f>
        <v>222200000</v>
      </c>
      <c r="N327" s="179">
        <f>'Ozone-Energy'!M320</f>
        <v>222.2</v>
      </c>
      <c r="O327" s="43">
        <f>'Ozone-Energy'!N320</f>
        <v>1200</v>
      </c>
      <c r="P327" s="180">
        <f t="shared" si="51"/>
        <v>4.32</v>
      </c>
      <c r="Q327" s="181">
        <f t="shared" si="50"/>
        <v>230.50690285714285</v>
      </c>
      <c r="R327" s="43">
        <f>'Ozone-Energy'!Q320</f>
        <v>0</v>
      </c>
      <c r="S327" s="43">
        <f>'Ozone-Energy'!R320</f>
        <v>0</v>
      </c>
      <c r="T327" s="43">
        <f>'Ozone-Energy'!S320</f>
        <v>0</v>
      </c>
      <c r="U327" s="43"/>
      <c r="V327" s="43"/>
      <c r="W327">
        <f>'Ozone-Energy'!V320</f>
        <v>0</v>
      </c>
      <c r="X327">
        <f>'Ozone-Energy'!W320</f>
        <v>0</v>
      </c>
      <c r="Y327">
        <f>'Ozone-Energy'!X320</f>
        <v>0</v>
      </c>
      <c r="Z327">
        <f>'Ozone-Energy'!Y320</f>
        <v>0</v>
      </c>
      <c r="AA327" s="43"/>
    </row>
    <row r="328" spans="2:27" ht="15">
      <c r="B328" s="60"/>
      <c r="C328">
        <v>311</v>
      </c>
      <c r="D328" s="359">
        <v>1.4</v>
      </c>
      <c r="E328" s="211">
        <f t="shared" si="43"/>
        <v>1.54</v>
      </c>
      <c r="F328" s="211">
        <f>'Studio Rain System'!L333</f>
        <v>20</v>
      </c>
      <c r="G328" s="211">
        <f>'Studio Rain System'!M333</f>
        <v>0.745</v>
      </c>
      <c r="H328" s="206">
        <f>'Flow Rate'!$W$27</f>
        <v>464206.53322409093</v>
      </c>
      <c r="I328" s="178">
        <f>'Ozone-Energy'!H321</f>
        <v>276320</v>
      </c>
      <c r="J328" s="128">
        <f t="shared" si="45"/>
        <v>0.27632000000000001</v>
      </c>
      <c r="K328" s="193">
        <f>'Ozone-Energy'!J321</f>
        <v>7700</v>
      </c>
      <c r="L328" s="43">
        <f t="shared" si="44"/>
        <v>7.7</v>
      </c>
      <c r="M328" s="43">
        <f>'Ozone-Energy'!L321</f>
        <v>15400000</v>
      </c>
      <c r="N328" s="179">
        <f>'Ozone-Energy'!M321</f>
        <v>15.4</v>
      </c>
      <c r="O328" s="43">
        <f>'Ozone-Energy'!N321</f>
        <v>1200</v>
      </c>
      <c r="P328" s="180">
        <f xml:space="preserve"> O328 * 3600 / 1000000</f>
        <v>4.32</v>
      </c>
      <c r="Q328" s="181">
        <f t="shared" si="50"/>
        <v>19.996320000000001</v>
      </c>
      <c r="R328" s="43">
        <f>'Ozone-Energy'!Q321</f>
        <v>0</v>
      </c>
      <c r="S328" s="43">
        <f>'Ozone-Energy'!R321</f>
        <v>0</v>
      </c>
      <c r="T328" s="43">
        <f>'Ozone-Energy'!S321</f>
        <v>0</v>
      </c>
      <c r="U328" s="43"/>
      <c r="V328" s="43"/>
      <c r="W328">
        <f>'Ozone-Energy'!V321</f>
        <v>0</v>
      </c>
      <c r="X328">
        <f>'Ozone-Energy'!W321</f>
        <v>0</v>
      </c>
      <c r="Y328">
        <f>'Ozone-Energy'!X321</f>
        <v>0</v>
      </c>
      <c r="Z328">
        <f>'Ozone-Energy'!Y321</f>
        <v>0</v>
      </c>
      <c r="AA328" s="43"/>
    </row>
    <row r="329" spans="2:27" ht="15">
      <c r="B329" s="60"/>
      <c r="C329">
        <v>312</v>
      </c>
      <c r="D329" s="359">
        <v>34</v>
      </c>
      <c r="E329" s="211">
        <f t="shared" si="43"/>
        <v>37.400000000000006</v>
      </c>
      <c r="F329" s="211">
        <f>'Studio Rain System'!L334</f>
        <v>20</v>
      </c>
      <c r="G329" s="211">
        <f>'Studio Rain System'!M334</f>
        <v>0.745</v>
      </c>
      <c r="H329" s="206">
        <f>'Flow Rate'!$W$27</f>
        <v>464206.53322409093</v>
      </c>
      <c r="I329" s="178">
        <f>'Ozone-Energy'!H322</f>
        <v>6710628.5714285728</v>
      </c>
      <c r="J329" s="128">
        <f t="shared" si="45"/>
        <v>6.7106285714285727</v>
      </c>
      <c r="K329" s="193">
        <f>'Ozone-Energy'!J322</f>
        <v>187000.00000000006</v>
      </c>
      <c r="L329" s="43">
        <f t="shared" si="44"/>
        <v>187.00000000000006</v>
      </c>
      <c r="M329" s="43">
        <f>'Ozone-Energy'!L322</f>
        <v>374000000.00000012</v>
      </c>
      <c r="N329" s="179">
        <f>'Ozone-Energy'!M322</f>
        <v>374.00000000000011</v>
      </c>
      <c r="O329" s="43">
        <f>'Ozone-Energy'!N322</f>
        <v>1200</v>
      </c>
      <c r="P329" s="180">
        <f t="shared" ref="P329:P337" si="52">O329 * 3600 / 1000000</f>
        <v>4.32</v>
      </c>
      <c r="Q329" s="181">
        <f t="shared" si="50"/>
        <v>385.03062857142868</v>
      </c>
      <c r="R329" s="43">
        <f>'Ozone-Energy'!Q322</f>
        <v>0</v>
      </c>
      <c r="S329" s="43">
        <f>'Ozone-Energy'!R322</f>
        <v>0</v>
      </c>
      <c r="T329" s="43">
        <f>'Ozone-Energy'!S322</f>
        <v>0</v>
      </c>
      <c r="U329" s="43"/>
      <c r="V329" s="43"/>
      <c r="W329">
        <f>'Ozone-Energy'!V322</f>
        <v>0</v>
      </c>
      <c r="X329">
        <f>'Ozone-Energy'!W322</f>
        <v>0</v>
      </c>
      <c r="Y329">
        <f>'Ozone-Energy'!X322</f>
        <v>0</v>
      </c>
      <c r="Z329">
        <f>'Ozone-Energy'!Y322</f>
        <v>0</v>
      </c>
      <c r="AA329" s="43"/>
    </row>
    <row r="330" spans="2:27" ht="15">
      <c r="B330" s="60"/>
      <c r="C330">
        <v>313</v>
      </c>
      <c r="D330" s="359">
        <v>0</v>
      </c>
      <c r="E330" s="211">
        <f t="shared" si="43"/>
        <v>0</v>
      </c>
      <c r="F330" s="211">
        <f>'Studio Rain System'!L335</f>
        <v>19.254999999999999</v>
      </c>
      <c r="G330" s="211">
        <f>'Studio Rain System'!M335</f>
        <v>0.745</v>
      </c>
      <c r="H330" s="206">
        <f>'Flow Rate'!$W$27</f>
        <v>464206.53322409093</v>
      </c>
      <c r="I330" s="178">
        <f>'Ozone-Energy'!H323</f>
        <v>0</v>
      </c>
      <c r="J330" s="128">
        <f t="shared" si="45"/>
        <v>0</v>
      </c>
      <c r="K330" s="193">
        <f>'Ozone-Energy'!J323</f>
        <v>0</v>
      </c>
      <c r="L330" s="43">
        <f t="shared" si="44"/>
        <v>0</v>
      </c>
      <c r="M330" s="43">
        <f>'Ozone-Energy'!L323</f>
        <v>0</v>
      </c>
      <c r="N330" s="179">
        <f>'Ozone-Energy'!M323</f>
        <v>0</v>
      </c>
      <c r="O330" s="43">
        <f>'Ozone-Energy'!N323</f>
        <v>1200</v>
      </c>
      <c r="P330" s="180">
        <f t="shared" si="52"/>
        <v>4.32</v>
      </c>
      <c r="Q330" s="181">
        <f t="shared" si="50"/>
        <v>4.32</v>
      </c>
      <c r="R330" s="43">
        <f>'Ozone-Energy'!Q323</f>
        <v>0</v>
      </c>
      <c r="S330" s="43">
        <f>'Ozone-Energy'!R323</f>
        <v>0</v>
      </c>
      <c r="T330" s="43">
        <f>'Ozone-Energy'!S323</f>
        <v>0</v>
      </c>
      <c r="U330" s="43"/>
      <c r="V330" s="43"/>
      <c r="W330">
        <f>'Ozone-Energy'!V323</f>
        <v>0</v>
      </c>
      <c r="X330">
        <f>'Ozone-Energy'!W323</f>
        <v>0</v>
      </c>
      <c r="Y330">
        <f>'Ozone-Energy'!X323</f>
        <v>0</v>
      </c>
      <c r="Z330">
        <f>'Ozone-Energy'!Y323</f>
        <v>0</v>
      </c>
      <c r="AA330" s="43"/>
    </row>
    <row r="331" spans="2:27" ht="15">
      <c r="B331" s="60"/>
      <c r="C331">
        <v>314</v>
      </c>
      <c r="D331" s="359">
        <v>0</v>
      </c>
      <c r="E331" s="211">
        <f t="shared" si="43"/>
        <v>0</v>
      </c>
      <c r="F331" s="211">
        <f>'Studio Rain System'!L336</f>
        <v>18.509999999999998</v>
      </c>
      <c r="G331" s="211">
        <f>'Studio Rain System'!M336</f>
        <v>0.745</v>
      </c>
      <c r="H331" s="206">
        <f>'Flow Rate'!$W$27</f>
        <v>464206.53322409093</v>
      </c>
      <c r="I331" s="178">
        <f>'Ozone-Energy'!H324</f>
        <v>0</v>
      </c>
      <c r="J331" s="128">
        <f t="shared" si="45"/>
        <v>0</v>
      </c>
      <c r="K331" s="193">
        <f>'Ozone-Energy'!J324</f>
        <v>0</v>
      </c>
      <c r="L331" s="43">
        <f t="shared" si="44"/>
        <v>0</v>
      </c>
      <c r="M331" s="43">
        <f>'Ozone-Energy'!L324</f>
        <v>0</v>
      </c>
      <c r="N331" s="179">
        <f>'Ozone-Energy'!M324</f>
        <v>0</v>
      </c>
      <c r="O331" s="43">
        <f>'Ozone-Energy'!N324</f>
        <v>1200</v>
      </c>
      <c r="P331" s="180">
        <f t="shared" si="52"/>
        <v>4.32</v>
      </c>
      <c r="Q331" s="181">
        <f t="shared" si="50"/>
        <v>4.32</v>
      </c>
      <c r="R331" s="43">
        <f>'Ozone-Energy'!Q324</f>
        <v>0</v>
      </c>
      <c r="S331" s="43">
        <f>'Ozone-Energy'!R324</f>
        <v>0</v>
      </c>
      <c r="T331" s="43">
        <f>'Ozone-Energy'!S324</f>
        <v>0</v>
      </c>
      <c r="U331" s="43"/>
      <c r="V331" s="43"/>
      <c r="W331">
        <f>'Ozone-Energy'!V324</f>
        <v>0</v>
      </c>
      <c r="X331">
        <f>'Ozone-Energy'!W324</f>
        <v>0</v>
      </c>
      <c r="Y331">
        <f>'Ozone-Energy'!X324</f>
        <v>0</v>
      </c>
      <c r="Z331">
        <f>'Ozone-Energy'!Y324</f>
        <v>0</v>
      </c>
      <c r="AA331" s="43"/>
    </row>
    <row r="332" spans="2:27" ht="15">
      <c r="B332" s="60"/>
      <c r="C332">
        <v>315</v>
      </c>
      <c r="D332" s="359">
        <v>0</v>
      </c>
      <c r="E332" s="211">
        <f t="shared" si="43"/>
        <v>0</v>
      </c>
      <c r="F332" s="211">
        <f>'Studio Rain System'!L337</f>
        <v>17.764999999999997</v>
      </c>
      <c r="G332" s="211">
        <f>'Studio Rain System'!M337</f>
        <v>0.745</v>
      </c>
      <c r="H332" s="206">
        <f>'Flow Rate'!$W$27</f>
        <v>464206.53322409093</v>
      </c>
      <c r="I332" s="178">
        <f>'Ozone-Energy'!H325</f>
        <v>0</v>
      </c>
      <c r="J332" s="128">
        <f t="shared" si="45"/>
        <v>0</v>
      </c>
      <c r="K332" s="193">
        <f>'Ozone-Energy'!J325</f>
        <v>0</v>
      </c>
      <c r="L332" s="43">
        <f t="shared" si="44"/>
        <v>0</v>
      </c>
      <c r="M332" s="43">
        <f>'Ozone-Energy'!L325</f>
        <v>0</v>
      </c>
      <c r="N332" s="179">
        <f>'Ozone-Energy'!M325</f>
        <v>0</v>
      </c>
      <c r="O332" s="43">
        <f>'Ozone-Energy'!N325</f>
        <v>1200</v>
      </c>
      <c r="P332" s="180">
        <f t="shared" si="52"/>
        <v>4.32</v>
      </c>
      <c r="Q332" s="181">
        <f t="shared" si="50"/>
        <v>4.32</v>
      </c>
      <c r="R332" s="43">
        <f>'Ozone-Energy'!Q325</f>
        <v>0</v>
      </c>
      <c r="S332" s="43">
        <f>'Ozone-Energy'!R325</f>
        <v>0</v>
      </c>
      <c r="T332" s="43">
        <f>'Ozone-Energy'!S325</f>
        <v>0</v>
      </c>
      <c r="U332" s="43"/>
      <c r="V332" s="43"/>
      <c r="W332">
        <f>'Ozone-Energy'!V325</f>
        <v>0</v>
      </c>
      <c r="X332">
        <f>'Ozone-Energy'!W325</f>
        <v>0</v>
      </c>
      <c r="Y332">
        <f>'Ozone-Energy'!X325</f>
        <v>0</v>
      </c>
      <c r="Z332">
        <f>'Ozone-Energy'!Y325</f>
        <v>0</v>
      </c>
      <c r="AA332" s="43"/>
    </row>
    <row r="333" spans="2:27" ht="15">
      <c r="B333" s="60"/>
      <c r="C333">
        <v>316</v>
      </c>
      <c r="D333" s="359">
        <v>0</v>
      </c>
      <c r="E333" s="211">
        <f t="shared" si="43"/>
        <v>0</v>
      </c>
      <c r="F333" s="211">
        <f>'Studio Rain System'!L338</f>
        <v>17.019999999999996</v>
      </c>
      <c r="G333" s="211">
        <f>'Studio Rain System'!M338</f>
        <v>0.745</v>
      </c>
      <c r="H333" s="206">
        <f>'Flow Rate'!$W$27</f>
        <v>464206.53322409093</v>
      </c>
      <c r="I333" s="178">
        <f>'Ozone-Energy'!H326</f>
        <v>0</v>
      </c>
      <c r="J333" s="128">
        <f t="shared" si="45"/>
        <v>0</v>
      </c>
      <c r="K333" s="193">
        <f>'Ozone-Energy'!J326</f>
        <v>0</v>
      </c>
      <c r="L333" s="43">
        <f t="shared" si="44"/>
        <v>0</v>
      </c>
      <c r="M333" s="43">
        <f>'Ozone-Energy'!L326</f>
        <v>0</v>
      </c>
      <c r="N333" s="179">
        <f>'Ozone-Energy'!M326</f>
        <v>0</v>
      </c>
      <c r="O333" s="43">
        <f>'Ozone-Energy'!N326</f>
        <v>1200</v>
      </c>
      <c r="P333" s="180">
        <f t="shared" si="52"/>
        <v>4.32</v>
      </c>
      <c r="Q333" s="181">
        <f t="shared" si="50"/>
        <v>4.32</v>
      </c>
      <c r="R333" s="43">
        <f>'Ozone-Energy'!Q326</f>
        <v>0</v>
      </c>
      <c r="S333" s="43">
        <f>'Ozone-Energy'!R326</f>
        <v>0</v>
      </c>
      <c r="T333" s="43">
        <f>'Ozone-Energy'!S326</f>
        <v>0</v>
      </c>
      <c r="U333" s="43"/>
      <c r="V333" s="43"/>
      <c r="W333">
        <f>'Ozone-Energy'!V326</f>
        <v>0</v>
      </c>
      <c r="X333">
        <f>'Ozone-Energy'!W326</f>
        <v>0</v>
      </c>
      <c r="Y333">
        <f>'Ozone-Energy'!X326</f>
        <v>0</v>
      </c>
      <c r="Z333">
        <f>'Ozone-Energy'!Y326</f>
        <v>0</v>
      </c>
      <c r="AA333" s="43"/>
    </row>
    <row r="334" spans="2:27" ht="15">
      <c r="B334" s="60"/>
      <c r="C334">
        <v>317</v>
      </c>
      <c r="D334" s="359">
        <v>0</v>
      </c>
      <c r="E334" s="211">
        <f t="shared" si="43"/>
        <v>0</v>
      </c>
      <c r="F334" s="211">
        <f>'Studio Rain System'!L339</f>
        <v>16.274999999999995</v>
      </c>
      <c r="G334" s="211">
        <f>'Studio Rain System'!M339</f>
        <v>0.745</v>
      </c>
      <c r="H334" s="206">
        <f>'Flow Rate'!$W$27</f>
        <v>464206.53322409093</v>
      </c>
      <c r="I334" s="178">
        <f>'Ozone-Energy'!H327</f>
        <v>0</v>
      </c>
      <c r="J334" s="128">
        <f t="shared" si="45"/>
        <v>0</v>
      </c>
      <c r="K334" s="193">
        <f>'Ozone-Energy'!J327</f>
        <v>0</v>
      </c>
      <c r="L334" s="43">
        <f t="shared" si="44"/>
        <v>0</v>
      </c>
      <c r="M334" s="43">
        <f>'Ozone-Energy'!L327</f>
        <v>0</v>
      </c>
      <c r="N334" s="179">
        <f>'Ozone-Energy'!M327</f>
        <v>0</v>
      </c>
      <c r="O334" s="43">
        <f>'Ozone-Energy'!N327</f>
        <v>1200</v>
      </c>
      <c r="P334" s="180">
        <f t="shared" si="52"/>
        <v>4.32</v>
      </c>
      <c r="Q334" s="181">
        <f t="shared" si="50"/>
        <v>4.32</v>
      </c>
      <c r="R334" s="43">
        <f>'Ozone-Energy'!Q327</f>
        <v>0</v>
      </c>
      <c r="S334" s="43">
        <f>'Ozone-Energy'!R327</f>
        <v>0</v>
      </c>
      <c r="T334" s="43">
        <f>'Ozone-Energy'!S327</f>
        <v>0</v>
      </c>
      <c r="U334" s="43"/>
      <c r="V334" s="43"/>
      <c r="W334">
        <f>'Ozone-Energy'!V327</f>
        <v>0</v>
      </c>
      <c r="X334">
        <f>'Ozone-Energy'!W327</f>
        <v>0</v>
      </c>
      <c r="Y334">
        <f>'Ozone-Energy'!X327</f>
        <v>0</v>
      </c>
      <c r="Z334">
        <f>'Ozone-Energy'!Y327</f>
        <v>0</v>
      </c>
      <c r="AA334" s="43"/>
    </row>
    <row r="335" spans="2:27" ht="15">
      <c r="B335" s="60"/>
      <c r="C335">
        <v>318</v>
      </c>
      <c r="D335" s="359">
        <v>0</v>
      </c>
      <c r="E335" s="211">
        <f t="shared" si="43"/>
        <v>0</v>
      </c>
      <c r="F335" s="211">
        <f>'Studio Rain System'!L340</f>
        <v>15.529999999999996</v>
      </c>
      <c r="G335" s="211">
        <f>'Studio Rain System'!M340</f>
        <v>0.745</v>
      </c>
      <c r="H335" s="206">
        <f>'Flow Rate'!$W$27</f>
        <v>464206.53322409093</v>
      </c>
      <c r="I335" s="178">
        <f>'Ozone-Energy'!H328</f>
        <v>0</v>
      </c>
      <c r="J335" s="128">
        <f t="shared" si="45"/>
        <v>0</v>
      </c>
      <c r="K335" s="193">
        <f>'Ozone-Energy'!J328</f>
        <v>0</v>
      </c>
      <c r="L335" s="43">
        <f t="shared" si="44"/>
        <v>0</v>
      </c>
      <c r="M335" s="43">
        <f>'Ozone-Energy'!L328</f>
        <v>0</v>
      </c>
      <c r="N335" s="179">
        <f>'Ozone-Energy'!M328</f>
        <v>0</v>
      </c>
      <c r="O335" s="43">
        <f>'Ozone-Energy'!N328</f>
        <v>1200</v>
      </c>
      <c r="P335" s="180">
        <f t="shared" si="52"/>
        <v>4.32</v>
      </c>
      <c r="Q335" s="181">
        <f t="shared" si="50"/>
        <v>4.32</v>
      </c>
      <c r="R335" s="43">
        <f>'Ozone-Energy'!Q328</f>
        <v>0</v>
      </c>
      <c r="S335" s="43">
        <f>'Ozone-Energy'!R328</f>
        <v>0</v>
      </c>
      <c r="T335" s="43">
        <f>'Ozone-Energy'!S328</f>
        <v>0</v>
      </c>
      <c r="U335" s="43"/>
      <c r="V335" s="43"/>
      <c r="W335">
        <f>'Ozone-Energy'!V328</f>
        <v>0</v>
      </c>
      <c r="X335">
        <f>'Ozone-Energy'!W328</f>
        <v>0</v>
      </c>
      <c r="Y335">
        <f>'Ozone-Energy'!X328</f>
        <v>0</v>
      </c>
      <c r="Z335">
        <f>'Ozone-Energy'!Y328</f>
        <v>0</v>
      </c>
      <c r="AA335" s="43"/>
    </row>
    <row r="336" spans="2:27" ht="15">
      <c r="B336" s="60"/>
      <c r="C336">
        <v>319</v>
      </c>
      <c r="D336" s="359">
        <v>0</v>
      </c>
      <c r="E336" s="211">
        <f t="shared" si="43"/>
        <v>0</v>
      </c>
      <c r="F336" s="211">
        <f>'Studio Rain System'!L341</f>
        <v>14.784999999999997</v>
      </c>
      <c r="G336" s="211">
        <f>'Studio Rain System'!M341</f>
        <v>0.745</v>
      </c>
      <c r="H336" s="206">
        <f>'Flow Rate'!$W$27</f>
        <v>464206.53322409093</v>
      </c>
      <c r="I336" s="178">
        <f>'Ozone-Energy'!H329</f>
        <v>0</v>
      </c>
      <c r="J336" s="128">
        <f t="shared" si="45"/>
        <v>0</v>
      </c>
      <c r="K336" s="193">
        <f>'Ozone-Energy'!J329</f>
        <v>0</v>
      </c>
      <c r="L336" s="43">
        <f t="shared" si="44"/>
        <v>0</v>
      </c>
      <c r="M336" s="43">
        <f>'Ozone-Energy'!L329</f>
        <v>0</v>
      </c>
      <c r="N336" s="179">
        <f>'Ozone-Energy'!M329</f>
        <v>0</v>
      </c>
      <c r="O336" s="43">
        <f>'Ozone-Energy'!N329</f>
        <v>1200</v>
      </c>
      <c r="P336" s="180">
        <f t="shared" si="52"/>
        <v>4.32</v>
      </c>
      <c r="Q336" s="181">
        <f t="shared" si="50"/>
        <v>4.32</v>
      </c>
      <c r="R336" s="43">
        <f>'Ozone-Energy'!Q329</f>
        <v>0</v>
      </c>
      <c r="S336" s="43">
        <f>'Ozone-Energy'!R329</f>
        <v>0</v>
      </c>
      <c r="T336" s="43">
        <f>'Ozone-Energy'!S329</f>
        <v>0</v>
      </c>
      <c r="U336" s="43"/>
      <c r="V336" s="43"/>
      <c r="W336">
        <f>'Ozone-Energy'!V329</f>
        <v>0</v>
      </c>
      <c r="X336">
        <f>'Ozone-Energy'!W329</f>
        <v>0</v>
      </c>
      <c r="Y336">
        <f>'Ozone-Energy'!X329</f>
        <v>0</v>
      </c>
      <c r="Z336">
        <f>'Ozone-Energy'!Y329</f>
        <v>0</v>
      </c>
      <c r="AA336" s="43"/>
    </row>
    <row r="337" spans="2:27" ht="15">
      <c r="B337" s="60"/>
      <c r="C337">
        <v>320</v>
      </c>
      <c r="D337" s="359">
        <v>0</v>
      </c>
      <c r="E337" s="211">
        <f t="shared" si="43"/>
        <v>0</v>
      </c>
      <c r="F337" s="211">
        <f>'Studio Rain System'!L342</f>
        <v>14.039999999999997</v>
      </c>
      <c r="G337" s="211">
        <f>'Studio Rain System'!M342</f>
        <v>0.745</v>
      </c>
      <c r="H337" s="206">
        <f>'Flow Rate'!$W$27</f>
        <v>464206.53322409093</v>
      </c>
      <c r="I337" s="178">
        <f>'Ozone-Energy'!H330</f>
        <v>0</v>
      </c>
      <c r="J337" s="128">
        <f t="shared" si="45"/>
        <v>0</v>
      </c>
      <c r="K337" s="193">
        <f>'Ozone-Energy'!J330</f>
        <v>0</v>
      </c>
      <c r="L337" s="43">
        <f t="shared" si="44"/>
        <v>0</v>
      </c>
      <c r="M337" s="43">
        <f>'Ozone-Energy'!L330</f>
        <v>0</v>
      </c>
      <c r="N337" s="179">
        <f>'Ozone-Energy'!M330</f>
        <v>0</v>
      </c>
      <c r="O337" s="43">
        <f>'Ozone-Energy'!N330</f>
        <v>1200</v>
      </c>
      <c r="P337" s="180">
        <f t="shared" si="52"/>
        <v>4.32</v>
      </c>
      <c r="Q337" s="181">
        <f t="shared" si="50"/>
        <v>4.32</v>
      </c>
      <c r="R337" s="43">
        <f>'Ozone-Energy'!Q330</f>
        <v>0</v>
      </c>
      <c r="S337" s="43">
        <f>'Ozone-Energy'!R330</f>
        <v>0</v>
      </c>
      <c r="T337" s="43">
        <f>'Ozone-Energy'!S330</f>
        <v>0</v>
      </c>
      <c r="U337" s="43"/>
      <c r="V337" s="43"/>
      <c r="W337">
        <f>'Ozone-Energy'!V330</f>
        <v>0</v>
      </c>
      <c r="X337">
        <f>'Ozone-Energy'!W330</f>
        <v>0</v>
      </c>
      <c r="Y337">
        <f>'Ozone-Energy'!X330</f>
        <v>0</v>
      </c>
      <c r="Z337">
        <f>'Ozone-Energy'!Y330</f>
        <v>0</v>
      </c>
      <c r="AA337" s="43"/>
    </row>
    <row r="338" spans="2:27" ht="15">
      <c r="B338" s="60"/>
      <c r="C338">
        <v>321</v>
      </c>
      <c r="D338" s="359">
        <v>0</v>
      </c>
      <c r="E338" s="211">
        <f t="shared" ref="E338:E382" si="53">(D338/1000)*$J$7</f>
        <v>0</v>
      </c>
      <c r="F338" s="211">
        <f>'Studio Rain System'!L343</f>
        <v>13.294999999999998</v>
      </c>
      <c r="G338" s="211">
        <f>'Studio Rain System'!M343</f>
        <v>0.745</v>
      </c>
      <c r="H338" s="206">
        <f>'Flow Rate'!$W$27</f>
        <v>464206.53322409093</v>
      </c>
      <c r="I338" s="178">
        <f>'Ozone-Energy'!H331</f>
        <v>0</v>
      </c>
      <c r="J338" s="128">
        <f t="shared" si="45"/>
        <v>0</v>
      </c>
      <c r="K338" s="193">
        <f>'Ozone-Energy'!J331</f>
        <v>0</v>
      </c>
      <c r="L338" s="43">
        <f t="shared" ref="L338:L382" si="54">K338/1000</f>
        <v>0</v>
      </c>
      <c r="M338" s="43">
        <f>'Ozone-Energy'!L331</f>
        <v>0</v>
      </c>
      <c r="N338" s="179">
        <f>'Ozone-Energy'!M331</f>
        <v>0</v>
      </c>
      <c r="O338" s="43">
        <f>'Ozone-Energy'!N331</f>
        <v>1200</v>
      </c>
      <c r="P338" s="180">
        <f xml:space="preserve"> O338 * 3600 / 1000000</f>
        <v>4.32</v>
      </c>
      <c r="Q338" s="181">
        <f t="shared" si="50"/>
        <v>4.32</v>
      </c>
      <c r="R338" s="43">
        <f>'Ozone-Energy'!Q331</f>
        <v>0</v>
      </c>
      <c r="S338" s="43">
        <f>'Ozone-Energy'!R331</f>
        <v>0</v>
      </c>
      <c r="T338" s="43">
        <f>'Ozone-Energy'!S331</f>
        <v>0</v>
      </c>
      <c r="U338" s="43"/>
      <c r="V338" s="43"/>
      <c r="W338">
        <f>'Ozone-Energy'!V331</f>
        <v>0</v>
      </c>
      <c r="X338">
        <f>'Ozone-Energy'!W331</f>
        <v>0</v>
      </c>
      <c r="Y338">
        <f>'Ozone-Energy'!X331</f>
        <v>0</v>
      </c>
      <c r="Z338">
        <f>'Ozone-Energy'!Y331</f>
        <v>0</v>
      </c>
      <c r="AA338" s="43"/>
    </row>
    <row r="339" spans="2:27" ht="15">
      <c r="B339" s="60"/>
      <c r="C339">
        <v>322</v>
      </c>
      <c r="D339" s="359">
        <v>0</v>
      </c>
      <c r="E339" s="211">
        <f t="shared" si="53"/>
        <v>0</v>
      </c>
      <c r="F339" s="211">
        <f>'Studio Rain System'!L344</f>
        <v>12.549999999999999</v>
      </c>
      <c r="G339" s="211">
        <f>'Studio Rain System'!M344</f>
        <v>0.745</v>
      </c>
      <c r="H339" s="206">
        <f>'Flow Rate'!$W$27</f>
        <v>464206.53322409093</v>
      </c>
      <c r="I339" s="178">
        <f>'Ozone-Energy'!H332</f>
        <v>0</v>
      </c>
      <c r="J339" s="128">
        <f t="shared" ref="J339:J382" si="55">I339 * 10^(-6)</f>
        <v>0</v>
      </c>
      <c r="K339" s="193">
        <f>'Ozone-Energy'!J332</f>
        <v>0</v>
      </c>
      <c r="L339" s="43">
        <f t="shared" si="54"/>
        <v>0</v>
      </c>
      <c r="M339" s="43">
        <f>'Ozone-Energy'!L332</f>
        <v>0</v>
      </c>
      <c r="N339" s="179">
        <f>'Ozone-Energy'!M332</f>
        <v>0</v>
      </c>
      <c r="O339" s="43">
        <f>'Ozone-Energy'!N332</f>
        <v>1200</v>
      </c>
      <c r="P339" s="180">
        <f t="shared" ref="P339:P347" si="56">O339 * 3600 / 1000000</f>
        <v>4.32</v>
      </c>
      <c r="Q339" s="181">
        <f t="shared" si="50"/>
        <v>4.32</v>
      </c>
      <c r="R339" s="43">
        <f>'Ozone-Energy'!Q332</f>
        <v>0</v>
      </c>
      <c r="S339" s="43">
        <f>'Ozone-Energy'!R332</f>
        <v>0</v>
      </c>
      <c r="T339" s="43">
        <f>'Ozone-Energy'!S332</f>
        <v>0</v>
      </c>
      <c r="U339" s="43"/>
      <c r="V339" s="43"/>
      <c r="W339">
        <f>'Ozone-Energy'!V332</f>
        <v>0</v>
      </c>
      <c r="X339">
        <f>'Ozone-Energy'!W332</f>
        <v>0</v>
      </c>
      <c r="Y339">
        <f>'Ozone-Energy'!X332</f>
        <v>0</v>
      </c>
      <c r="Z339">
        <f>'Ozone-Energy'!Y332</f>
        <v>0</v>
      </c>
      <c r="AA339" s="43"/>
    </row>
    <row r="340" spans="2:27" ht="15">
      <c r="B340" s="60"/>
      <c r="C340">
        <v>323</v>
      </c>
      <c r="D340" s="359">
        <v>3.4</v>
      </c>
      <c r="E340" s="211">
        <f t="shared" si="53"/>
        <v>3.7399999999999998</v>
      </c>
      <c r="F340" s="211">
        <f>'Studio Rain System'!L345</f>
        <v>15.545</v>
      </c>
      <c r="G340" s="211">
        <f>'Studio Rain System'!M345</f>
        <v>0.745</v>
      </c>
      <c r="H340" s="206">
        <f>'Flow Rate'!$W$27</f>
        <v>464206.53322409093</v>
      </c>
      <c r="I340" s="178">
        <f>'Ozone-Energy'!H333</f>
        <v>671062.85714285716</v>
      </c>
      <c r="J340" s="128">
        <f t="shared" si="55"/>
        <v>0.67106285714285718</v>
      </c>
      <c r="K340" s="193">
        <f>'Ozone-Energy'!J333</f>
        <v>18699.999999999996</v>
      </c>
      <c r="L340" s="43">
        <f t="shared" si="54"/>
        <v>18.699999999999996</v>
      </c>
      <c r="M340" s="43">
        <f>'Ozone-Energy'!L333</f>
        <v>37399999.999999993</v>
      </c>
      <c r="N340" s="179">
        <f>'Ozone-Energy'!M333</f>
        <v>37.399999999999991</v>
      </c>
      <c r="O340" s="43">
        <f>'Ozone-Energy'!N333</f>
        <v>1200</v>
      </c>
      <c r="P340" s="180">
        <f t="shared" si="56"/>
        <v>4.32</v>
      </c>
      <c r="Q340" s="181">
        <f t="shared" si="50"/>
        <v>42.391062857142849</v>
      </c>
      <c r="R340" s="43">
        <f>'Ozone-Energy'!Q333</f>
        <v>0</v>
      </c>
      <c r="S340" s="43">
        <f>'Ozone-Energy'!R333</f>
        <v>0</v>
      </c>
      <c r="T340" s="43">
        <f>'Ozone-Energy'!S333</f>
        <v>0</v>
      </c>
      <c r="U340" s="43"/>
      <c r="V340" s="43"/>
      <c r="W340">
        <f>'Ozone-Energy'!V333</f>
        <v>0</v>
      </c>
      <c r="X340">
        <f>'Ozone-Energy'!W333</f>
        <v>0</v>
      </c>
      <c r="Y340">
        <f>'Ozone-Energy'!X333</f>
        <v>0</v>
      </c>
      <c r="Z340">
        <f>'Ozone-Energy'!Y333</f>
        <v>0</v>
      </c>
      <c r="AA340" s="43"/>
    </row>
    <row r="341" spans="2:27" ht="15">
      <c r="B341" s="60"/>
      <c r="C341">
        <v>324</v>
      </c>
      <c r="D341" s="359">
        <v>29.4</v>
      </c>
      <c r="E341" s="211">
        <f t="shared" si="53"/>
        <v>32.339999999999996</v>
      </c>
      <c r="F341" s="211">
        <f>'Studio Rain System'!L346</f>
        <v>20</v>
      </c>
      <c r="G341" s="211">
        <f>'Studio Rain System'!M346</f>
        <v>0.745</v>
      </c>
      <c r="H341" s="206">
        <f>'Flow Rate'!$W$27</f>
        <v>464206.53322409093</v>
      </c>
      <c r="I341" s="178">
        <f>'Ozone-Energy'!H334</f>
        <v>5802720</v>
      </c>
      <c r="J341" s="128">
        <f t="shared" si="55"/>
        <v>5.8027199999999999</v>
      </c>
      <c r="K341" s="193">
        <f>'Ozone-Energy'!J334</f>
        <v>161699.99999999997</v>
      </c>
      <c r="L341" s="43">
        <f t="shared" si="54"/>
        <v>161.69999999999996</v>
      </c>
      <c r="M341" s="43">
        <f>'Ozone-Energy'!L334</f>
        <v>323399999.99999994</v>
      </c>
      <c r="N341" s="179">
        <f>'Ozone-Energy'!M334</f>
        <v>323.39999999999992</v>
      </c>
      <c r="O341" s="43">
        <f>'Ozone-Energy'!N334</f>
        <v>1200</v>
      </c>
      <c r="P341" s="180">
        <f t="shared" si="56"/>
        <v>4.32</v>
      </c>
      <c r="Q341" s="181">
        <f t="shared" si="50"/>
        <v>333.52271999999994</v>
      </c>
      <c r="R341" s="43">
        <f>'Ozone-Energy'!Q334</f>
        <v>0</v>
      </c>
      <c r="S341" s="43">
        <f>'Ozone-Energy'!R334</f>
        <v>0</v>
      </c>
      <c r="T341" s="43">
        <f>'Ozone-Energy'!S334</f>
        <v>0</v>
      </c>
      <c r="U341" s="43"/>
      <c r="V341" s="43"/>
      <c r="W341">
        <f>'Ozone-Energy'!V334</f>
        <v>0</v>
      </c>
      <c r="X341">
        <f>'Ozone-Energy'!W334</f>
        <v>0</v>
      </c>
      <c r="Y341">
        <f>'Ozone-Energy'!X334</f>
        <v>0</v>
      </c>
      <c r="Z341">
        <f>'Ozone-Energy'!Y334</f>
        <v>0</v>
      </c>
      <c r="AA341" s="43"/>
    </row>
    <row r="342" spans="2:27" ht="15">
      <c r="B342" s="60"/>
      <c r="C342">
        <v>325</v>
      </c>
      <c r="D342" s="359">
        <v>32.799999999999997</v>
      </c>
      <c r="E342" s="211">
        <f t="shared" si="53"/>
        <v>36.08</v>
      </c>
      <c r="F342" s="211">
        <f>'Studio Rain System'!L347</f>
        <v>20</v>
      </c>
      <c r="G342" s="211">
        <f>'Studio Rain System'!M347</f>
        <v>0.745</v>
      </c>
      <c r="H342" s="206">
        <f>'Flow Rate'!$W$27</f>
        <v>464206.53322409093</v>
      </c>
      <c r="I342" s="178">
        <f>'Ozone-Energy'!H335</f>
        <v>6473782.8571428573</v>
      </c>
      <c r="J342" s="128">
        <f t="shared" si="55"/>
        <v>6.4737828571428571</v>
      </c>
      <c r="K342" s="193">
        <f>'Ozone-Energy'!J335</f>
        <v>180400</v>
      </c>
      <c r="L342" s="43">
        <f t="shared" si="54"/>
        <v>180.4</v>
      </c>
      <c r="M342" s="43">
        <f>'Ozone-Energy'!L335</f>
        <v>360800000</v>
      </c>
      <c r="N342" s="179">
        <f>'Ozone-Energy'!M335</f>
        <v>360.8</v>
      </c>
      <c r="O342" s="43">
        <f>'Ozone-Energy'!N335</f>
        <v>1200</v>
      </c>
      <c r="P342" s="180">
        <f t="shared" si="56"/>
        <v>4.32</v>
      </c>
      <c r="Q342" s="181">
        <f t="shared" si="50"/>
        <v>371.59378285714286</v>
      </c>
      <c r="R342" s="43">
        <f>'Ozone-Energy'!Q335</f>
        <v>0</v>
      </c>
      <c r="S342" s="43">
        <f>'Ozone-Energy'!R335</f>
        <v>0</v>
      </c>
      <c r="T342" s="43">
        <f>'Ozone-Energy'!S335</f>
        <v>0</v>
      </c>
      <c r="U342" s="43"/>
      <c r="V342" s="43"/>
      <c r="W342">
        <f>'Ozone-Energy'!V335</f>
        <v>0</v>
      </c>
      <c r="X342">
        <f>'Ozone-Energy'!W335</f>
        <v>0</v>
      </c>
      <c r="Y342">
        <f>'Ozone-Energy'!X335</f>
        <v>0</v>
      </c>
      <c r="Z342">
        <f>'Ozone-Energy'!Y335</f>
        <v>0</v>
      </c>
      <c r="AA342" s="43"/>
    </row>
    <row r="343" spans="2:27" ht="15">
      <c r="B343" s="60"/>
      <c r="C343">
        <v>326</v>
      </c>
      <c r="D343" s="359">
        <v>25.6</v>
      </c>
      <c r="E343" s="211">
        <f t="shared" si="53"/>
        <v>28.16</v>
      </c>
      <c r="F343" s="211">
        <f>'Studio Rain System'!L348</f>
        <v>20</v>
      </c>
      <c r="G343" s="211">
        <f>'Studio Rain System'!M348</f>
        <v>0.745</v>
      </c>
      <c r="H343" s="206">
        <f>'Flow Rate'!$W$27</f>
        <v>464206.53322409093</v>
      </c>
      <c r="I343" s="178">
        <f>'Ozone-Energy'!H336</f>
        <v>5052708.5714285718</v>
      </c>
      <c r="J343" s="128">
        <f t="shared" si="55"/>
        <v>5.052708571428572</v>
      </c>
      <c r="K343" s="193">
        <f>'Ozone-Energy'!J336</f>
        <v>140800</v>
      </c>
      <c r="L343" s="43">
        <f t="shared" si="54"/>
        <v>140.80000000000001</v>
      </c>
      <c r="M343" s="43">
        <f>'Ozone-Energy'!L336</f>
        <v>281600000</v>
      </c>
      <c r="N343" s="179">
        <f>'Ozone-Energy'!M336</f>
        <v>281.60000000000002</v>
      </c>
      <c r="O343" s="43">
        <f>'Ozone-Energy'!N336</f>
        <v>1200</v>
      </c>
      <c r="P343" s="180">
        <f t="shared" si="56"/>
        <v>4.32</v>
      </c>
      <c r="Q343" s="181">
        <f t="shared" si="50"/>
        <v>290.9727085714286</v>
      </c>
      <c r="R343" s="43">
        <f>'Ozone-Energy'!Q336</f>
        <v>0</v>
      </c>
      <c r="S343" s="43">
        <f>'Ozone-Energy'!R336</f>
        <v>0</v>
      </c>
      <c r="T343" s="43">
        <f>'Ozone-Energy'!S336</f>
        <v>0</v>
      </c>
      <c r="U343" s="43"/>
      <c r="V343" s="43"/>
      <c r="W343">
        <f>'Ozone-Energy'!V336</f>
        <v>0</v>
      </c>
      <c r="X343">
        <f>'Ozone-Energy'!W336</f>
        <v>0</v>
      </c>
      <c r="Y343">
        <f>'Ozone-Energy'!X336</f>
        <v>0</v>
      </c>
      <c r="Z343">
        <f>'Ozone-Energy'!Y336</f>
        <v>0</v>
      </c>
      <c r="AA343" s="43"/>
    </row>
    <row r="344" spans="2:27" ht="15">
      <c r="B344" s="60"/>
      <c r="C344">
        <v>327</v>
      </c>
      <c r="D344" s="359">
        <v>15.2</v>
      </c>
      <c r="E344" s="211">
        <f t="shared" si="53"/>
        <v>16.72</v>
      </c>
      <c r="F344" s="211">
        <f>'Studio Rain System'!L349</f>
        <v>20</v>
      </c>
      <c r="G344" s="211">
        <f>'Studio Rain System'!M349</f>
        <v>0.745</v>
      </c>
      <c r="H344" s="206">
        <f>'Flow Rate'!$W$27</f>
        <v>464206.53322409093</v>
      </c>
      <c r="I344" s="178">
        <f>'Ozone-Energy'!H337</f>
        <v>3000045.7142857146</v>
      </c>
      <c r="J344" s="128">
        <f t="shared" si="55"/>
        <v>3.0000457142857142</v>
      </c>
      <c r="K344" s="193">
        <f>'Ozone-Energy'!J337</f>
        <v>83600</v>
      </c>
      <c r="L344" s="43">
        <f t="shared" si="54"/>
        <v>83.6</v>
      </c>
      <c r="M344" s="43">
        <f>'Ozone-Energy'!L337</f>
        <v>167200000</v>
      </c>
      <c r="N344" s="179">
        <f>'Ozone-Energy'!M337</f>
        <v>167.2</v>
      </c>
      <c r="O344" s="43">
        <f>'Ozone-Energy'!N337</f>
        <v>1200</v>
      </c>
      <c r="P344" s="180">
        <f t="shared" si="56"/>
        <v>4.32</v>
      </c>
      <c r="Q344" s="181">
        <f t="shared" si="50"/>
        <v>174.52004571428569</v>
      </c>
      <c r="R344" s="43">
        <f>'Ozone-Energy'!Q337</f>
        <v>0</v>
      </c>
      <c r="S344" s="43">
        <f>'Ozone-Energy'!R337</f>
        <v>0</v>
      </c>
      <c r="T344" s="43">
        <f>'Ozone-Energy'!S337</f>
        <v>0</v>
      </c>
      <c r="U344" s="43"/>
      <c r="V344" s="43"/>
      <c r="W344">
        <f>'Ozone-Energy'!V337</f>
        <v>0</v>
      </c>
      <c r="X344">
        <f>'Ozone-Energy'!W337</f>
        <v>0</v>
      </c>
      <c r="Y344">
        <f>'Ozone-Energy'!X337</f>
        <v>0</v>
      </c>
      <c r="Z344">
        <f>'Ozone-Energy'!Y337</f>
        <v>0</v>
      </c>
      <c r="AA344" s="43"/>
    </row>
    <row r="345" spans="2:27" ht="15">
      <c r="B345" s="60"/>
      <c r="C345">
        <v>328</v>
      </c>
      <c r="D345" s="359">
        <v>60.6</v>
      </c>
      <c r="E345" s="211">
        <f t="shared" si="53"/>
        <v>66.66</v>
      </c>
      <c r="F345" s="211">
        <f>'Studio Rain System'!L350</f>
        <v>20</v>
      </c>
      <c r="G345" s="211">
        <f>'Studio Rain System'!M350</f>
        <v>0.745</v>
      </c>
      <c r="H345" s="206">
        <f>'Flow Rate'!$W$27</f>
        <v>464206.53322409093</v>
      </c>
      <c r="I345" s="178">
        <f>'Ozone-Energy'!H338</f>
        <v>11960708.571428573</v>
      </c>
      <c r="J345" s="128">
        <f t="shared" si="55"/>
        <v>11.960708571428572</v>
      </c>
      <c r="K345" s="193">
        <f>'Ozone-Energy'!J338</f>
        <v>333300</v>
      </c>
      <c r="L345" s="43">
        <f t="shared" si="54"/>
        <v>333.3</v>
      </c>
      <c r="M345" s="43">
        <f>'Ozone-Energy'!L338</f>
        <v>666600000</v>
      </c>
      <c r="N345" s="179">
        <f>'Ozone-Energy'!M338</f>
        <v>666.6</v>
      </c>
      <c r="O345" s="43">
        <f>'Ozone-Energy'!N338</f>
        <v>1200</v>
      </c>
      <c r="P345" s="180">
        <f t="shared" si="56"/>
        <v>4.32</v>
      </c>
      <c r="Q345" s="181">
        <f t="shared" si="50"/>
        <v>682.88070857142861</v>
      </c>
      <c r="R345" s="43">
        <f>'Ozone-Energy'!Q338</f>
        <v>0</v>
      </c>
      <c r="S345" s="43">
        <f>'Ozone-Energy'!R338</f>
        <v>0</v>
      </c>
      <c r="T345" s="43">
        <f>'Ozone-Energy'!S338</f>
        <v>0</v>
      </c>
      <c r="U345" s="43"/>
      <c r="V345" s="43"/>
      <c r="W345">
        <f>'Ozone-Energy'!V338</f>
        <v>0</v>
      </c>
      <c r="X345">
        <f>'Ozone-Energy'!W338</f>
        <v>0</v>
      </c>
      <c r="Y345">
        <f>'Ozone-Energy'!X338</f>
        <v>0</v>
      </c>
      <c r="Z345">
        <f>'Ozone-Energy'!Y338</f>
        <v>0</v>
      </c>
      <c r="AA345" s="43"/>
    </row>
    <row r="346" spans="2:27" ht="15">
      <c r="B346" s="60"/>
      <c r="C346">
        <v>329</v>
      </c>
      <c r="D346" s="359">
        <v>15</v>
      </c>
      <c r="E346" s="211">
        <f t="shared" si="53"/>
        <v>16.5</v>
      </c>
      <c r="F346" s="211">
        <f>'Studio Rain System'!L351</f>
        <v>20</v>
      </c>
      <c r="G346" s="211">
        <f>'Studio Rain System'!M351</f>
        <v>0.745</v>
      </c>
      <c r="H346" s="206">
        <f>'Flow Rate'!$W$27</f>
        <v>464206.53322409093</v>
      </c>
      <c r="I346" s="178">
        <f>'Ozone-Energy'!H339</f>
        <v>2960571.4285714286</v>
      </c>
      <c r="J346" s="128">
        <f t="shared" si="55"/>
        <v>2.9605714285714284</v>
      </c>
      <c r="K346" s="193">
        <f>'Ozone-Energy'!J339</f>
        <v>82500</v>
      </c>
      <c r="L346" s="43">
        <f t="shared" si="54"/>
        <v>82.5</v>
      </c>
      <c r="M346" s="43">
        <f>'Ozone-Energy'!L339</f>
        <v>165000000</v>
      </c>
      <c r="N346" s="179">
        <f>'Ozone-Energy'!M339</f>
        <v>165</v>
      </c>
      <c r="O346" s="43">
        <f>'Ozone-Energy'!N339</f>
        <v>1200</v>
      </c>
      <c r="P346" s="180">
        <f t="shared" si="56"/>
        <v>4.32</v>
      </c>
      <c r="Q346" s="181">
        <f t="shared" si="50"/>
        <v>172.28057142857142</v>
      </c>
      <c r="R346" s="43">
        <f>'Ozone-Energy'!Q339</f>
        <v>0</v>
      </c>
      <c r="S346" s="43">
        <f>'Ozone-Energy'!R339</f>
        <v>0</v>
      </c>
      <c r="T346" s="43">
        <f>'Ozone-Energy'!S339</f>
        <v>0</v>
      </c>
      <c r="U346" s="43"/>
      <c r="V346" s="43"/>
      <c r="W346">
        <f>'Ozone-Energy'!V339</f>
        <v>0</v>
      </c>
      <c r="X346">
        <f>'Ozone-Energy'!W339</f>
        <v>0</v>
      </c>
      <c r="Y346">
        <f>'Ozone-Energy'!X339</f>
        <v>0</v>
      </c>
      <c r="Z346">
        <f>'Ozone-Energy'!Y339</f>
        <v>0</v>
      </c>
      <c r="AA346" s="43"/>
    </row>
    <row r="347" spans="2:27" ht="15">
      <c r="B347" s="60"/>
      <c r="C347">
        <v>330</v>
      </c>
      <c r="D347" s="359">
        <v>43</v>
      </c>
      <c r="E347" s="211">
        <f t="shared" si="53"/>
        <v>47.3</v>
      </c>
      <c r="F347" s="211">
        <f>'Studio Rain System'!L352</f>
        <v>20</v>
      </c>
      <c r="G347" s="211">
        <f>'Studio Rain System'!M352</f>
        <v>0.745</v>
      </c>
      <c r="H347" s="206">
        <f>'Flow Rate'!$W$27</f>
        <v>464206.53322409093</v>
      </c>
      <c r="I347" s="178">
        <f>'Ozone-Energy'!H340</f>
        <v>8486971.4285714291</v>
      </c>
      <c r="J347" s="128">
        <f t="shared" si="55"/>
        <v>8.4869714285714295</v>
      </c>
      <c r="K347" s="193">
        <f>'Ozone-Energy'!J340</f>
        <v>236500</v>
      </c>
      <c r="L347" s="43">
        <f t="shared" si="54"/>
        <v>236.5</v>
      </c>
      <c r="M347" s="43">
        <f>'Ozone-Energy'!L340</f>
        <v>473000000</v>
      </c>
      <c r="N347" s="179">
        <f>'Ozone-Energy'!M340</f>
        <v>473</v>
      </c>
      <c r="O347" s="43">
        <f>'Ozone-Energy'!N340</f>
        <v>1200</v>
      </c>
      <c r="P347" s="180">
        <f t="shared" si="56"/>
        <v>4.32</v>
      </c>
      <c r="Q347" s="181">
        <f t="shared" si="50"/>
        <v>485.80697142857144</v>
      </c>
      <c r="R347" s="43">
        <f>'Ozone-Energy'!Q340</f>
        <v>0</v>
      </c>
      <c r="S347" s="43">
        <f>'Ozone-Energy'!R340</f>
        <v>0</v>
      </c>
      <c r="T347" s="43">
        <f>'Ozone-Energy'!S340</f>
        <v>0</v>
      </c>
      <c r="U347" s="43"/>
      <c r="V347" s="43"/>
      <c r="W347">
        <f>'Ozone-Energy'!V340</f>
        <v>0</v>
      </c>
      <c r="X347">
        <f>'Ozone-Energy'!W340</f>
        <v>0</v>
      </c>
      <c r="Y347">
        <f>'Ozone-Energy'!X340</f>
        <v>0</v>
      </c>
      <c r="Z347">
        <f>'Ozone-Energy'!Y340</f>
        <v>0</v>
      </c>
      <c r="AA347" s="43"/>
    </row>
    <row r="348" spans="2:27" ht="15">
      <c r="B348" s="60"/>
      <c r="C348">
        <v>331</v>
      </c>
      <c r="D348" s="359">
        <v>15</v>
      </c>
      <c r="E348" s="211">
        <f t="shared" si="53"/>
        <v>16.5</v>
      </c>
      <c r="F348" s="211">
        <f>'Studio Rain System'!L353</f>
        <v>20</v>
      </c>
      <c r="G348" s="211">
        <f>'Studio Rain System'!M353</f>
        <v>0.745</v>
      </c>
      <c r="H348" s="206">
        <f>'Flow Rate'!$W$27</f>
        <v>464206.53322409093</v>
      </c>
      <c r="I348" s="178">
        <f>'Ozone-Energy'!H341</f>
        <v>2960571.4285714286</v>
      </c>
      <c r="J348" s="128">
        <f t="shared" si="55"/>
        <v>2.9605714285714284</v>
      </c>
      <c r="K348" s="193">
        <f>'Ozone-Energy'!J341</f>
        <v>82500</v>
      </c>
      <c r="L348" s="43">
        <f t="shared" si="54"/>
        <v>82.5</v>
      </c>
      <c r="M348" s="43">
        <f>'Ozone-Energy'!L341</f>
        <v>165000000</v>
      </c>
      <c r="N348" s="179">
        <f>'Ozone-Energy'!M341</f>
        <v>165</v>
      </c>
      <c r="O348" s="43">
        <f>'Ozone-Energy'!N341</f>
        <v>1200</v>
      </c>
      <c r="P348" s="180">
        <f xml:space="preserve"> O348 * 3600 / 1000000</f>
        <v>4.32</v>
      </c>
      <c r="Q348" s="181">
        <f t="shared" si="50"/>
        <v>172.28057142857142</v>
      </c>
      <c r="R348" s="43">
        <f>'Ozone-Energy'!Q341</f>
        <v>0</v>
      </c>
      <c r="S348" s="43">
        <f>'Ozone-Energy'!R341</f>
        <v>0</v>
      </c>
      <c r="T348" s="43">
        <f>'Ozone-Energy'!S341</f>
        <v>0</v>
      </c>
      <c r="U348" s="43"/>
      <c r="V348" s="43"/>
      <c r="W348">
        <f>'Ozone-Energy'!V341</f>
        <v>0</v>
      </c>
      <c r="X348">
        <f>'Ozone-Energy'!W341</f>
        <v>0</v>
      </c>
      <c r="Y348">
        <f>'Ozone-Energy'!X341</f>
        <v>0</v>
      </c>
      <c r="Z348">
        <f>'Ozone-Energy'!Y341</f>
        <v>0</v>
      </c>
      <c r="AA348" s="43"/>
    </row>
    <row r="349" spans="2:27" ht="15">
      <c r="B349" s="60"/>
      <c r="C349">
        <v>332</v>
      </c>
      <c r="D349" s="359">
        <v>0</v>
      </c>
      <c r="E349" s="211">
        <f t="shared" si="53"/>
        <v>0</v>
      </c>
      <c r="F349" s="211">
        <f>'Studio Rain System'!L354</f>
        <v>19.254999999999999</v>
      </c>
      <c r="G349" s="211">
        <f>'Studio Rain System'!M354</f>
        <v>0.745</v>
      </c>
      <c r="H349" s="206">
        <f>'Flow Rate'!$W$27</f>
        <v>464206.53322409093</v>
      </c>
      <c r="I349" s="178">
        <f>'Ozone-Energy'!H342</f>
        <v>0</v>
      </c>
      <c r="J349" s="128">
        <f t="shared" si="55"/>
        <v>0</v>
      </c>
      <c r="K349" s="193">
        <f>'Ozone-Energy'!J342</f>
        <v>0</v>
      </c>
      <c r="L349" s="43">
        <f t="shared" si="54"/>
        <v>0</v>
      </c>
      <c r="M349" s="43">
        <f>'Ozone-Energy'!L342</f>
        <v>0</v>
      </c>
      <c r="N349" s="179">
        <f>'Ozone-Energy'!M342</f>
        <v>0</v>
      </c>
      <c r="O349" s="43">
        <f>'Ozone-Energy'!N342</f>
        <v>1200</v>
      </c>
      <c r="P349" s="180">
        <f t="shared" ref="P349:P357" si="57">O349 * 3600 / 1000000</f>
        <v>4.32</v>
      </c>
      <c r="Q349" s="181">
        <f t="shared" si="50"/>
        <v>4.32</v>
      </c>
      <c r="R349" s="43">
        <f>'Ozone-Energy'!Q342</f>
        <v>0</v>
      </c>
      <c r="S349" s="43">
        <f>'Ozone-Energy'!R342</f>
        <v>0</v>
      </c>
      <c r="T349" s="43">
        <f>'Ozone-Energy'!S342</f>
        <v>0</v>
      </c>
      <c r="U349" s="43"/>
      <c r="V349" s="43"/>
      <c r="W349">
        <f>'Ozone-Energy'!V342</f>
        <v>0</v>
      </c>
      <c r="X349">
        <f>'Ozone-Energy'!W342</f>
        <v>0</v>
      </c>
      <c r="Y349">
        <f>'Ozone-Energy'!X342</f>
        <v>0</v>
      </c>
      <c r="Z349">
        <f>'Ozone-Energy'!Y342</f>
        <v>0</v>
      </c>
      <c r="AA349" s="43"/>
    </row>
    <row r="350" spans="2:27" ht="15">
      <c r="B350" s="60"/>
      <c r="C350">
        <v>333</v>
      </c>
      <c r="D350" s="359">
        <v>0</v>
      </c>
      <c r="E350" s="211">
        <f t="shared" si="53"/>
        <v>0</v>
      </c>
      <c r="F350" s="211">
        <f>'Studio Rain System'!L355</f>
        <v>18.509999999999998</v>
      </c>
      <c r="G350" s="211">
        <f>'Studio Rain System'!M355</f>
        <v>0.745</v>
      </c>
      <c r="H350" s="206">
        <f>'Flow Rate'!$W$27</f>
        <v>464206.53322409093</v>
      </c>
      <c r="I350" s="178">
        <f>'Ozone-Energy'!H343</f>
        <v>0</v>
      </c>
      <c r="J350" s="128">
        <f t="shared" si="55"/>
        <v>0</v>
      </c>
      <c r="K350" s="193">
        <f>'Ozone-Energy'!J343</f>
        <v>0</v>
      </c>
      <c r="L350" s="43">
        <f t="shared" si="54"/>
        <v>0</v>
      </c>
      <c r="M350" s="43">
        <f>'Ozone-Energy'!L343</f>
        <v>0</v>
      </c>
      <c r="N350" s="179">
        <f>'Ozone-Energy'!M343</f>
        <v>0</v>
      </c>
      <c r="O350" s="43">
        <f>'Ozone-Energy'!N343</f>
        <v>1200</v>
      </c>
      <c r="P350" s="180">
        <f t="shared" si="57"/>
        <v>4.32</v>
      </c>
      <c r="Q350" s="181">
        <f t="shared" si="50"/>
        <v>4.32</v>
      </c>
      <c r="R350" s="43">
        <f>'Ozone-Energy'!Q343</f>
        <v>0</v>
      </c>
      <c r="S350" s="43">
        <f>'Ozone-Energy'!R343</f>
        <v>0</v>
      </c>
      <c r="T350" s="43">
        <f>'Ozone-Energy'!S343</f>
        <v>0</v>
      </c>
      <c r="U350" s="43"/>
      <c r="V350" s="43"/>
      <c r="W350">
        <f>'Ozone-Energy'!V343</f>
        <v>0</v>
      </c>
      <c r="X350">
        <f>'Ozone-Energy'!W343</f>
        <v>0</v>
      </c>
      <c r="Y350">
        <f>'Ozone-Energy'!X343</f>
        <v>0</v>
      </c>
      <c r="Z350">
        <f>'Ozone-Energy'!Y343</f>
        <v>0</v>
      </c>
      <c r="AA350" s="43"/>
    </row>
    <row r="351" spans="2:27" ht="15">
      <c r="B351" s="60"/>
      <c r="C351">
        <v>334</v>
      </c>
      <c r="D351" s="359">
        <v>0</v>
      </c>
      <c r="E351" s="211">
        <f t="shared" si="53"/>
        <v>0</v>
      </c>
      <c r="F351" s="211">
        <f>'Studio Rain System'!L356</f>
        <v>17.764999999999997</v>
      </c>
      <c r="G351" s="211">
        <f>'Studio Rain System'!M356</f>
        <v>0.745</v>
      </c>
      <c r="H351" s="206">
        <f>'Flow Rate'!$W$27</f>
        <v>464206.53322409093</v>
      </c>
      <c r="I351" s="178">
        <f>'Ozone-Energy'!H344</f>
        <v>0</v>
      </c>
      <c r="J351" s="128">
        <f t="shared" si="55"/>
        <v>0</v>
      </c>
      <c r="K351" s="193">
        <f>'Ozone-Energy'!J344</f>
        <v>0</v>
      </c>
      <c r="L351" s="43">
        <f t="shared" si="54"/>
        <v>0</v>
      </c>
      <c r="M351" s="43">
        <f>'Ozone-Energy'!L344</f>
        <v>0</v>
      </c>
      <c r="N351" s="179">
        <f>'Ozone-Energy'!M344</f>
        <v>0</v>
      </c>
      <c r="O351" s="43">
        <f>'Ozone-Energy'!N344</f>
        <v>1200</v>
      </c>
      <c r="P351" s="180">
        <f t="shared" si="57"/>
        <v>4.32</v>
      </c>
      <c r="Q351" s="181">
        <f t="shared" si="50"/>
        <v>4.32</v>
      </c>
      <c r="R351" s="43">
        <f>'Ozone-Energy'!Q344</f>
        <v>0</v>
      </c>
      <c r="S351" s="43">
        <f>'Ozone-Energy'!R344</f>
        <v>0</v>
      </c>
      <c r="T351" s="43">
        <f>'Ozone-Energy'!S344</f>
        <v>0</v>
      </c>
      <c r="U351" s="43"/>
      <c r="V351" s="43"/>
      <c r="W351">
        <f>'Ozone-Energy'!V344</f>
        <v>0</v>
      </c>
      <c r="X351">
        <f>'Ozone-Energy'!W344</f>
        <v>0</v>
      </c>
      <c r="Y351">
        <f>'Ozone-Energy'!X344</f>
        <v>0</v>
      </c>
      <c r="Z351">
        <f>'Ozone-Energy'!Y344</f>
        <v>0</v>
      </c>
      <c r="AA351" s="43"/>
    </row>
    <row r="352" spans="2:27" ht="15">
      <c r="B352" s="60"/>
      <c r="C352">
        <v>335</v>
      </c>
      <c r="D352" s="359">
        <v>0</v>
      </c>
      <c r="E352" s="211">
        <f t="shared" si="53"/>
        <v>0</v>
      </c>
      <c r="F352" s="211">
        <f>'Studio Rain System'!L357</f>
        <v>17.019999999999996</v>
      </c>
      <c r="G352" s="211">
        <f>'Studio Rain System'!M357</f>
        <v>0.745</v>
      </c>
      <c r="H352" s="206">
        <f>'Flow Rate'!$W$27</f>
        <v>464206.53322409093</v>
      </c>
      <c r="I352" s="178">
        <f>'Ozone-Energy'!H345</f>
        <v>0</v>
      </c>
      <c r="J352" s="128">
        <f t="shared" si="55"/>
        <v>0</v>
      </c>
      <c r="K352" s="193">
        <f>'Ozone-Energy'!J345</f>
        <v>0</v>
      </c>
      <c r="L352" s="43">
        <f t="shared" si="54"/>
        <v>0</v>
      </c>
      <c r="M352" s="43">
        <f>'Ozone-Energy'!L345</f>
        <v>0</v>
      </c>
      <c r="N352" s="179">
        <f>'Ozone-Energy'!M345</f>
        <v>0</v>
      </c>
      <c r="O352" s="43">
        <f>'Ozone-Energy'!N345</f>
        <v>1200</v>
      </c>
      <c r="P352" s="180">
        <f t="shared" si="57"/>
        <v>4.32</v>
      </c>
      <c r="Q352" s="181">
        <f t="shared" si="50"/>
        <v>4.32</v>
      </c>
      <c r="R352" s="43">
        <f>'Ozone-Energy'!Q345</f>
        <v>0</v>
      </c>
      <c r="S352" s="43">
        <f>'Ozone-Energy'!R345</f>
        <v>0</v>
      </c>
      <c r="T352" s="43">
        <f>'Ozone-Energy'!S345</f>
        <v>0</v>
      </c>
      <c r="U352" s="43"/>
      <c r="V352" s="43"/>
      <c r="W352">
        <f>'Ozone-Energy'!V345</f>
        <v>0</v>
      </c>
      <c r="X352">
        <f>'Ozone-Energy'!W345</f>
        <v>0</v>
      </c>
      <c r="Y352">
        <f>'Ozone-Energy'!X345</f>
        <v>0</v>
      </c>
      <c r="Z352">
        <f>'Ozone-Energy'!Y345</f>
        <v>0</v>
      </c>
      <c r="AA352" s="43"/>
    </row>
    <row r="353" spans="2:27" ht="15">
      <c r="B353" s="60"/>
      <c r="C353">
        <v>336</v>
      </c>
      <c r="D353" s="359">
        <v>0</v>
      </c>
      <c r="E353" s="211">
        <f t="shared" si="53"/>
        <v>0</v>
      </c>
      <c r="F353" s="211">
        <f>'Studio Rain System'!L358</f>
        <v>16.274999999999995</v>
      </c>
      <c r="G353" s="211">
        <f>'Studio Rain System'!M358</f>
        <v>0.745</v>
      </c>
      <c r="H353" s="206">
        <f>'Flow Rate'!$W$27</f>
        <v>464206.53322409093</v>
      </c>
      <c r="I353" s="178">
        <f>'Ozone-Energy'!H346</f>
        <v>0</v>
      </c>
      <c r="J353" s="128">
        <f t="shared" si="55"/>
        <v>0</v>
      </c>
      <c r="K353" s="193">
        <f>'Ozone-Energy'!J346</f>
        <v>0</v>
      </c>
      <c r="L353" s="43">
        <f t="shared" si="54"/>
        <v>0</v>
      </c>
      <c r="M353" s="43">
        <f>'Ozone-Energy'!L346</f>
        <v>0</v>
      </c>
      <c r="N353" s="179">
        <f>'Ozone-Energy'!M346</f>
        <v>0</v>
      </c>
      <c r="O353" s="43">
        <f>'Ozone-Energy'!N346</f>
        <v>1200</v>
      </c>
      <c r="P353" s="180">
        <f t="shared" si="57"/>
        <v>4.32</v>
      </c>
      <c r="Q353" s="181">
        <f t="shared" si="50"/>
        <v>4.32</v>
      </c>
      <c r="R353" s="43">
        <f>'Ozone-Energy'!Q346</f>
        <v>0</v>
      </c>
      <c r="S353" s="43">
        <f>'Ozone-Energy'!R346</f>
        <v>0</v>
      </c>
      <c r="T353" s="43">
        <f>'Ozone-Energy'!S346</f>
        <v>0</v>
      </c>
      <c r="U353" s="43"/>
      <c r="V353" s="43"/>
      <c r="W353">
        <f>'Ozone-Energy'!V346</f>
        <v>0</v>
      </c>
      <c r="X353">
        <f>'Ozone-Energy'!W346</f>
        <v>0</v>
      </c>
      <c r="Y353">
        <f>'Ozone-Energy'!X346</f>
        <v>0</v>
      </c>
      <c r="Z353">
        <f>'Ozone-Energy'!Y346</f>
        <v>0</v>
      </c>
      <c r="AA353" s="43"/>
    </row>
    <row r="354" spans="2:27" ht="15">
      <c r="B354" s="60"/>
      <c r="C354">
        <v>337</v>
      </c>
      <c r="D354" s="359">
        <v>0</v>
      </c>
      <c r="E354" s="211">
        <f t="shared" si="53"/>
        <v>0</v>
      </c>
      <c r="F354" s="211">
        <f>'Studio Rain System'!L359</f>
        <v>15.529999999999996</v>
      </c>
      <c r="G354" s="211">
        <f>'Studio Rain System'!M359</f>
        <v>0.745</v>
      </c>
      <c r="H354" s="206">
        <f>'Flow Rate'!$W$27</f>
        <v>464206.53322409093</v>
      </c>
      <c r="I354" s="178">
        <f>'Ozone-Energy'!H347</f>
        <v>0</v>
      </c>
      <c r="J354" s="128">
        <f t="shared" si="55"/>
        <v>0</v>
      </c>
      <c r="K354" s="193">
        <f>'Ozone-Energy'!J347</f>
        <v>0</v>
      </c>
      <c r="L354" s="43">
        <f t="shared" si="54"/>
        <v>0</v>
      </c>
      <c r="M354" s="43">
        <f>'Ozone-Energy'!L347</f>
        <v>0</v>
      </c>
      <c r="N354" s="179">
        <f>'Ozone-Energy'!M347</f>
        <v>0</v>
      </c>
      <c r="O354" s="43">
        <f>'Ozone-Energy'!N347</f>
        <v>1200</v>
      </c>
      <c r="P354" s="180">
        <f t="shared" si="57"/>
        <v>4.32</v>
      </c>
      <c r="Q354" s="181">
        <f t="shared" si="50"/>
        <v>4.32</v>
      </c>
      <c r="R354" s="43">
        <f>'Ozone-Energy'!Q347</f>
        <v>0</v>
      </c>
      <c r="S354" s="43">
        <f>'Ozone-Energy'!R347</f>
        <v>0</v>
      </c>
      <c r="T354" s="43">
        <f>'Ozone-Energy'!S347</f>
        <v>0</v>
      </c>
      <c r="U354" s="43"/>
      <c r="V354" s="43"/>
      <c r="W354">
        <f>'Ozone-Energy'!V347</f>
        <v>0</v>
      </c>
      <c r="X354">
        <f>'Ozone-Energy'!W347</f>
        <v>0</v>
      </c>
      <c r="Y354">
        <f>'Ozone-Energy'!X347</f>
        <v>0</v>
      </c>
      <c r="Z354">
        <f>'Ozone-Energy'!Y347</f>
        <v>0</v>
      </c>
      <c r="AA354" s="43"/>
    </row>
    <row r="355" spans="2:27" ht="15">
      <c r="B355" s="60"/>
      <c r="C355">
        <v>338</v>
      </c>
      <c r="D355" s="359">
        <v>1.2</v>
      </c>
      <c r="E355" s="211">
        <f t="shared" si="53"/>
        <v>1.3199999999999998</v>
      </c>
      <c r="F355" s="211">
        <f>'Studio Rain System'!L360</f>
        <v>16.104999999999993</v>
      </c>
      <c r="G355" s="211">
        <f>'Studio Rain System'!M360</f>
        <v>0.745</v>
      </c>
      <c r="H355" s="206">
        <f>'Flow Rate'!$W$27</f>
        <v>464206.53322409093</v>
      </c>
      <c r="I355" s="178">
        <f>'Ozone-Energy'!H348</f>
        <v>236845.71428571426</v>
      </c>
      <c r="J355" s="128">
        <f t="shared" si="55"/>
        <v>0.23684571428571424</v>
      </c>
      <c r="K355" s="193">
        <f>'Ozone-Energy'!J348</f>
        <v>6599.9999999999982</v>
      </c>
      <c r="L355" s="43">
        <f t="shared" si="54"/>
        <v>6.5999999999999979</v>
      </c>
      <c r="M355" s="43">
        <f>'Ozone-Energy'!L348</f>
        <v>13199999.999999996</v>
      </c>
      <c r="N355" s="179">
        <f>'Ozone-Energy'!M348</f>
        <v>13.199999999999996</v>
      </c>
      <c r="O355" s="43">
        <f>'Ozone-Energy'!N348</f>
        <v>1200</v>
      </c>
      <c r="P355" s="180">
        <f t="shared" si="57"/>
        <v>4.32</v>
      </c>
      <c r="Q355" s="181">
        <f t="shared" si="50"/>
        <v>17.75684571428571</v>
      </c>
      <c r="R355" s="43">
        <f>'Ozone-Energy'!Q348</f>
        <v>0</v>
      </c>
      <c r="S355" s="43">
        <f>'Ozone-Energy'!R348</f>
        <v>0</v>
      </c>
      <c r="T355" s="43">
        <f>'Ozone-Energy'!S348</f>
        <v>0</v>
      </c>
      <c r="U355" s="43"/>
      <c r="V355" s="43"/>
      <c r="W355">
        <f>'Ozone-Energy'!V348</f>
        <v>0</v>
      </c>
      <c r="X355">
        <f>'Ozone-Energy'!W348</f>
        <v>0</v>
      </c>
      <c r="Y355">
        <f>'Ozone-Energy'!X348</f>
        <v>0</v>
      </c>
      <c r="Z355">
        <f>'Ozone-Energy'!Y348</f>
        <v>0</v>
      </c>
      <c r="AA355" s="43"/>
    </row>
    <row r="356" spans="2:27" ht="15">
      <c r="B356" s="60"/>
      <c r="C356">
        <v>339</v>
      </c>
      <c r="D356" s="359">
        <v>45.4</v>
      </c>
      <c r="E356" s="211">
        <f t="shared" si="53"/>
        <v>49.94</v>
      </c>
      <c r="F356" s="211">
        <f>'Studio Rain System'!L361</f>
        <v>20</v>
      </c>
      <c r="G356" s="211">
        <f>'Studio Rain System'!M361</f>
        <v>0.745</v>
      </c>
      <c r="H356" s="206">
        <f>'Flow Rate'!$W$27</f>
        <v>464206.53322409093</v>
      </c>
      <c r="I356" s="178">
        <f>'Ozone-Energy'!H349</f>
        <v>8960662.8571428582</v>
      </c>
      <c r="J356" s="128">
        <f t="shared" si="55"/>
        <v>8.9606628571428573</v>
      </c>
      <c r="K356" s="193">
        <f>'Ozone-Energy'!J349</f>
        <v>249700</v>
      </c>
      <c r="L356" s="43">
        <f t="shared" si="54"/>
        <v>249.7</v>
      </c>
      <c r="M356" s="43">
        <f>'Ozone-Energy'!L349</f>
        <v>499400000</v>
      </c>
      <c r="N356" s="179">
        <f>'Ozone-Energy'!M349</f>
        <v>499.4</v>
      </c>
      <c r="O356" s="43">
        <f>'Ozone-Energy'!N349</f>
        <v>1200</v>
      </c>
      <c r="P356" s="180">
        <f t="shared" si="57"/>
        <v>4.32</v>
      </c>
      <c r="Q356" s="181">
        <f t="shared" si="50"/>
        <v>512.68066285714281</v>
      </c>
      <c r="R356" s="43">
        <f>'Ozone-Energy'!Q349</f>
        <v>0</v>
      </c>
      <c r="S356" s="43">
        <f>'Ozone-Energy'!R349</f>
        <v>0</v>
      </c>
      <c r="T356" s="43">
        <f>'Ozone-Energy'!S349</f>
        <v>0</v>
      </c>
      <c r="U356" s="43"/>
      <c r="V356" s="43"/>
      <c r="W356">
        <f>'Ozone-Energy'!V349</f>
        <v>0</v>
      </c>
      <c r="X356">
        <f>'Ozone-Energy'!W349</f>
        <v>0</v>
      </c>
      <c r="Y356">
        <f>'Ozone-Energy'!X349</f>
        <v>0</v>
      </c>
      <c r="Z356">
        <f>'Ozone-Energy'!Y349</f>
        <v>0</v>
      </c>
      <c r="AA356" s="43"/>
    </row>
    <row r="357" spans="2:27" ht="15">
      <c r="B357" s="60"/>
      <c r="C357">
        <v>340</v>
      </c>
      <c r="D357" s="359">
        <v>0.8</v>
      </c>
      <c r="E357" s="211">
        <f t="shared" si="53"/>
        <v>0.88</v>
      </c>
      <c r="F357" s="211">
        <f>'Studio Rain System'!L362</f>
        <v>20</v>
      </c>
      <c r="G357" s="211">
        <f>'Studio Rain System'!M362</f>
        <v>0.745</v>
      </c>
      <c r="H357" s="206">
        <f>'Flow Rate'!$W$27</f>
        <v>464206.53322409093</v>
      </c>
      <c r="I357" s="178">
        <f>'Ozone-Energy'!H350</f>
        <v>157897.14285714287</v>
      </c>
      <c r="J357" s="128">
        <f t="shared" si="55"/>
        <v>0.15789714285714287</v>
      </c>
      <c r="K357" s="193">
        <f>'Ozone-Energy'!J350</f>
        <v>4400</v>
      </c>
      <c r="L357" s="43">
        <f t="shared" si="54"/>
        <v>4.4000000000000004</v>
      </c>
      <c r="M357" s="43">
        <f>'Ozone-Energy'!L350</f>
        <v>8800000</v>
      </c>
      <c r="N357" s="179">
        <f>'Ozone-Energy'!M350</f>
        <v>8.8000000000000007</v>
      </c>
      <c r="O357" s="43">
        <f>'Ozone-Energy'!N350</f>
        <v>1200</v>
      </c>
      <c r="P357" s="180">
        <f t="shared" si="57"/>
        <v>4.32</v>
      </c>
      <c r="Q357" s="181">
        <f t="shared" si="50"/>
        <v>13.277897142857144</v>
      </c>
      <c r="R357" s="43">
        <f>'Ozone-Energy'!Q350</f>
        <v>0</v>
      </c>
      <c r="S357" s="43">
        <f>'Ozone-Energy'!R350</f>
        <v>0</v>
      </c>
      <c r="T357" s="43">
        <f>'Ozone-Energy'!S350</f>
        <v>0</v>
      </c>
      <c r="U357" s="43"/>
      <c r="V357" s="43"/>
      <c r="W357">
        <f>'Ozone-Energy'!V350</f>
        <v>0</v>
      </c>
      <c r="X357">
        <f>'Ozone-Energy'!W350</f>
        <v>0</v>
      </c>
      <c r="Y357">
        <f>'Ozone-Energy'!X350</f>
        <v>0</v>
      </c>
      <c r="Z357">
        <f>'Ozone-Energy'!Y350</f>
        <v>0</v>
      </c>
      <c r="AA357" s="43"/>
    </row>
    <row r="358" spans="2:27" ht="15">
      <c r="B358" s="60"/>
      <c r="C358">
        <v>341</v>
      </c>
      <c r="D358" s="359">
        <v>15.2</v>
      </c>
      <c r="E358" s="211">
        <f t="shared" si="53"/>
        <v>16.72</v>
      </c>
      <c r="F358" s="211">
        <f>'Studio Rain System'!L363</f>
        <v>20</v>
      </c>
      <c r="G358" s="211">
        <f>'Studio Rain System'!M363</f>
        <v>0.745</v>
      </c>
      <c r="H358" s="206">
        <f>'Flow Rate'!$W$27</f>
        <v>464206.53322409093</v>
      </c>
      <c r="I358" s="178">
        <f>'Ozone-Energy'!H351</f>
        <v>3000045.7142857146</v>
      </c>
      <c r="J358" s="128">
        <f t="shared" si="55"/>
        <v>3.0000457142857142</v>
      </c>
      <c r="K358" s="193">
        <f>'Ozone-Energy'!J351</f>
        <v>83600</v>
      </c>
      <c r="L358" s="43">
        <f t="shared" si="54"/>
        <v>83.6</v>
      </c>
      <c r="M358" s="43">
        <f>'Ozone-Energy'!L351</f>
        <v>167200000</v>
      </c>
      <c r="N358" s="179">
        <f>'Ozone-Energy'!M351</f>
        <v>167.2</v>
      </c>
      <c r="O358" s="43">
        <f>'Ozone-Energy'!N351</f>
        <v>1200</v>
      </c>
      <c r="P358" s="180">
        <f xml:space="preserve"> O358 * 3600 / 1000000</f>
        <v>4.32</v>
      </c>
      <c r="Q358" s="181">
        <f t="shared" si="50"/>
        <v>174.52004571428569</v>
      </c>
      <c r="R358" s="43">
        <f>'Ozone-Energy'!Q351</f>
        <v>0</v>
      </c>
      <c r="S358" s="43">
        <f>'Ozone-Energy'!R351</f>
        <v>0</v>
      </c>
      <c r="T358" s="43">
        <f>'Ozone-Energy'!S351</f>
        <v>0</v>
      </c>
      <c r="U358" s="43"/>
      <c r="V358" s="43"/>
      <c r="W358">
        <f>'Ozone-Energy'!V351</f>
        <v>0</v>
      </c>
      <c r="X358">
        <f>'Ozone-Energy'!W351</f>
        <v>0</v>
      </c>
      <c r="Y358">
        <f>'Ozone-Energy'!X351</f>
        <v>0</v>
      </c>
      <c r="Z358">
        <f>'Ozone-Energy'!Y351</f>
        <v>0</v>
      </c>
      <c r="AA358" s="43"/>
    </row>
    <row r="359" spans="2:27" ht="15">
      <c r="B359" s="60"/>
      <c r="C359">
        <v>342</v>
      </c>
      <c r="D359" s="359">
        <v>48.6</v>
      </c>
      <c r="E359" s="211">
        <f t="shared" si="53"/>
        <v>53.460000000000008</v>
      </c>
      <c r="F359" s="211">
        <f>'Studio Rain System'!L364</f>
        <v>20</v>
      </c>
      <c r="G359" s="211">
        <f>'Studio Rain System'!M364</f>
        <v>0.745</v>
      </c>
      <c r="H359" s="206">
        <f>'Flow Rate'!$W$27</f>
        <v>464206.53322409093</v>
      </c>
      <c r="I359" s="178">
        <f>'Ozone-Energy'!H352</f>
        <v>9592251.428571431</v>
      </c>
      <c r="J359" s="128">
        <f t="shared" si="55"/>
        <v>9.59225142857143</v>
      </c>
      <c r="K359" s="193">
        <f>'Ozone-Energy'!J352</f>
        <v>267300.00000000006</v>
      </c>
      <c r="L359" s="43">
        <f t="shared" si="54"/>
        <v>267.30000000000007</v>
      </c>
      <c r="M359" s="43">
        <f>'Ozone-Energy'!L352</f>
        <v>534600000.00000012</v>
      </c>
      <c r="N359" s="179">
        <f>'Ozone-Energy'!M352</f>
        <v>534.60000000000014</v>
      </c>
      <c r="O359" s="43">
        <f>'Ozone-Energy'!N352</f>
        <v>1200</v>
      </c>
      <c r="P359" s="180">
        <f t="shared" ref="P359:P367" si="58">O359 * 3600 / 1000000</f>
        <v>4.32</v>
      </c>
      <c r="Q359" s="181">
        <f t="shared" si="50"/>
        <v>548.51225142857163</v>
      </c>
      <c r="R359" s="43">
        <f>'Ozone-Energy'!Q352</f>
        <v>0</v>
      </c>
      <c r="S359" s="43">
        <f>'Ozone-Energy'!R352</f>
        <v>0</v>
      </c>
      <c r="T359" s="43">
        <f>'Ozone-Energy'!S352</f>
        <v>0</v>
      </c>
      <c r="U359" s="43"/>
      <c r="V359" s="43"/>
      <c r="W359">
        <f>'Ozone-Energy'!V352</f>
        <v>0</v>
      </c>
      <c r="X359">
        <f>'Ozone-Energy'!W352</f>
        <v>0</v>
      </c>
      <c r="Y359">
        <f>'Ozone-Energy'!X352</f>
        <v>0</v>
      </c>
      <c r="Z359">
        <f>'Ozone-Energy'!Y352</f>
        <v>0</v>
      </c>
      <c r="AA359" s="43"/>
    </row>
    <row r="360" spans="2:27" ht="15">
      <c r="B360" s="60"/>
      <c r="C360">
        <v>343</v>
      </c>
      <c r="D360" s="359">
        <v>34.200000000000003</v>
      </c>
      <c r="E360" s="211">
        <f t="shared" si="53"/>
        <v>37.620000000000005</v>
      </c>
      <c r="F360" s="211">
        <f>'Studio Rain System'!L365</f>
        <v>20</v>
      </c>
      <c r="G360" s="211">
        <f>'Studio Rain System'!M365</f>
        <v>0.745</v>
      </c>
      <c r="H360" s="206">
        <f>'Flow Rate'!$W$27</f>
        <v>464206.53322409093</v>
      </c>
      <c r="I360" s="178">
        <f>'Ozone-Energy'!H353</f>
        <v>6750102.8571428591</v>
      </c>
      <c r="J360" s="128">
        <f t="shared" si="55"/>
        <v>6.750102857142859</v>
      </c>
      <c r="K360" s="193">
        <f>'Ozone-Energy'!J353</f>
        <v>188100.00000000006</v>
      </c>
      <c r="L360" s="43">
        <f t="shared" si="54"/>
        <v>188.10000000000005</v>
      </c>
      <c r="M360" s="43">
        <f>'Ozone-Energy'!L353</f>
        <v>376200000.00000012</v>
      </c>
      <c r="N360" s="179">
        <f>'Ozone-Energy'!M353</f>
        <v>376.2000000000001</v>
      </c>
      <c r="O360" s="43">
        <f>'Ozone-Energy'!N353</f>
        <v>1200</v>
      </c>
      <c r="P360" s="180">
        <f t="shared" si="58"/>
        <v>4.32</v>
      </c>
      <c r="Q360" s="181">
        <f t="shared" si="50"/>
        <v>387.27010285714294</v>
      </c>
      <c r="R360" s="43">
        <f>'Ozone-Energy'!Q353</f>
        <v>0</v>
      </c>
      <c r="S360" s="43">
        <f>'Ozone-Energy'!R353</f>
        <v>0</v>
      </c>
      <c r="T360" s="43">
        <f>'Ozone-Energy'!S353</f>
        <v>0</v>
      </c>
      <c r="U360" s="43"/>
      <c r="V360" s="43"/>
      <c r="W360">
        <f>'Ozone-Energy'!V353</f>
        <v>0</v>
      </c>
      <c r="X360">
        <f>'Ozone-Energy'!W353</f>
        <v>0</v>
      </c>
      <c r="Y360">
        <f>'Ozone-Energy'!X353</f>
        <v>0</v>
      </c>
      <c r="Z360">
        <f>'Ozone-Energy'!Y353</f>
        <v>0</v>
      </c>
      <c r="AA360" s="43"/>
    </row>
    <row r="361" spans="2:27" ht="15">
      <c r="B361" s="60"/>
      <c r="C361">
        <v>344</v>
      </c>
      <c r="D361" s="359">
        <v>4.4000000000000004</v>
      </c>
      <c r="E361" s="211">
        <f t="shared" si="53"/>
        <v>4.84</v>
      </c>
      <c r="F361" s="211">
        <f>'Studio Rain System'!L366</f>
        <v>20</v>
      </c>
      <c r="G361" s="211">
        <f>'Studio Rain System'!M366</f>
        <v>0.745</v>
      </c>
      <c r="H361" s="206">
        <f>'Flow Rate'!$W$27</f>
        <v>464206.53322409093</v>
      </c>
      <c r="I361" s="178">
        <f>'Ozone-Energy'!H354</f>
        <v>868434.2857142858</v>
      </c>
      <c r="J361" s="128">
        <f t="shared" si="55"/>
        <v>0.86843428571428571</v>
      </c>
      <c r="K361" s="193">
        <f>'Ozone-Energy'!J354</f>
        <v>24200</v>
      </c>
      <c r="L361" s="43">
        <f t="shared" si="54"/>
        <v>24.2</v>
      </c>
      <c r="M361" s="43">
        <f>'Ozone-Energy'!L354</f>
        <v>48400000</v>
      </c>
      <c r="N361" s="179">
        <f>'Ozone-Energy'!M354</f>
        <v>48.4</v>
      </c>
      <c r="O361" s="43">
        <f>'Ozone-Energy'!N354</f>
        <v>1200</v>
      </c>
      <c r="P361" s="180">
        <f t="shared" si="58"/>
        <v>4.32</v>
      </c>
      <c r="Q361" s="181">
        <f t="shared" si="50"/>
        <v>53.588434285714285</v>
      </c>
      <c r="R361" s="43">
        <f>'Ozone-Energy'!Q354</f>
        <v>0</v>
      </c>
      <c r="S361" s="43">
        <f>'Ozone-Energy'!R354</f>
        <v>0</v>
      </c>
      <c r="T361" s="43">
        <f>'Ozone-Energy'!S354</f>
        <v>0</v>
      </c>
      <c r="U361" s="43"/>
      <c r="V361" s="43"/>
      <c r="W361">
        <f>'Ozone-Energy'!V354</f>
        <v>0</v>
      </c>
      <c r="X361">
        <f>'Ozone-Energy'!W354</f>
        <v>0</v>
      </c>
      <c r="Y361">
        <f>'Ozone-Energy'!X354</f>
        <v>0</v>
      </c>
      <c r="Z361">
        <f>'Ozone-Energy'!Y354</f>
        <v>0</v>
      </c>
      <c r="AA361" s="43"/>
    </row>
    <row r="362" spans="2:27" ht="15">
      <c r="B362" s="60"/>
      <c r="C362">
        <v>345</v>
      </c>
      <c r="D362" s="359">
        <v>17.8</v>
      </c>
      <c r="E362" s="211">
        <f t="shared" si="53"/>
        <v>19.579999999999998</v>
      </c>
      <c r="F362" s="211">
        <f>'Studio Rain System'!L367</f>
        <v>20</v>
      </c>
      <c r="G362" s="211">
        <f>'Studio Rain System'!M367</f>
        <v>0.745</v>
      </c>
      <c r="H362" s="206">
        <f>'Flow Rate'!$W$27</f>
        <v>464206.53322409093</v>
      </c>
      <c r="I362" s="178">
        <f>'Ozone-Energy'!H355</f>
        <v>3513211.4285714286</v>
      </c>
      <c r="J362" s="128">
        <f t="shared" si="55"/>
        <v>3.5132114285714287</v>
      </c>
      <c r="K362" s="193">
        <f>'Ozone-Energy'!J355</f>
        <v>97900</v>
      </c>
      <c r="L362" s="43">
        <f t="shared" si="54"/>
        <v>97.9</v>
      </c>
      <c r="M362" s="43">
        <f>'Ozone-Energy'!L355</f>
        <v>195800000</v>
      </c>
      <c r="N362" s="179">
        <f>'Ozone-Energy'!M355</f>
        <v>195.8</v>
      </c>
      <c r="O362" s="43">
        <f>'Ozone-Energy'!N355</f>
        <v>1200</v>
      </c>
      <c r="P362" s="180">
        <f t="shared" si="58"/>
        <v>4.32</v>
      </c>
      <c r="Q362" s="181">
        <f t="shared" si="50"/>
        <v>203.63321142857143</v>
      </c>
      <c r="R362" s="43">
        <f>'Ozone-Energy'!Q355</f>
        <v>0</v>
      </c>
      <c r="S362" s="43">
        <f>'Ozone-Energy'!R355</f>
        <v>0</v>
      </c>
      <c r="T362" s="43">
        <f>'Ozone-Energy'!S355</f>
        <v>0</v>
      </c>
      <c r="U362" s="43"/>
      <c r="V362" s="43"/>
      <c r="W362">
        <f>'Ozone-Energy'!V355</f>
        <v>0</v>
      </c>
      <c r="X362">
        <f>'Ozone-Energy'!W355</f>
        <v>0</v>
      </c>
      <c r="Y362">
        <f>'Ozone-Energy'!X355</f>
        <v>0</v>
      </c>
      <c r="Z362">
        <f>'Ozone-Energy'!Y355</f>
        <v>0</v>
      </c>
      <c r="AA362" s="43"/>
    </row>
    <row r="363" spans="2:27" ht="15">
      <c r="B363" s="60"/>
      <c r="C363">
        <v>346</v>
      </c>
      <c r="D363" s="359">
        <v>1.4</v>
      </c>
      <c r="E363" s="211">
        <f t="shared" si="53"/>
        <v>1.54</v>
      </c>
      <c r="F363" s="211">
        <f>'Studio Rain System'!L368</f>
        <v>20</v>
      </c>
      <c r="G363" s="211">
        <f>'Studio Rain System'!M368</f>
        <v>0.745</v>
      </c>
      <c r="H363" s="206">
        <f>'Flow Rate'!$W$27</f>
        <v>464206.53322409093</v>
      </c>
      <c r="I363" s="178">
        <f>'Ozone-Energy'!H356</f>
        <v>276320</v>
      </c>
      <c r="J363" s="128">
        <f t="shared" si="55"/>
        <v>0.27632000000000001</v>
      </c>
      <c r="K363" s="193">
        <f>'Ozone-Energy'!J356</f>
        <v>7700</v>
      </c>
      <c r="L363" s="43">
        <f t="shared" si="54"/>
        <v>7.7</v>
      </c>
      <c r="M363" s="43">
        <f>'Ozone-Energy'!L356</f>
        <v>15400000</v>
      </c>
      <c r="N363" s="179">
        <f>'Ozone-Energy'!M356</f>
        <v>15.4</v>
      </c>
      <c r="O363" s="43">
        <f>'Ozone-Energy'!N356</f>
        <v>1200</v>
      </c>
      <c r="P363" s="180">
        <f t="shared" si="58"/>
        <v>4.32</v>
      </c>
      <c r="Q363" s="181">
        <f t="shared" si="50"/>
        <v>19.996320000000001</v>
      </c>
      <c r="R363" s="43">
        <f>'Ozone-Energy'!Q356</f>
        <v>0</v>
      </c>
      <c r="S363" s="43">
        <f>'Ozone-Energy'!R356</f>
        <v>0</v>
      </c>
      <c r="T363" s="43">
        <f>'Ozone-Energy'!S356</f>
        <v>0</v>
      </c>
      <c r="U363" s="43"/>
      <c r="V363" s="43"/>
      <c r="W363">
        <f>'Ozone-Energy'!V356</f>
        <v>0</v>
      </c>
      <c r="X363">
        <f>'Ozone-Energy'!W356</f>
        <v>0</v>
      </c>
      <c r="Y363">
        <f>'Ozone-Energy'!X356</f>
        <v>0</v>
      </c>
      <c r="Z363">
        <f>'Ozone-Energy'!Y356</f>
        <v>0</v>
      </c>
      <c r="AA363" s="43"/>
    </row>
    <row r="364" spans="2:27" ht="15">
      <c r="B364" s="60"/>
      <c r="C364">
        <v>347</v>
      </c>
      <c r="D364" s="359">
        <v>1</v>
      </c>
      <c r="E364" s="211">
        <f t="shared" si="53"/>
        <v>1.1000000000000001</v>
      </c>
      <c r="F364" s="211">
        <f>'Studio Rain System'!L369</f>
        <v>20</v>
      </c>
      <c r="G364" s="211">
        <f>'Studio Rain System'!M369</f>
        <v>0.745</v>
      </c>
      <c r="H364" s="206">
        <f>'Flow Rate'!$W$27</f>
        <v>464206.53322409093</v>
      </c>
      <c r="I364" s="178">
        <f>'Ozone-Energy'!H357</f>
        <v>197371.42857142858</v>
      </c>
      <c r="J364" s="128">
        <f t="shared" si="55"/>
        <v>0.19737142857142856</v>
      </c>
      <c r="K364" s="193">
        <f>'Ozone-Energy'!J357</f>
        <v>5500</v>
      </c>
      <c r="L364" s="43">
        <f t="shared" si="54"/>
        <v>5.5</v>
      </c>
      <c r="M364" s="43">
        <f>'Ozone-Energy'!L357</f>
        <v>11000000</v>
      </c>
      <c r="N364" s="179">
        <f>'Ozone-Energy'!M357</f>
        <v>11</v>
      </c>
      <c r="O364" s="43">
        <f>'Ozone-Energy'!N357</f>
        <v>1200</v>
      </c>
      <c r="P364" s="180">
        <f t="shared" si="58"/>
        <v>4.32</v>
      </c>
      <c r="Q364" s="181">
        <f t="shared" si="50"/>
        <v>15.51737142857143</v>
      </c>
      <c r="R364" s="43">
        <f>'Ozone-Energy'!Q357</f>
        <v>0</v>
      </c>
      <c r="S364" s="43">
        <f>'Ozone-Energy'!R357</f>
        <v>0</v>
      </c>
      <c r="T364" s="43">
        <f>'Ozone-Energy'!S357</f>
        <v>0</v>
      </c>
      <c r="U364" s="43"/>
      <c r="V364" s="43"/>
      <c r="W364">
        <f>'Ozone-Energy'!V357</f>
        <v>0</v>
      </c>
      <c r="X364">
        <f>'Ozone-Energy'!W357</f>
        <v>0</v>
      </c>
      <c r="Y364">
        <f>'Ozone-Energy'!X357</f>
        <v>0</v>
      </c>
      <c r="Z364">
        <f>'Ozone-Energy'!Y357</f>
        <v>0</v>
      </c>
      <c r="AA364" s="43"/>
    </row>
    <row r="365" spans="2:27" ht="15">
      <c r="B365" s="60"/>
      <c r="C365">
        <v>348</v>
      </c>
      <c r="D365" s="359">
        <v>0</v>
      </c>
      <c r="E365" s="211">
        <f t="shared" si="53"/>
        <v>0</v>
      </c>
      <c r="F365" s="211">
        <f>'Studio Rain System'!L370</f>
        <v>19.254999999999999</v>
      </c>
      <c r="G365" s="211">
        <f>'Studio Rain System'!M370</f>
        <v>0.745</v>
      </c>
      <c r="H365" s="206">
        <f>'Flow Rate'!$W$27</f>
        <v>464206.53322409093</v>
      </c>
      <c r="I365" s="178">
        <f>'Ozone-Energy'!H358</f>
        <v>0</v>
      </c>
      <c r="J365" s="128">
        <f t="shared" si="55"/>
        <v>0</v>
      </c>
      <c r="K365" s="193">
        <f>'Ozone-Energy'!J358</f>
        <v>0</v>
      </c>
      <c r="L365" s="43">
        <f t="shared" si="54"/>
        <v>0</v>
      </c>
      <c r="M365" s="43">
        <f>'Ozone-Energy'!L358</f>
        <v>0</v>
      </c>
      <c r="N365" s="179">
        <f>'Ozone-Energy'!M358</f>
        <v>0</v>
      </c>
      <c r="O365" s="43">
        <f>'Ozone-Energy'!N358</f>
        <v>1200</v>
      </c>
      <c r="P365" s="180">
        <f t="shared" si="58"/>
        <v>4.32</v>
      </c>
      <c r="Q365" s="181">
        <f t="shared" si="50"/>
        <v>4.32</v>
      </c>
      <c r="R365" s="43">
        <f>'Ozone-Energy'!Q358</f>
        <v>0</v>
      </c>
      <c r="S365" s="43">
        <f>'Ozone-Energy'!R358</f>
        <v>0</v>
      </c>
      <c r="T365" s="43">
        <f>'Ozone-Energy'!S358</f>
        <v>0</v>
      </c>
      <c r="U365" s="43"/>
      <c r="V365" s="43"/>
      <c r="W365">
        <f>'Ozone-Energy'!V358</f>
        <v>0</v>
      </c>
      <c r="X365">
        <f>'Ozone-Energy'!W358</f>
        <v>0</v>
      </c>
      <c r="Y365">
        <f>'Ozone-Energy'!X358</f>
        <v>0</v>
      </c>
      <c r="Z365">
        <f>'Ozone-Energy'!Y358</f>
        <v>0</v>
      </c>
      <c r="AA365" s="43"/>
    </row>
    <row r="366" spans="2:27" ht="15">
      <c r="B366" s="60"/>
      <c r="C366">
        <v>349</v>
      </c>
      <c r="D366" s="359">
        <v>9</v>
      </c>
      <c r="E366" s="211">
        <f t="shared" si="53"/>
        <v>9.8999999999999986</v>
      </c>
      <c r="F366" s="211">
        <f>'Studio Rain System'!L371</f>
        <v>20</v>
      </c>
      <c r="G366" s="211">
        <f>'Studio Rain System'!M371</f>
        <v>0.745</v>
      </c>
      <c r="H366" s="206">
        <f>'Flow Rate'!$W$27</f>
        <v>464206.53322409093</v>
      </c>
      <c r="I366" s="178">
        <f>'Ozone-Energy'!H359</f>
        <v>1776342.8571428568</v>
      </c>
      <c r="J366" s="128">
        <f t="shared" si="55"/>
        <v>1.7763428571428568</v>
      </c>
      <c r="K366" s="193">
        <f>'Ozone-Energy'!J359</f>
        <v>49499.999999999985</v>
      </c>
      <c r="L366" s="43">
        <f t="shared" si="54"/>
        <v>49.499999999999986</v>
      </c>
      <c r="M366" s="43">
        <f>'Ozone-Energy'!L359</f>
        <v>98999999.99999997</v>
      </c>
      <c r="N366" s="179">
        <f>'Ozone-Energy'!M359</f>
        <v>98.999999999999972</v>
      </c>
      <c r="O366" s="43">
        <f>'Ozone-Energy'!N359</f>
        <v>1200</v>
      </c>
      <c r="P366" s="180">
        <f t="shared" si="58"/>
        <v>4.32</v>
      </c>
      <c r="Q366" s="181">
        <f t="shared" si="50"/>
        <v>105.09634285714282</v>
      </c>
      <c r="R366" s="43">
        <f>'Ozone-Energy'!Q359</f>
        <v>0</v>
      </c>
      <c r="S366" s="43">
        <f>'Ozone-Energy'!R359</f>
        <v>0</v>
      </c>
      <c r="T366" s="43">
        <f>'Ozone-Energy'!S359</f>
        <v>0</v>
      </c>
      <c r="U366" s="43"/>
      <c r="V366" s="43"/>
      <c r="W366">
        <f>'Ozone-Energy'!V359</f>
        <v>0</v>
      </c>
      <c r="X366">
        <f>'Ozone-Energy'!W359</f>
        <v>0</v>
      </c>
      <c r="Y366">
        <f>'Ozone-Energy'!X359</f>
        <v>0</v>
      </c>
      <c r="Z366">
        <f>'Ozone-Energy'!Y359</f>
        <v>0</v>
      </c>
      <c r="AA366" s="43"/>
    </row>
    <row r="367" spans="2:27" ht="15">
      <c r="B367" s="60"/>
      <c r="C367">
        <v>350</v>
      </c>
      <c r="D367" s="359">
        <v>20.2</v>
      </c>
      <c r="E367" s="211">
        <f t="shared" si="53"/>
        <v>22.22</v>
      </c>
      <c r="F367" s="211">
        <f>'Studio Rain System'!L372</f>
        <v>20</v>
      </c>
      <c r="G367" s="211">
        <f>'Studio Rain System'!M372</f>
        <v>0.745</v>
      </c>
      <c r="H367" s="206">
        <f>'Flow Rate'!$W$27</f>
        <v>464206.53322409093</v>
      </c>
      <c r="I367" s="178">
        <f>'Ozone-Energy'!H360</f>
        <v>3986902.8571428573</v>
      </c>
      <c r="J367" s="128">
        <f t="shared" si="55"/>
        <v>3.9869028571428573</v>
      </c>
      <c r="K367" s="193">
        <f>'Ozone-Energy'!J360</f>
        <v>111100</v>
      </c>
      <c r="L367" s="43">
        <f t="shared" si="54"/>
        <v>111.1</v>
      </c>
      <c r="M367" s="43">
        <f>'Ozone-Energy'!L360</f>
        <v>222200000</v>
      </c>
      <c r="N367" s="179">
        <f>'Ozone-Energy'!M360</f>
        <v>222.2</v>
      </c>
      <c r="O367" s="43">
        <f>'Ozone-Energy'!N360</f>
        <v>1200</v>
      </c>
      <c r="P367" s="180">
        <f t="shared" si="58"/>
        <v>4.32</v>
      </c>
      <c r="Q367" s="181">
        <f t="shared" si="50"/>
        <v>230.50690285714285</v>
      </c>
      <c r="R367" s="43">
        <f>'Ozone-Energy'!Q360</f>
        <v>0</v>
      </c>
      <c r="S367" s="43">
        <f>'Ozone-Energy'!R360</f>
        <v>0</v>
      </c>
      <c r="T367" s="43">
        <f>'Ozone-Energy'!S360</f>
        <v>0</v>
      </c>
      <c r="U367" s="43"/>
      <c r="V367" s="43"/>
      <c r="W367">
        <f>'Ozone-Energy'!V360</f>
        <v>0</v>
      </c>
      <c r="X367">
        <f>'Ozone-Energy'!W360</f>
        <v>0</v>
      </c>
      <c r="Y367">
        <f>'Ozone-Energy'!X360</f>
        <v>0</v>
      </c>
      <c r="Z367">
        <f>'Ozone-Energy'!Y360</f>
        <v>0</v>
      </c>
      <c r="AA367" s="43"/>
    </row>
    <row r="368" spans="2:27" ht="15">
      <c r="B368" s="60"/>
      <c r="C368">
        <v>351</v>
      </c>
      <c r="D368" s="359">
        <v>0.8</v>
      </c>
      <c r="E368" s="211">
        <f t="shared" si="53"/>
        <v>0.88</v>
      </c>
      <c r="F368" s="211">
        <f>'Studio Rain System'!L373</f>
        <v>20</v>
      </c>
      <c r="G368" s="211">
        <f>'Studio Rain System'!M373</f>
        <v>0.745</v>
      </c>
      <c r="H368" s="206">
        <f>'Flow Rate'!$W$27</f>
        <v>464206.53322409093</v>
      </c>
      <c r="I368" s="178">
        <f>'Ozone-Energy'!H361</f>
        <v>157897.14285714287</v>
      </c>
      <c r="J368" s="128">
        <f t="shared" si="55"/>
        <v>0.15789714285714287</v>
      </c>
      <c r="K368" s="193">
        <f>'Ozone-Energy'!J361</f>
        <v>4400</v>
      </c>
      <c r="L368" s="43">
        <f t="shared" si="54"/>
        <v>4.4000000000000004</v>
      </c>
      <c r="M368" s="43">
        <f>'Ozone-Energy'!L361</f>
        <v>8800000</v>
      </c>
      <c r="N368" s="179">
        <f>'Ozone-Energy'!M361</f>
        <v>8.8000000000000007</v>
      </c>
      <c r="O368" s="43">
        <f>'Ozone-Energy'!N361</f>
        <v>1200</v>
      </c>
      <c r="P368" s="180">
        <f xml:space="preserve"> O368 * 3600 / 1000000</f>
        <v>4.32</v>
      </c>
      <c r="Q368" s="181">
        <f t="shared" si="50"/>
        <v>13.277897142857144</v>
      </c>
      <c r="R368" s="43">
        <f>'Ozone-Energy'!Q361</f>
        <v>0</v>
      </c>
      <c r="S368" s="43">
        <f>'Ozone-Energy'!R361</f>
        <v>0</v>
      </c>
      <c r="T368" s="43">
        <f>'Ozone-Energy'!S361</f>
        <v>0</v>
      </c>
      <c r="U368" s="43"/>
      <c r="V368" s="43"/>
      <c r="W368">
        <f>'Ozone-Energy'!V361</f>
        <v>0</v>
      </c>
      <c r="X368">
        <f>'Ozone-Energy'!W361</f>
        <v>0</v>
      </c>
      <c r="Y368">
        <f>'Ozone-Energy'!X361</f>
        <v>0</v>
      </c>
      <c r="Z368">
        <f>'Ozone-Energy'!Y361</f>
        <v>0</v>
      </c>
      <c r="AA368" s="43"/>
    </row>
    <row r="369" spans="2:27" ht="15">
      <c r="B369" s="60"/>
      <c r="C369">
        <v>352</v>
      </c>
      <c r="D369" s="359">
        <v>24.6</v>
      </c>
      <c r="E369" s="211">
        <f t="shared" si="53"/>
        <v>27.06</v>
      </c>
      <c r="F369" s="211">
        <f>'Studio Rain System'!L374</f>
        <v>20</v>
      </c>
      <c r="G369" s="211">
        <f>'Studio Rain System'!M374</f>
        <v>0.745</v>
      </c>
      <c r="H369" s="206">
        <f>'Flow Rate'!$W$27</f>
        <v>464206.53322409093</v>
      </c>
      <c r="I369" s="178">
        <f>'Ozone-Energy'!H362</f>
        <v>4855337.1428571427</v>
      </c>
      <c r="J369" s="128">
        <f t="shared" si="55"/>
        <v>4.8553371428571426</v>
      </c>
      <c r="K369" s="193">
        <f>'Ozone-Energy'!J362</f>
        <v>135300</v>
      </c>
      <c r="L369" s="43">
        <f t="shared" si="54"/>
        <v>135.30000000000001</v>
      </c>
      <c r="M369" s="43">
        <f>'Ozone-Energy'!L362</f>
        <v>270600000</v>
      </c>
      <c r="N369" s="179">
        <f>'Ozone-Energy'!M362</f>
        <v>270.60000000000002</v>
      </c>
      <c r="O369" s="43">
        <f>'Ozone-Energy'!N362</f>
        <v>1200</v>
      </c>
      <c r="P369" s="180">
        <f t="shared" ref="P369:P377" si="59">O369 * 3600 / 1000000</f>
        <v>4.32</v>
      </c>
      <c r="Q369" s="181">
        <f t="shared" si="50"/>
        <v>279.77533714285715</v>
      </c>
      <c r="R369" s="43">
        <f>'Ozone-Energy'!Q362</f>
        <v>0</v>
      </c>
      <c r="S369" s="43">
        <f>'Ozone-Energy'!R362</f>
        <v>0</v>
      </c>
      <c r="T369" s="43">
        <f>'Ozone-Energy'!S362</f>
        <v>0</v>
      </c>
      <c r="U369" s="43"/>
      <c r="V369" s="43"/>
      <c r="W369">
        <f>'Ozone-Energy'!V362</f>
        <v>0</v>
      </c>
      <c r="X369">
        <f>'Ozone-Energy'!W362</f>
        <v>0</v>
      </c>
      <c r="Y369">
        <f>'Ozone-Energy'!X362</f>
        <v>0</v>
      </c>
      <c r="Z369">
        <f>'Ozone-Energy'!Y362</f>
        <v>0</v>
      </c>
      <c r="AA369" s="43"/>
    </row>
    <row r="370" spans="2:27" ht="15">
      <c r="B370" s="60"/>
      <c r="C370">
        <v>353</v>
      </c>
      <c r="D370" s="359">
        <v>0</v>
      </c>
      <c r="E370" s="211">
        <f t="shared" si="53"/>
        <v>0</v>
      </c>
      <c r="F370" s="211">
        <f>'Studio Rain System'!L375</f>
        <v>19.254999999999999</v>
      </c>
      <c r="G370" s="211">
        <f>'Studio Rain System'!M375</f>
        <v>0.745</v>
      </c>
      <c r="H370" s="206">
        <f>'Flow Rate'!$W$27</f>
        <v>464206.53322409093</v>
      </c>
      <c r="I370" s="178">
        <f>'Ozone-Energy'!H363</f>
        <v>0</v>
      </c>
      <c r="J370" s="128">
        <f t="shared" si="55"/>
        <v>0</v>
      </c>
      <c r="K370" s="193">
        <f>'Ozone-Energy'!J363</f>
        <v>0</v>
      </c>
      <c r="L370" s="43">
        <f t="shared" si="54"/>
        <v>0</v>
      </c>
      <c r="M370" s="43">
        <f>'Ozone-Energy'!L363</f>
        <v>0</v>
      </c>
      <c r="N370" s="179">
        <f>'Ozone-Energy'!M363</f>
        <v>0</v>
      </c>
      <c r="O370" s="43">
        <f>'Ozone-Energy'!N363</f>
        <v>1200</v>
      </c>
      <c r="P370" s="180">
        <f t="shared" si="59"/>
        <v>4.32</v>
      </c>
      <c r="Q370" s="181">
        <f t="shared" si="50"/>
        <v>4.32</v>
      </c>
      <c r="R370" s="43">
        <f>'Ozone-Energy'!Q363</f>
        <v>0</v>
      </c>
      <c r="S370" s="43">
        <f>'Ozone-Energy'!R363</f>
        <v>0</v>
      </c>
      <c r="T370" s="43">
        <f>'Ozone-Energy'!S363</f>
        <v>0</v>
      </c>
      <c r="U370" s="43"/>
      <c r="V370" s="43"/>
      <c r="W370">
        <f>'Ozone-Energy'!V363</f>
        <v>0</v>
      </c>
      <c r="X370">
        <f>'Ozone-Energy'!W363</f>
        <v>0</v>
      </c>
      <c r="Y370">
        <f>'Ozone-Energy'!X363</f>
        <v>0</v>
      </c>
      <c r="Z370">
        <f>'Ozone-Energy'!Y363</f>
        <v>0</v>
      </c>
      <c r="AA370" s="43"/>
    </row>
    <row r="371" spans="2:27" ht="15">
      <c r="B371" s="60"/>
      <c r="C371">
        <v>354</v>
      </c>
      <c r="D371" s="359">
        <v>0</v>
      </c>
      <c r="E371" s="211">
        <f t="shared" si="53"/>
        <v>0</v>
      </c>
      <c r="F371" s="211">
        <f>'Studio Rain System'!L376</f>
        <v>18.509999999999998</v>
      </c>
      <c r="G371" s="211">
        <f>'Studio Rain System'!M376</f>
        <v>0.745</v>
      </c>
      <c r="H371" s="206">
        <f>'Flow Rate'!$W$27</f>
        <v>464206.53322409093</v>
      </c>
      <c r="I371" s="178">
        <f>'Ozone-Energy'!H364</f>
        <v>0</v>
      </c>
      <c r="J371" s="128">
        <f t="shared" si="55"/>
        <v>0</v>
      </c>
      <c r="K371" s="193">
        <f>'Ozone-Energy'!J364</f>
        <v>0</v>
      </c>
      <c r="L371" s="43">
        <f t="shared" si="54"/>
        <v>0</v>
      </c>
      <c r="M371" s="43">
        <f>'Ozone-Energy'!L364</f>
        <v>0</v>
      </c>
      <c r="N371" s="179">
        <f>'Ozone-Energy'!M364</f>
        <v>0</v>
      </c>
      <c r="O371" s="43">
        <f>'Ozone-Energy'!N364</f>
        <v>1200</v>
      </c>
      <c r="P371" s="180">
        <f t="shared" si="59"/>
        <v>4.32</v>
      </c>
      <c r="Q371" s="181">
        <f t="shared" si="50"/>
        <v>4.32</v>
      </c>
      <c r="R371" s="43">
        <f>'Ozone-Energy'!Q364</f>
        <v>0</v>
      </c>
      <c r="S371" s="43">
        <f>'Ozone-Energy'!R364</f>
        <v>0</v>
      </c>
      <c r="T371" s="43">
        <f>'Ozone-Energy'!S364</f>
        <v>0</v>
      </c>
      <c r="U371" s="43"/>
      <c r="V371" s="43"/>
      <c r="W371">
        <f>'Ozone-Energy'!V364</f>
        <v>0</v>
      </c>
      <c r="X371">
        <f>'Ozone-Energy'!W364</f>
        <v>0</v>
      </c>
      <c r="Y371">
        <f>'Ozone-Energy'!X364</f>
        <v>0</v>
      </c>
      <c r="Z371">
        <f>'Ozone-Energy'!Y364</f>
        <v>0</v>
      </c>
      <c r="AA371" s="43"/>
    </row>
    <row r="372" spans="2:27" ht="15">
      <c r="B372" s="60"/>
      <c r="C372">
        <v>355</v>
      </c>
      <c r="D372" s="359">
        <v>8.8000000000000007</v>
      </c>
      <c r="E372" s="211">
        <f t="shared" si="53"/>
        <v>9.68</v>
      </c>
      <c r="F372" s="211">
        <f>'Studio Rain System'!L377</f>
        <v>20</v>
      </c>
      <c r="G372" s="211">
        <f>'Studio Rain System'!M377</f>
        <v>0.745</v>
      </c>
      <c r="H372" s="206">
        <f>'Flow Rate'!$W$27</f>
        <v>464206.53322409093</v>
      </c>
      <c r="I372" s="178">
        <f>'Ozone-Energy'!H365</f>
        <v>1736868.5714285716</v>
      </c>
      <c r="J372" s="128">
        <f t="shared" si="55"/>
        <v>1.7368685714285714</v>
      </c>
      <c r="K372" s="193">
        <f>'Ozone-Energy'!J365</f>
        <v>48400</v>
      </c>
      <c r="L372" s="43">
        <f t="shared" si="54"/>
        <v>48.4</v>
      </c>
      <c r="M372" s="43">
        <f>'Ozone-Energy'!L365</f>
        <v>96800000</v>
      </c>
      <c r="N372" s="179">
        <f>'Ozone-Energy'!M365</f>
        <v>96.8</v>
      </c>
      <c r="O372" s="43">
        <f>'Ozone-Energy'!N365</f>
        <v>1200</v>
      </c>
      <c r="P372" s="180">
        <f t="shared" si="59"/>
        <v>4.32</v>
      </c>
      <c r="Q372" s="181">
        <f t="shared" si="50"/>
        <v>102.85686857142858</v>
      </c>
      <c r="R372" s="43">
        <f>'Ozone-Energy'!Q365</f>
        <v>0</v>
      </c>
      <c r="S372" s="43">
        <f>'Ozone-Energy'!R365</f>
        <v>0</v>
      </c>
      <c r="T372" s="43">
        <f>'Ozone-Energy'!S365</f>
        <v>0</v>
      </c>
      <c r="U372" s="43"/>
      <c r="V372" s="43"/>
      <c r="W372">
        <f>'Ozone-Energy'!V365</f>
        <v>0</v>
      </c>
      <c r="X372">
        <f>'Ozone-Energy'!W365</f>
        <v>0</v>
      </c>
      <c r="Y372">
        <f>'Ozone-Energy'!X365</f>
        <v>0</v>
      </c>
      <c r="Z372">
        <f>'Ozone-Energy'!Y365</f>
        <v>0</v>
      </c>
      <c r="AA372" s="43"/>
    </row>
    <row r="373" spans="2:27" ht="15">
      <c r="B373" s="60"/>
      <c r="C373">
        <v>356</v>
      </c>
      <c r="D373" s="359">
        <v>11.6</v>
      </c>
      <c r="E373" s="211">
        <f t="shared" si="53"/>
        <v>12.76</v>
      </c>
      <c r="F373" s="211">
        <f>'Studio Rain System'!L378</f>
        <v>20</v>
      </c>
      <c r="G373" s="211">
        <f>'Studio Rain System'!M378</f>
        <v>0.745</v>
      </c>
      <c r="H373" s="206">
        <f>'Flow Rate'!$W$27</f>
        <v>464206.53322409093</v>
      </c>
      <c r="I373" s="178">
        <f>'Ozone-Energy'!H366</f>
        <v>2289508.5714285714</v>
      </c>
      <c r="J373" s="128">
        <f t="shared" si="55"/>
        <v>2.2895085714285712</v>
      </c>
      <c r="K373" s="193">
        <f>'Ozone-Energy'!J366</f>
        <v>63800</v>
      </c>
      <c r="L373" s="43">
        <f t="shared" si="54"/>
        <v>63.8</v>
      </c>
      <c r="M373" s="43">
        <f>'Ozone-Energy'!L366</f>
        <v>127600000</v>
      </c>
      <c r="N373" s="179">
        <f>'Ozone-Energy'!M366</f>
        <v>127.6</v>
      </c>
      <c r="O373" s="43">
        <f>'Ozone-Energy'!N366</f>
        <v>1200</v>
      </c>
      <c r="P373" s="180">
        <f t="shared" si="59"/>
        <v>4.32</v>
      </c>
      <c r="Q373" s="181">
        <f t="shared" si="50"/>
        <v>134.20950857142856</v>
      </c>
      <c r="R373" s="43">
        <f>'Ozone-Energy'!Q366</f>
        <v>0</v>
      </c>
      <c r="S373" s="43">
        <f>'Ozone-Energy'!R366</f>
        <v>0</v>
      </c>
      <c r="T373" s="43">
        <f>'Ozone-Energy'!S366</f>
        <v>0</v>
      </c>
      <c r="U373" s="43"/>
      <c r="V373" s="43"/>
      <c r="W373">
        <f>'Ozone-Energy'!V366</f>
        <v>0</v>
      </c>
      <c r="X373">
        <f>'Ozone-Energy'!W366</f>
        <v>0</v>
      </c>
      <c r="Y373">
        <f>'Ozone-Energy'!X366</f>
        <v>0</v>
      </c>
      <c r="Z373">
        <f>'Ozone-Energy'!Y366</f>
        <v>0</v>
      </c>
      <c r="AA373" s="43"/>
    </row>
    <row r="374" spans="2:27" ht="15">
      <c r="B374" s="60"/>
      <c r="C374">
        <v>357</v>
      </c>
      <c r="D374" s="359">
        <v>10</v>
      </c>
      <c r="E374" s="211">
        <f t="shared" si="53"/>
        <v>11</v>
      </c>
      <c r="F374" s="211">
        <f>'Studio Rain System'!L379</f>
        <v>20</v>
      </c>
      <c r="G374" s="211">
        <f>'Studio Rain System'!M379</f>
        <v>0.745</v>
      </c>
      <c r="H374" s="206">
        <f>'Flow Rate'!$W$27</f>
        <v>464206.53322409093</v>
      </c>
      <c r="I374" s="178">
        <f>'Ozone-Energy'!H367</f>
        <v>1973714.2857142859</v>
      </c>
      <c r="J374" s="128">
        <f t="shared" si="55"/>
        <v>1.9737142857142858</v>
      </c>
      <c r="K374" s="193">
        <f>'Ozone-Energy'!J367</f>
        <v>55000</v>
      </c>
      <c r="L374" s="43">
        <f t="shared" si="54"/>
        <v>55</v>
      </c>
      <c r="M374" s="43">
        <f>'Ozone-Energy'!L367</f>
        <v>110000000</v>
      </c>
      <c r="N374" s="179">
        <f>'Ozone-Energy'!M367</f>
        <v>110</v>
      </c>
      <c r="O374" s="43">
        <f>'Ozone-Energy'!N367</f>
        <v>1200</v>
      </c>
      <c r="P374" s="180">
        <f t="shared" si="59"/>
        <v>4.32</v>
      </c>
      <c r="Q374" s="181">
        <f t="shared" si="50"/>
        <v>116.29371428571429</v>
      </c>
      <c r="R374" s="43">
        <f>'Ozone-Energy'!Q367</f>
        <v>0</v>
      </c>
      <c r="S374" s="43">
        <f>'Ozone-Energy'!R367</f>
        <v>0</v>
      </c>
      <c r="T374" s="43">
        <f>'Ozone-Energy'!S367</f>
        <v>0</v>
      </c>
      <c r="U374" s="43"/>
      <c r="V374" s="43"/>
      <c r="W374">
        <f>'Ozone-Energy'!V367</f>
        <v>0</v>
      </c>
      <c r="X374">
        <f>'Ozone-Energy'!W367</f>
        <v>0</v>
      </c>
      <c r="Y374">
        <f>'Ozone-Energy'!X367</f>
        <v>0</v>
      </c>
      <c r="Z374">
        <f>'Ozone-Energy'!Y367</f>
        <v>0</v>
      </c>
      <c r="AA374" s="43"/>
    </row>
    <row r="375" spans="2:27" ht="15">
      <c r="B375" s="60"/>
      <c r="C375">
        <v>358</v>
      </c>
      <c r="D375" s="359">
        <v>2.2000000000000002</v>
      </c>
      <c r="E375" s="211">
        <f t="shared" si="53"/>
        <v>2.42</v>
      </c>
      <c r="F375" s="211">
        <f>'Studio Rain System'!L380</f>
        <v>20</v>
      </c>
      <c r="G375" s="211">
        <f>'Studio Rain System'!M380</f>
        <v>0.745</v>
      </c>
      <c r="H375" s="206">
        <f>'Flow Rate'!$W$27</f>
        <v>464206.53322409093</v>
      </c>
      <c r="I375" s="178">
        <f>'Ozone-Energy'!H368</f>
        <v>434217.1428571429</v>
      </c>
      <c r="J375" s="128">
        <f t="shared" si="55"/>
        <v>0.43421714285714286</v>
      </c>
      <c r="K375" s="193">
        <f>'Ozone-Energy'!J368</f>
        <v>12100</v>
      </c>
      <c r="L375" s="43">
        <f t="shared" si="54"/>
        <v>12.1</v>
      </c>
      <c r="M375" s="43">
        <f>'Ozone-Energy'!L368</f>
        <v>24200000</v>
      </c>
      <c r="N375" s="179">
        <f>'Ozone-Energy'!M368</f>
        <v>24.2</v>
      </c>
      <c r="O375" s="43">
        <f>'Ozone-Energy'!N368</f>
        <v>1200</v>
      </c>
      <c r="P375" s="180">
        <f t="shared" si="59"/>
        <v>4.32</v>
      </c>
      <c r="Q375" s="181">
        <f t="shared" si="50"/>
        <v>28.954217142857143</v>
      </c>
      <c r="R375" s="43">
        <f>'Ozone-Energy'!Q368</f>
        <v>0</v>
      </c>
      <c r="S375" s="43">
        <f>'Ozone-Energy'!R368</f>
        <v>0</v>
      </c>
      <c r="T375" s="43">
        <f>'Ozone-Energy'!S368</f>
        <v>0</v>
      </c>
      <c r="U375" s="43"/>
      <c r="V375" s="43"/>
      <c r="W375">
        <f>'Ozone-Energy'!V368</f>
        <v>0</v>
      </c>
      <c r="X375">
        <f>'Ozone-Energy'!W368</f>
        <v>0</v>
      </c>
      <c r="Y375">
        <f>'Ozone-Energy'!X368</f>
        <v>0</v>
      </c>
      <c r="Z375">
        <f>'Ozone-Energy'!Y368</f>
        <v>0</v>
      </c>
      <c r="AA375" s="43"/>
    </row>
    <row r="376" spans="2:27" ht="15">
      <c r="B376" s="60"/>
      <c r="C376">
        <v>359</v>
      </c>
      <c r="D376" s="359">
        <v>0.6</v>
      </c>
      <c r="E376" s="211">
        <f t="shared" si="53"/>
        <v>0.65999999999999992</v>
      </c>
      <c r="F376" s="211">
        <f>'Studio Rain System'!L381</f>
        <v>19.914999999999999</v>
      </c>
      <c r="G376" s="211">
        <f>'Studio Rain System'!M381</f>
        <v>0.745</v>
      </c>
      <c r="H376" s="206">
        <f>'Flow Rate'!$W$27</f>
        <v>464206.53322409093</v>
      </c>
      <c r="I376" s="178">
        <f>'Ozone-Energy'!H369</f>
        <v>118422.85714285713</v>
      </c>
      <c r="J376" s="128">
        <f t="shared" si="55"/>
        <v>0.11842285714285712</v>
      </c>
      <c r="K376" s="193">
        <f>'Ozone-Energy'!J369</f>
        <v>3299.9999999999991</v>
      </c>
      <c r="L376" s="43">
        <f t="shared" si="54"/>
        <v>3.2999999999999989</v>
      </c>
      <c r="M376" s="43">
        <f>'Ozone-Energy'!L369</f>
        <v>6599999.9999999981</v>
      </c>
      <c r="N376" s="179">
        <f>'Ozone-Energy'!M369</f>
        <v>6.5999999999999979</v>
      </c>
      <c r="O376" s="43">
        <f>'Ozone-Energy'!N369</f>
        <v>1200</v>
      </c>
      <c r="P376" s="180">
        <f t="shared" si="59"/>
        <v>4.32</v>
      </c>
      <c r="Q376" s="181">
        <f t="shared" si="50"/>
        <v>11.038422857142855</v>
      </c>
      <c r="R376" s="43">
        <f>'Ozone-Energy'!Q369</f>
        <v>0</v>
      </c>
      <c r="S376" s="43">
        <f>'Ozone-Energy'!R369</f>
        <v>0</v>
      </c>
      <c r="T376" s="43">
        <f>'Ozone-Energy'!S369</f>
        <v>0</v>
      </c>
      <c r="U376" s="43"/>
      <c r="V376" s="43"/>
      <c r="W376">
        <f>'Ozone-Energy'!V369</f>
        <v>0</v>
      </c>
      <c r="X376">
        <f>'Ozone-Energy'!W369</f>
        <v>0</v>
      </c>
      <c r="Y376">
        <f>'Ozone-Energy'!X369</f>
        <v>0</v>
      </c>
      <c r="Z376">
        <f>'Ozone-Energy'!Y369</f>
        <v>0</v>
      </c>
      <c r="AA376" s="43"/>
    </row>
    <row r="377" spans="2:27" ht="15">
      <c r="B377" s="60"/>
      <c r="C377">
        <v>360</v>
      </c>
      <c r="D377" s="359">
        <v>10.199999999999999</v>
      </c>
      <c r="E377" s="211">
        <f t="shared" si="53"/>
        <v>11.219999999999999</v>
      </c>
      <c r="F377" s="211">
        <f>'Studio Rain System'!L382</f>
        <v>20</v>
      </c>
      <c r="G377" s="211">
        <f>'Studio Rain System'!M382</f>
        <v>0.745</v>
      </c>
      <c r="H377" s="206">
        <f>'Flow Rate'!$W$27</f>
        <v>464206.53322409093</v>
      </c>
      <c r="I377" s="178">
        <f>'Ozone-Energy'!H370</f>
        <v>2013188.5714285711</v>
      </c>
      <c r="J377" s="128">
        <f t="shared" si="55"/>
        <v>2.0131885714285711</v>
      </c>
      <c r="K377" s="193">
        <f>'Ozone-Energy'!J370</f>
        <v>56099.999999999985</v>
      </c>
      <c r="L377" s="43">
        <f t="shared" si="54"/>
        <v>56.099999999999987</v>
      </c>
      <c r="M377" s="43">
        <f>'Ozone-Energy'!L370</f>
        <v>112199999.99999997</v>
      </c>
      <c r="N377" s="179">
        <f>'Ozone-Energy'!M370</f>
        <v>112.19999999999997</v>
      </c>
      <c r="O377" s="43">
        <f>'Ozone-Energy'!N370</f>
        <v>1200</v>
      </c>
      <c r="P377" s="180">
        <f t="shared" si="59"/>
        <v>4.32</v>
      </c>
      <c r="Q377" s="181">
        <f t="shared" si="50"/>
        <v>118.53318857142855</v>
      </c>
      <c r="R377" s="43">
        <f>'Ozone-Energy'!Q370</f>
        <v>0</v>
      </c>
      <c r="S377" s="43">
        <f>'Ozone-Energy'!R370</f>
        <v>0</v>
      </c>
      <c r="T377" s="43">
        <f>'Ozone-Energy'!S370</f>
        <v>0</v>
      </c>
      <c r="U377" s="43"/>
      <c r="V377" s="43"/>
      <c r="W377">
        <f>'Ozone-Energy'!V370</f>
        <v>0</v>
      </c>
      <c r="X377">
        <f>'Ozone-Energy'!W370</f>
        <v>0</v>
      </c>
      <c r="Y377">
        <f>'Ozone-Energy'!X370</f>
        <v>0</v>
      </c>
      <c r="Z377">
        <f>'Ozone-Energy'!Y370</f>
        <v>0</v>
      </c>
      <c r="AA377" s="43"/>
    </row>
    <row r="378" spans="2:27" ht="15">
      <c r="B378" s="60"/>
      <c r="C378">
        <v>361</v>
      </c>
      <c r="D378" s="359">
        <v>5.4</v>
      </c>
      <c r="E378" s="211">
        <f t="shared" si="53"/>
        <v>5.94</v>
      </c>
      <c r="F378" s="211">
        <f>'Studio Rain System'!L383</f>
        <v>20</v>
      </c>
      <c r="G378" s="211">
        <f>'Studio Rain System'!M383</f>
        <v>0.745</v>
      </c>
      <c r="H378" s="206">
        <f>'Flow Rate'!$W$27</f>
        <v>464206.53322409093</v>
      </c>
      <c r="I378" s="178">
        <f>'Ozone-Energy'!H371</f>
        <v>1065805.7142857143</v>
      </c>
      <c r="J378" s="128">
        <f t="shared" si="55"/>
        <v>1.0658057142857142</v>
      </c>
      <c r="K378" s="193">
        <f>'Ozone-Energy'!J371</f>
        <v>29700</v>
      </c>
      <c r="L378" s="43">
        <f t="shared" si="54"/>
        <v>29.7</v>
      </c>
      <c r="M378" s="43">
        <f>'Ozone-Energy'!L371</f>
        <v>59400000</v>
      </c>
      <c r="N378" s="179">
        <f>'Ozone-Energy'!M371</f>
        <v>59.4</v>
      </c>
      <c r="O378" s="43">
        <f>'Ozone-Energy'!N371</f>
        <v>1200</v>
      </c>
      <c r="P378" s="180">
        <f xml:space="preserve"> O378 * 3600 / 1000000</f>
        <v>4.32</v>
      </c>
      <c r="Q378" s="181">
        <f t="shared" si="50"/>
        <v>64.785805714285715</v>
      </c>
      <c r="R378" s="43">
        <f>'Ozone-Energy'!Q371</f>
        <v>0</v>
      </c>
      <c r="S378" s="43">
        <f>'Ozone-Energy'!R371</f>
        <v>0</v>
      </c>
      <c r="T378" s="43">
        <f>'Ozone-Energy'!S371</f>
        <v>0</v>
      </c>
      <c r="U378" s="43"/>
      <c r="V378" s="43"/>
      <c r="W378">
        <f>'Ozone-Energy'!V371</f>
        <v>0</v>
      </c>
      <c r="X378">
        <f>'Ozone-Energy'!W371</f>
        <v>0</v>
      </c>
      <c r="Y378">
        <f>'Ozone-Energy'!X371</f>
        <v>0</v>
      </c>
      <c r="Z378">
        <f>'Ozone-Energy'!Y371</f>
        <v>0</v>
      </c>
      <c r="AA378" s="43"/>
    </row>
    <row r="379" spans="2:27" ht="15">
      <c r="B379" s="60"/>
      <c r="C379">
        <v>362</v>
      </c>
      <c r="D379" s="359">
        <v>0</v>
      </c>
      <c r="E379" s="211">
        <f t="shared" si="53"/>
        <v>0</v>
      </c>
      <c r="F379" s="211">
        <f>'Studio Rain System'!L384</f>
        <v>19.254999999999999</v>
      </c>
      <c r="G379" s="211">
        <f>'Studio Rain System'!M384</f>
        <v>0.745</v>
      </c>
      <c r="H379" s="206">
        <f>'Flow Rate'!$W$27</f>
        <v>464206.53322409093</v>
      </c>
      <c r="I379" s="178">
        <f>'Ozone-Energy'!H372</f>
        <v>0</v>
      </c>
      <c r="J379" s="128">
        <f t="shared" si="55"/>
        <v>0</v>
      </c>
      <c r="K379" s="193">
        <f>'Ozone-Energy'!J372</f>
        <v>0</v>
      </c>
      <c r="L379" s="43">
        <f t="shared" si="54"/>
        <v>0</v>
      </c>
      <c r="M379" s="43">
        <f>'Ozone-Energy'!L372</f>
        <v>0</v>
      </c>
      <c r="N379" s="179">
        <f>'Ozone-Energy'!M372</f>
        <v>0</v>
      </c>
      <c r="O379" s="43">
        <f>'Ozone-Energy'!N372</f>
        <v>1200</v>
      </c>
      <c r="P379" s="180">
        <f>O379 * 3600 / 1000000</f>
        <v>4.32</v>
      </c>
      <c r="Q379" s="181">
        <f t="shared" ref="Q379:Q382" si="60">J379 + N379 + P379</f>
        <v>4.32</v>
      </c>
      <c r="R379" s="43">
        <f>'Ozone-Energy'!Q372</f>
        <v>0</v>
      </c>
      <c r="S379" s="43">
        <f>'Ozone-Energy'!R372</f>
        <v>0</v>
      </c>
      <c r="T379" s="43">
        <f>'Ozone-Energy'!S372</f>
        <v>0</v>
      </c>
      <c r="U379" s="43"/>
      <c r="V379" s="43"/>
      <c r="W379">
        <f>'Ozone-Energy'!V372</f>
        <v>0</v>
      </c>
      <c r="X379">
        <f>'Ozone-Energy'!W372</f>
        <v>0</v>
      </c>
      <c r="Y379">
        <f>'Ozone-Energy'!X372</f>
        <v>0</v>
      </c>
      <c r="Z379">
        <f>'Ozone-Energy'!Y372</f>
        <v>0</v>
      </c>
      <c r="AA379" s="43"/>
    </row>
    <row r="380" spans="2:27" ht="15">
      <c r="B380" s="60"/>
      <c r="C380">
        <v>363</v>
      </c>
      <c r="D380" s="359">
        <v>0</v>
      </c>
      <c r="E380" s="211">
        <f t="shared" si="53"/>
        <v>0</v>
      </c>
      <c r="F380" s="211">
        <f>'Studio Rain System'!L385</f>
        <v>18.509999999999998</v>
      </c>
      <c r="G380" s="211">
        <f>'Studio Rain System'!M385</f>
        <v>0.745</v>
      </c>
      <c r="H380" s="206">
        <f>'Flow Rate'!$W$27</f>
        <v>464206.53322409093</v>
      </c>
      <c r="I380" s="178">
        <f>'Ozone-Energy'!H373</f>
        <v>0</v>
      </c>
      <c r="J380" s="128">
        <f t="shared" si="55"/>
        <v>0</v>
      </c>
      <c r="K380" s="193">
        <f>'Ozone-Energy'!J373</f>
        <v>0</v>
      </c>
      <c r="L380" s="43">
        <f t="shared" si="54"/>
        <v>0</v>
      </c>
      <c r="M380" s="43">
        <f>'Ozone-Energy'!L373</f>
        <v>0</v>
      </c>
      <c r="N380" s="179">
        <f>'Ozone-Energy'!M373</f>
        <v>0</v>
      </c>
      <c r="O380" s="43">
        <f>'Ozone-Energy'!N373</f>
        <v>1200</v>
      </c>
      <c r="P380" s="180">
        <f>O380 * 3600 / 1000000</f>
        <v>4.32</v>
      </c>
      <c r="Q380" s="181">
        <f t="shared" si="60"/>
        <v>4.32</v>
      </c>
      <c r="R380" s="43">
        <f>'Ozone-Energy'!Q373</f>
        <v>0</v>
      </c>
      <c r="S380" s="43">
        <f>'Ozone-Energy'!R373</f>
        <v>0</v>
      </c>
      <c r="T380" s="43">
        <f>'Ozone-Energy'!S373</f>
        <v>0</v>
      </c>
      <c r="U380" s="43"/>
      <c r="V380" s="43"/>
      <c r="W380">
        <f>'Ozone-Energy'!V373</f>
        <v>0</v>
      </c>
      <c r="X380">
        <f>'Ozone-Energy'!W373</f>
        <v>0</v>
      </c>
      <c r="Y380">
        <f>'Ozone-Energy'!X373</f>
        <v>0</v>
      </c>
      <c r="Z380">
        <f>'Ozone-Energy'!Y373</f>
        <v>0</v>
      </c>
      <c r="AA380" s="43"/>
    </row>
    <row r="381" spans="2:27" ht="15">
      <c r="B381" s="60"/>
      <c r="C381">
        <v>364</v>
      </c>
      <c r="D381" s="359">
        <v>0</v>
      </c>
      <c r="E381" s="211">
        <f t="shared" si="53"/>
        <v>0</v>
      </c>
      <c r="F381" s="211">
        <f>'Studio Rain System'!L386</f>
        <v>17.764999999999997</v>
      </c>
      <c r="G381" s="211">
        <f>'Studio Rain System'!M386</f>
        <v>0.745</v>
      </c>
      <c r="H381" s="206">
        <f>'Flow Rate'!$W$27</f>
        <v>464206.53322409093</v>
      </c>
      <c r="I381" s="178">
        <f>'Ozone-Energy'!H374</f>
        <v>0</v>
      </c>
      <c r="J381" s="128">
        <f t="shared" si="55"/>
        <v>0</v>
      </c>
      <c r="K381" s="193">
        <f>'Ozone-Energy'!J374</f>
        <v>0</v>
      </c>
      <c r="L381" s="43">
        <f t="shared" si="54"/>
        <v>0</v>
      </c>
      <c r="M381" s="43">
        <f>'Ozone-Energy'!L374</f>
        <v>0</v>
      </c>
      <c r="N381" s="179">
        <f>'Ozone-Energy'!M374</f>
        <v>0</v>
      </c>
      <c r="O381" s="43">
        <f>'Ozone-Energy'!N374</f>
        <v>1200</v>
      </c>
      <c r="P381" s="180">
        <f>O381 * 3600 / 1000000</f>
        <v>4.32</v>
      </c>
      <c r="Q381" s="181">
        <f t="shared" si="60"/>
        <v>4.32</v>
      </c>
      <c r="R381" s="43">
        <f>'Ozone-Energy'!Q374</f>
        <v>0</v>
      </c>
      <c r="S381" s="43">
        <f>'Ozone-Energy'!R374</f>
        <v>0</v>
      </c>
      <c r="T381" s="43">
        <f>'Ozone-Energy'!S374</f>
        <v>0</v>
      </c>
      <c r="U381" s="43"/>
      <c r="V381" s="43"/>
      <c r="W381">
        <f>'Ozone-Energy'!V374</f>
        <v>0</v>
      </c>
      <c r="X381">
        <f>'Ozone-Energy'!W374</f>
        <v>0</v>
      </c>
      <c r="Y381">
        <f>'Ozone-Energy'!X374</f>
        <v>0</v>
      </c>
      <c r="Z381">
        <f>'Ozone-Energy'!Y374</f>
        <v>0</v>
      </c>
      <c r="AA381" s="43"/>
    </row>
    <row r="382" spans="2:27" ht="15">
      <c r="B382" s="60"/>
      <c r="C382">
        <v>365</v>
      </c>
      <c r="D382" s="359">
        <v>0</v>
      </c>
      <c r="E382" s="211">
        <f t="shared" si="53"/>
        <v>0</v>
      </c>
      <c r="F382" s="211">
        <f>'Studio Rain System'!L387</f>
        <v>17.019999999999996</v>
      </c>
      <c r="G382" s="211">
        <f>'Studio Rain System'!M387</f>
        <v>0.745</v>
      </c>
      <c r="H382" s="206">
        <f>'Flow Rate'!$W$27</f>
        <v>464206.53322409093</v>
      </c>
      <c r="I382" s="178">
        <f>'Ozone-Energy'!H375</f>
        <v>0</v>
      </c>
      <c r="J382" s="128">
        <f t="shared" si="55"/>
        <v>0</v>
      </c>
      <c r="K382" s="193">
        <f>'Ozone-Energy'!J375</f>
        <v>0</v>
      </c>
      <c r="L382" s="43">
        <f t="shared" si="54"/>
        <v>0</v>
      </c>
      <c r="M382" s="43">
        <f>'Ozone-Energy'!L375</f>
        <v>0</v>
      </c>
      <c r="N382" s="179">
        <f>'Ozone-Energy'!M375</f>
        <v>0</v>
      </c>
      <c r="O382" s="43">
        <f>'Ozone-Energy'!N375</f>
        <v>1200</v>
      </c>
      <c r="P382" s="180">
        <f>O382 * 3600 / 1000000</f>
        <v>4.32</v>
      </c>
      <c r="Q382" s="181">
        <f t="shared" si="60"/>
        <v>4.32</v>
      </c>
      <c r="R382" s="43">
        <f>'Ozone-Energy'!Q375</f>
        <v>0</v>
      </c>
      <c r="S382" s="43">
        <f>'Ozone-Energy'!R375</f>
        <v>0</v>
      </c>
      <c r="T382" s="43">
        <f>'Ozone-Energy'!S375</f>
        <v>0</v>
      </c>
      <c r="U382" s="43"/>
      <c r="V382" s="43"/>
      <c r="W382">
        <f>'Ozone-Energy'!V375</f>
        <v>0</v>
      </c>
      <c r="X382">
        <f>'Ozone-Energy'!W375</f>
        <v>0</v>
      </c>
      <c r="Y382">
        <f>'Ozone-Energy'!X375</f>
        <v>0</v>
      </c>
      <c r="Z382">
        <f>'Ozone-Energy'!Y375</f>
        <v>0</v>
      </c>
      <c r="AA382" s="43"/>
    </row>
    <row r="383" spans="2:27">
      <c r="B383" s="60"/>
      <c r="C383" s="213"/>
      <c r="D383" s="214"/>
      <c r="I383" s="43"/>
      <c r="W383"/>
      <c r="X383"/>
      <c r="Y383"/>
      <c r="Z383"/>
    </row>
    <row r="384" spans="2:27">
      <c r="I384" s="43"/>
      <c r="W384"/>
      <c r="X384"/>
      <c r="Y384"/>
      <c r="Z384"/>
    </row>
    <row r="385" spans="9:26">
      <c r="I385" s="43"/>
      <c r="W385"/>
      <c r="X385"/>
      <c r="Y385"/>
      <c r="Z385"/>
    </row>
    <row r="386" spans="9:26">
      <c r="I386" s="43"/>
      <c r="W386"/>
      <c r="X386"/>
      <c r="Y386"/>
      <c r="Z386"/>
    </row>
    <row r="387" spans="9:26">
      <c r="I387" s="43"/>
      <c r="W387"/>
      <c r="X387"/>
      <c r="Y387"/>
      <c r="Z387"/>
    </row>
    <row r="388" spans="9:26">
      <c r="I388" s="43"/>
      <c r="W388"/>
      <c r="X388"/>
      <c r="Y388"/>
      <c r="Z388"/>
    </row>
    <row r="389" spans="9:26">
      <c r="I389" s="43"/>
      <c r="W389"/>
      <c r="X389"/>
      <c r="Y389"/>
      <c r="Z389"/>
    </row>
    <row r="390" spans="9:26">
      <c r="I390" s="43"/>
      <c r="W390"/>
      <c r="X390"/>
      <c r="Y390"/>
      <c r="Z390"/>
    </row>
    <row r="391" spans="9:26">
      <c r="I391" s="43"/>
      <c r="W391"/>
      <c r="X391"/>
      <c r="Y391"/>
      <c r="Z391"/>
    </row>
    <row r="392" spans="9:26">
      <c r="I392" s="43"/>
      <c r="W392"/>
      <c r="X392"/>
      <c r="Y392"/>
      <c r="Z392"/>
    </row>
    <row r="393" spans="9:26">
      <c r="I393" s="43"/>
      <c r="W393"/>
      <c r="X393"/>
      <c r="Y393"/>
      <c r="Z393"/>
    </row>
    <row r="394" spans="9:26">
      <c r="I394" s="43"/>
      <c r="W394"/>
      <c r="X394"/>
      <c r="Y394"/>
      <c r="Z394"/>
    </row>
    <row r="395" spans="9:26">
      <c r="I395" s="43"/>
      <c r="W395"/>
      <c r="X395"/>
      <c r="Y395"/>
      <c r="Z395"/>
    </row>
    <row r="396" spans="9:26">
      <c r="I396" s="43"/>
      <c r="W396"/>
      <c r="X396"/>
      <c r="Y396"/>
      <c r="Z396"/>
    </row>
    <row r="397" spans="9:26">
      <c r="I397" s="43"/>
      <c r="W397"/>
      <c r="X397"/>
      <c r="Y397"/>
      <c r="Z397"/>
    </row>
    <row r="398" spans="9:26">
      <c r="I398" s="43"/>
      <c r="W398"/>
      <c r="X398"/>
      <c r="Y398"/>
      <c r="Z398"/>
    </row>
    <row r="399" spans="9:26">
      <c r="I399" s="43"/>
      <c r="W399"/>
      <c r="X399"/>
      <c r="Y399"/>
      <c r="Z399"/>
    </row>
    <row r="400" spans="9:26">
      <c r="I400" s="43"/>
      <c r="W400"/>
      <c r="X400"/>
      <c r="Y400"/>
      <c r="Z400"/>
    </row>
    <row r="401" spans="9:26">
      <c r="I401" s="43"/>
      <c r="W401"/>
      <c r="X401"/>
      <c r="Y401"/>
      <c r="Z401"/>
    </row>
    <row r="402" spans="9:26">
      <c r="I402" s="43"/>
      <c r="W402"/>
      <c r="X402"/>
      <c r="Y402"/>
      <c r="Z402"/>
    </row>
    <row r="403" spans="9:26">
      <c r="I403" s="43"/>
      <c r="W403"/>
      <c r="X403"/>
      <c r="Y403"/>
      <c r="Z403"/>
    </row>
    <row r="404" spans="9:26">
      <c r="I404" s="43"/>
      <c r="W404"/>
      <c r="X404"/>
      <c r="Y404"/>
      <c r="Z404"/>
    </row>
    <row r="405" spans="9:26">
      <c r="I405" s="43"/>
      <c r="W405"/>
      <c r="X405"/>
      <c r="Y405"/>
      <c r="Z405"/>
    </row>
    <row r="406" spans="9:26">
      <c r="I406" s="43"/>
      <c r="W406"/>
      <c r="X406"/>
      <c r="Y406"/>
      <c r="Z406"/>
    </row>
    <row r="407" spans="9:26">
      <c r="I407" s="43"/>
      <c r="W407"/>
      <c r="X407"/>
      <c r="Y407"/>
      <c r="Z407"/>
    </row>
    <row r="408" spans="9:26">
      <c r="I408" s="43"/>
      <c r="W408"/>
      <c r="X408"/>
      <c r="Y408"/>
      <c r="Z408"/>
    </row>
    <row r="409" spans="9:26">
      <c r="I409" s="43"/>
      <c r="W409"/>
      <c r="X409"/>
      <c r="Y409"/>
      <c r="Z409"/>
    </row>
    <row r="410" spans="9:26">
      <c r="I410" s="43"/>
      <c r="W410"/>
      <c r="X410"/>
      <c r="Y410"/>
      <c r="Z410"/>
    </row>
    <row r="411" spans="9:26">
      <c r="I411" s="43"/>
      <c r="W411"/>
      <c r="X411"/>
      <c r="Y411"/>
      <c r="Z411"/>
    </row>
    <row r="412" spans="9:26">
      <c r="I412" s="43"/>
      <c r="W412"/>
      <c r="X412"/>
      <c r="Y412"/>
      <c r="Z412"/>
    </row>
    <row r="413" spans="9:26">
      <c r="I413" s="43"/>
      <c r="W413"/>
      <c r="X413"/>
      <c r="Y413"/>
      <c r="Z413"/>
    </row>
    <row r="414" spans="9:26">
      <c r="I414" s="43"/>
      <c r="W414"/>
      <c r="X414"/>
      <c r="Y414"/>
      <c r="Z414"/>
    </row>
    <row r="415" spans="9:26">
      <c r="I415" s="43"/>
      <c r="W415"/>
      <c r="X415"/>
      <c r="Y415"/>
      <c r="Z415"/>
    </row>
    <row r="416" spans="9:26">
      <c r="I416" s="43"/>
      <c r="W416"/>
      <c r="X416"/>
      <c r="Y416"/>
      <c r="Z416"/>
    </row>
    <row r="417" spans="9:26">
      <c r="I417" s="43"/>
      <c r="W417"/>
      <c r="X417"/>
      <c r="Y417"/>
      <c r="Z417"/>
    </row>
    <row r="418" spans="9:26">
      <c r="I418" s="43"/>
      <c r="W418"/>
      <c r="X418"/>
      <c r="Y418"/>
      <c r="Z418"/>
    </row>
    <row r="419" spans="9:26">
      <c r="I419" s="43"/>
      <c r="W419"/>
      <c r="X419"/>
      <c r="Y419"/>
      <c r="Z419"/>
    </row>
    <row r="420" spans="9:26">
      <c r="I420" s="43"/>
      <c r="W420"/>
      <c r="X420"/>
      <c r="Y420"/>
      <c r="Z420"/>
    </row>
    <row r="421" spans="9:26">
      <c r="I421" s="43"/>
      <c r="W421"/>
      <c r="X421"/>
      <c r="Y421"/>
      <c r="Z421"/>
    </row>
    <row r="422" spans="9:26">
      <c r="I422" s="43"/>
      <c r="W422"/>
      <c r="X422"/>
      <c r="Y422"/>
      <c r="Z422"/>
    </row>
    <row r="423" spans="9:26">
      <c r="I423" s="43"/>
      <c r="W423"/>
      <c r="X423"/>
      <c r="Y423"/>
      <c r="Z423"/>
    </row>
    <row r="424" spans="9:26">
      <c r="I424" s="43"/>
      <c r="W424"/>
      <c r="X424"/>
      <c r="Y424"/>
      <c r="Z424"/>
    </row>
    <row r="425" spans="9:26">
      <c r="I425" s="43"/>
      <c r="W425"/>
      <c r="X425"/>
      <c r="Y425"/>
      <c r="Z425"/>
    </row>
    <row r="426" spans="9:26">
      <c r="I426" s="43"/>
      <c r="W426"/>
      <c r="X426"/>
      <c r="Y426"/>
      <c r="Z426"/>
    </row>
    <row r="427" spans="9:26">
      <c r="I427" s="43"/>
      <c r="W427"/>
      <c r="X427"/>
      <c r="Y427"/>
      <c r="Z427"/>
    </row>
    <row r="428" spans="9:26">
      <c r="I428" s="43"/>
      <c r="W428"/>
      <c r="X428"/>
      <c r="Y428"/>
      <c r="Z428"/>
    </row>
    <row r="429" spans="9:26">
      <c r="I429" s="43"/>
      <c r="W429"/>
      <c r="X429"/>
      <c r="Y429"/>
      <c r="Z429"/>
    </row>
    <row r="430" spans="9:26">
      <c r="I430" s="43"/>
      <c r="W430"/>
      <c r="X430"/>
      <c r="Y430"/>
      <c r="Z430"/>
    </row>
    <row r="431" spans="9:26">
      <c r="I431" s="43"/>
      <c r="W431"/>
      <c r="X431"/>
      <c r="Y431"/>
      <c r="Z431"/>
    </row>
    <row r="432" spans="9:26">
      <c r="I432" s="43"/>
      <c r="W432"/>
      <c r="X432"/>
      <c r="Y432"/>
      <c r="Z432"/>
    </row>
    <row r="433" spans="9:26">
      <c r="I433" s="43"/>
      <c r="W433"/>
      <c r="X433"/>
      <c r="Y433"/>
      <c r="Z433"/>
    </row>
    <row r="434" spans="9:26">
      <c r="I434" s="43"/>
      <c r="W434"/>
      <c r="X434"/>
      <c r="Y434"/>
      <c r="Z434"/>
    </row>
    <row r="435" spans="9:26">
      <c r="I435" s="43"/>
      <c r="W435"/>
      <c r="X435"/>
      <c r="Y435"/>
      <c r="Z435"/>
    </row>
    <row r="436" spans="9:26">
      <c r="I436" s="43"/>
      <c r="W436"/>
      <c r="X436"/>
      <c r="Y436"/>
      <c r="Z436"/>
    </row>
    <row r="437" spans="9:26">
      <c r="I437" s="43"/>
      <c r="W437"/>
      <c r="X437"/>
      <c r="Y437"/>
      <c r="Z437"/>
    </row>
    <row r="438" spans="9:26">
      <c r="I438" s="43"/>
      <c r="W438"/>
      <c r="X438"/>
      <c r="Y438"/>
      <c r="Z438"/>
    </row>
    <row r="439" spans="9:26">
      <c r="I439" s="43"/>
      <c r="W439"/>
      <c r="X439"/>
      <c r="Y439"/>
      <c r="Z439"/>
    </row>
    <row r="440" spans="9:26">
      <c r="I440" s="43"/>
      <c r="W440"/>
      <c r="X440"/>
      <c r="Y440"/>
      <c r="Z440"/>
    </row>
    <row r="441" spans="9:26">
      <c r="I441" s="43"/>
      <c r="W441"/>
      <c r="X441"/>
      <c r="Y441"/>
      <c r="Z441"/>
    </row>
    <row r="442" spans="9:26">
      <c r="I442" s="43"/>
      <c r="W442"/>
      <c r="X442"/>
      <c r="Y442"/>
      <c r="Z442"/>
    </row>
    <row r="443" spans="9:26">
      <c r="I443" s="43"/>
      <c r="W443"/>
      <c r="X443"/>
      <c r="Y443"/>
      <c r="Z443"/>
    </row>
    <row r="444" spans="9:26">
      <c r="I444" s="43"/>
      <c r="W444"/>
      <c r="X444"/>
      <c r="Y444"/>
      <c r="Z444"/>
    </row>
    <row r="445" spans="9:26">
      <c r="I445" s="43"/>
      <c r="W445"/>
      <c r="X445"/>
      <c r="Y445"/>
      <c r="Z445"/>
    </row>
    <row r="446" spans="9:26">
      <c r="I446" s="43"/>
      <c r="W446"/>
      <c r="X446"/>
      <c r="Y446"/>
      <c r="Z446"/>
    </row>
    <row r="447" spans="9:26">
      <c r="I447" s="43"/>
      <c r="W447"/>
      <c r="X447"/>
      <c r="Y447"/>
      <c r="Z447"/>
    </row>
    <row r="448" spans="9:26">
      <c r="I448" s="43"/>
      <c r="W448"/>
      <c r="X448"/>
      <c r="Y448"/>
      <c r="Z448"/>
    </row>
    <row r="449" spans="9:26">
      <c r="I449" s="43"/>
      <c r="W449"/>
      <c r="X449"/>
      <c r="Y449"/>
      <c r="Z449"/>
    </row>
    <row r="450" spans="9:26">
      <c r="I450" s="43"/>
    </row>
    <row r="451" spans="9:26">
      <c r="I451" s="43"/>
    </row>
    <row r="452" spans="9:26">
      <c r="I452" s="43"/>
    </row>
    <row r="453" spans="9:26">
      <c r="I453" s="43"/>
    </row>
    <row r="454" spans="9:26">
      <c r="I454" s="43"/>
    </row>
    <row r="455" spans="9:26">
      <c r="I455" s="43"/>
    </row>
    <row r="456" spans="9:26">
      <c r="I456" s="43"/>
    </row>
    <row r="457" spans="9:26">
      <c r="I457" s="43"/>
    </row>
    <row r="458" spans="9:26">
      <c r="I458" s="43"/>
    </row>
    <row r="459" spans="9:26">
      <c r="I459" s="43"/>
    </row>
    <row r="460" spans="9:26">
      <c r="I460" s="43"/>
    </row>
    <row r="461" spans="9:26">
      <c r="I461" s="43"/>
    </row>
    <row r="462" spans="9:26">
      <c r="I462" s="43"/>
    </row>
    <row r="463" spans="9:26">
      <c r="I463" s="43"/>
    </row>
    <row r="464" spans="9:26">
      <c r="I464" s="43"/>
    </row>
    <row r="465" spans="9:9">
      <c r="I465" s="43"/>
    </row>
    <row r="466" spans="9:9">
      <c r="I466" s="43"/>
    </row>
    <row r="467" spans="9:9">
      <c r="I467" s="43"/>
    </row>
    <row r="468" spans="9:9">
      <c r="I468" s="43"/>
    </row>
    <row r="469" spans="9:9">
      <c r="I469" s="43"/>
    </row>
    <row r="470" spans="9:9">
      <c r="I470" s="43"/>
    </row>
    <row r="471" spans="9:9">
      <c r="I471" s="43"/>
    </row>
    <row r="472" spans="9:9">
      <c r="I472" s="43"/>
    </row>
    <row r="473" spans="9:9">
      <c r="I473" s="43"/>
    </row>
    <row r="474" spans="9:9">
      <c r="I474" s="43"/>
    </row>
    <row r="475" spans="9:9">
      <c r="I475" s="43"/>
    </row>
    <row r="476" spans="9:9">
      <c r="I476" s="43"/>
    </row>
    <row r="477" spans="9:9">
      <c r="I477" s="43"/>
    </row>
    <row r="478" spans="9:9">
      <c r="I478" s="43"/>
    </row>
    <row r="479" spans="9:9">
      <c r="I479" s="43"/>
    </row>
    <row r="480" spans="9:9">
      <c r="I480" s="43"/>
    </row>
    <row r="481" spans="9:9">
      <c r="I481" s="43"/>
    </row>
    <row r="482" spans="9:9">
      <c r="I482" s="43"/>
    </row>
    <row r="483" spans="9:9">
      <c r="I483" s="43"/>
    </row>
    <row r="484" spans="9:9">
      <c r="I484" s="43"/>
    </row>
    <row r="485" spans="9:9">
      <c r="I485" s="43"/>
    </row>
    <row r="486" spans="9:9">
      <c r="I486" s="43"/>
    </row>
    <row r="487" spans="9:9">
      <c r="I487" s="43"/>
    </row>
    <row r="488" spans="9:9">
      <c r="I488" s="43"/>
    </row>
    <row r="489" spans="9:9">
      <c r="I489" s="43"/>
    </row>
    <row r="490" spans="9:9">
      <c r="I490" s="43"/>
    </row>
    <row r="491" spans="9:9">
      <c r="I491" s="43"/>
    </row>
    <row r="492" spans="9:9">
      <c r="I492" s="43"/>
    </row>
    <row r="493" spans="9:9">
      <c r="I493" s="43"/>
    </row>
    <row r="494" spans="9:9">
      <c r="I494" s="43"/>
    </row>
    <row r="495" spans="9:9">
      <c r="I495" s="43"/>
    </row>
    <row r="496" spans="9:9">
      <c r="I496" s="43"/>
    </row>
    <row r="497" spans="9:9">
      <c r="I497" s="43"/>
    </row>
    <row r="498" spans="9:9">
      <c r="I498" s="43"/>
    </row>
    <row r="499" spans="9:9">
      <c r="I499" s="43"/>
    </row>
    <row r="500" spans="9:9">
      <c r="I500" s="43"/>
    </row>
    <row r="501" spans="9:9">
      <c r="I501" s="43"/>
    </row>
    <row r="502" spans="9:9">
      <c r="I502" s="43"/>
    </row>
    <row r="503" spans="9:9">
      <c r="I503" s="43"/>
    </row>
    <row r="504" spans="9:9">
      <c r="I504" s="43"/>
    </row>
    <row r="505" spans="9:9">
      <c r="I505" s="43"/>
    </row>
    <row r="506" spans="9:9">
      <c r="I506" s="43"/>
    </row>
    <row r="507" spans="9:9">
      <c r="I507" s="43"/>
    </row>
    <row r="508" spans="9:9">
      <c r="I508" s="43"/>
    </row>
    <row r="509" spans="9:9">
      <c r="I509" s="43"/>
    </row>
    <row r="510" spans="9:9">
      <c r="I510" s="43"/>
    </row>
    <row r="511" spans="9:9">
      <c r="I511" s="43"/>
    </row>
    <row r="512" spans="9:9">
      <c r="I512" s="43"/>
    </row>
    <row r="513" spans="9:9">
      <c r="I513" s="43"/>
    </row>
    <row r="514" spans="9:9">
      <c r="I514" s="43"/>
    </row>
    <row r="515" spans="9:9">
      <c r="I515" s="43"/>
    </row>
    <row r="516" spans="9:9">
      <c r="I516" s="43"/>
    </row>
    <row r="517" spans="9:9">
      <c r="I517" s="43"/>
    </row>
    <row r="518" spans="9:9">
      <c r="I518" s="43"/>
    </row>
    <row r="519" spans="9:9">
      <c r="I519" s="43"/>
    </row>
    <row r="520" spans="9:9">
      <c r="I520" s="43"/>
    </row>
    <row r="521" spans="9:9">
      <c r="I521" s="43"/>
    </row>
    <row r="522" spans="9:9">
      <c r="I522" s="43"/>
    </row>
    <row r="523" spans="9:9">
      <c r="I523" s="43"/>
    </row>
    <row r="524" spans="9:9">
      <c r="I524" s="43"/>
    </row>
    <row r="525" spans="9:9">
      <c r="I525" s="43"/>
    </row>
    <row r="526" spans="9:9">
      <c r="I526" s="43"/>
    </row>
    <row r="527" spans="9:9">
      <c r="I527" s="43"/>
    </row>
    <row r="528" spans="9:9">
      <c r="I528" s="43"/>
    </row>
    <row r="529" spans="9:9">
      <c r="I529" s="43"/>
    </row>
    <row r="530" spans="9:9">
      <c r="I530" s="43"/>
    </row>
    <row r="531" spans="9:9">
      <c r="I531" s="43"/>
    </row>
    <row r="532" spans="9:9">
      <c r="I532" s="43"/>
    </row>
    <row r="533" spans="9:9">
      <c r="I533" s="43"/>
    </row>
    <row r="534" spans="9:9">
      <c r="I534" s="43"/>
    </row>
    <row r="535" spans="9:9">
      <c r="I535" s="43"/>
    </row>
    <row r="536" spans="9:9">
      <c r="I536" s="43"/>
    </row>
    <row r="537" spans="9:9">
      <c r="I537" s="43"/>
    </row>
    <row r="538" spans="9:9">
      <c r="I538" s="43"/>
    </row>
    <row r="539" spans="9:9">
      <c r="I539" s="43"/>
    </row>
    <row r="540" spans="9:9">
      <c r="I540" s="43"/>
    </row>
    <row r="541" spans="9:9">
      <c r="I541" s="43"/>
    </row>
    <row r="542" spans="9:9">
      <c r="I542" s="43"/>
    </row>
    <row r="543" spans="9:9">
      <c r="I543" s="43"/>
    </row>
    <row r="544" spans="9:9">
      <c r="I544" s="43"/>
    </row>
    <row r="545" spans="9:9">
      <c r="I545" s="43"/>
    </row>
    <row r="546" spans="9:9">
      <c r="I546" s="43"/>
    </row>
    <row r="547" spans="9:9">
      <c r="I547" s="43"/>
    </row>
    <row r="548" spans="9:9">
      <c r="I548" s="43"/>
    </row>
    <row r="549" spans="9:9">
      <c r="I549" s="43"/>
    </row>
    <row r="550" spans="9:9">
      <c r="I550" s="43"/>
    </row>
    <row r="551" spans="9:9">
      <c r="I551" s="43"/>
    </row>
    <row r="552" spans="9:9">
      <c r="I552" s="43"/>
    </row>
    <row r="553" spans="9:9">
      <c r="I553" s="43"/>
    </row>
    <row r="554" spans="9:9">
      <c r="I554" s="43"/>
    </row>
    <row r="555" spans="9:9">
      <c r="I555" s="43"/>
    </row>
    <row r="556" spans="9:9">
      <c r="I556" s="43"/>
    </row>
    <row r="557" spans="9:9">
      <c r="I557" s="43"/>
    </row>
    <row r="558" spans="9:9">
      <c r="I558" s="43"/>
    </row>
    <row r="559" spans="9:9">
      <c r="I559" s="43"/>
    </row>
    <row r="560" spans="9:9">
      <c r="I560" s="43"/>
    </row>
    <row r="561" spans="9:9">
      <c r="I561" s="43"/>
    </row>
    <row r="562" spans="9:9">
      <c r="I562" s="43"/>
    </row>
    <row r="563" spans="9:9">
      <c r="I563" s="43"/>
    </row>
    <row r="564" spans="9:9">
      <c r="I564" s="43"/>
    </row>
    <row r="565" spans="9:9">
      <c r="I565" s="43"/>
    </row>
    <row r="566" spans="9:9">
      <c r="I566" s="43"/>
    </row>
    <row r="567" spans="9:9">
      <c r="I567" s="43"/>
    </row>
    <row r="568" spans="9:9">
      <c r="I568" s="43"/>
    </row>
    <row r="569" spans="9:9">
      <c r="I569" s="43"/>
    </row>
    <row r="570" spans="9:9">
      <c r="I570" s="43"/>
    </row>
    <row r="571" spans="9:9">
      <c r="I571" s="43"/>
    </row>
    <row r="572" spans="9:9">
      <c r="I572" s="43"/>
    </row>
    <row r="573" spans="9:9">
      <c r="I573" s="43"/>
    </row>
    <row r="574" spans="9:9">
      <c r="I574" s="43"/>
    </row>
    <row r="575" spans="9:9">
      <c r="I575" s="43"/>
    </row>
    <row r="576" spans="9:9">
      <c r="I576" s="43"/>
    </row>
    <row r="577" spans="9:9">
      <c r="I577" s="43"/>
    </row>
    <row r="578" spans="9:9">
      <c r="I578" s="43"/>
    </row>
    <row r="579" spans="9:9">
      <c r="I579" s="43"/>
    </row>
    <row r="580" spans="9:9">
      <c r="I580" s="43"/>
    </row>
    <row r="581" spans="9:9">
      <c r="I581" s="43"/>
    </row>
    <row r="582" spans="9:9">
      <c r="I582" s="43"/>
    </row>
    <row r="583" spans="9:9">
      <c r="I583" s="43"/>
    </row>
    <row r="584" spans="9:9">
      <c r="I584" s="43"/>
    </row>
    <row r="585" spans="9:9">
      <c r="I585" s="43"/>
    </row>
    <row r="586" spans="9:9">
      <c r="I586" s="43"/>
    </row>
    <row r="587" spans="9:9">
      <c r="I587" s="43"/>
    </row>
    <row r="588" spans="9:9">
      <c r="I588" s="43"/>
    </row>
    <row r="589" spans="9:9">
      <c r="I589" s="43"/>
    </row>
    <row r="590" spans="9:9">
      <c r="I590" s="43"/>
    </row>
    <row r="591" spans="9:9">
      <c r="I591" s="43"/>
    </row>
    <row r="592" spans="9:9">
      <c r="I592" s="43"/>
    </row>
    <row r="593" spans="9:9">
      <c r="I593" s="43"/>
    </row>
    <row r="594" spans="9:9">
      <c r="I594" s="43"/>
    </row>
    <row r="595" spans="9:9">
      <c r="I595" s="43"/>
    </row>
    <row r="596" spans="9:9">
      <c r="I596" s="43"/>
    </row>
    <row r="597" spans="9:9">
      <c r="I597" s="43"/>
    </row>
    <row r="598" spans="9:9">
      <c r="I598" s="43"/>
    </row>
    <row r="599" spans="9:9">
      <c r="I599" s="43"/>
    </row>
    <row r="600" spans="9:9">
      <c r="I600" s="43"/>
    </row>
    <row r="601" spans="9:9">
      <c r="I601" s="43"/>
    </row>
    <row r="602" spans="9:9">
      <c r="I602" s="43"/>
    </row>
    <row r="603" spans="9:9">
      <c r="I603" s="43"/>
    </row>
    <row r="604" spans="9:9">
      <c r="I604" s="43"/>
    </row>
    <row r="605" spans="9:9">
      <c r="I605" s="43"/>
    </row>
    <row r="606" spans="9:9">
      <c r="I606" s="43"/>
    </row>
    <row r="607" spans="9:9">
      <c r="I607" s="43"/>
    </row>
    <row r="608" spans="9:9">
      <c r="I608" s="43"/>
    </row>
    <row r="609" spans="9:9">
      <c r="I609" s="43"/>
    </row>
    <row r="610" spans="9:9">
      <c r="I610" s="43"/>
    </row>
    <row r="611" spans="9:9">
      <c r="I611" s="43"/>
    </row>
    <row r="612" spans="9:9">
      <c r="I612" s="43"/>
    </row>
    <row r="613" spans="9:9">
      <c r="I613" s="43"/>
    </row>
    <row r="614" spans="9:9">
      <c r="I614" s="43"/>
    </row>
    <row r="615" spans="9:9">
      <c r="I615" s="43"/>
    </row>
    <row r="616" spans="9:9">
      <c r="I616" s="43"/>
    </row>
    <row r="617" spans="9:9">
      <c r="I617" s="43"/>
    </row>
    <row r="618" spans="9:9">
      <c r="I618" s="43"/>
    </row>
    <row r="619" spans="9:9">
      <c r="I619" s="43"/>
    </row>
    <row r="620" spans="9:9">
      <c r="I620" s="43"/>
    </row>
    <row r="621" spans="9:9">
      <c r="I621" s="43"/>
    </row>
    <row r="622" spans="9:9">
      <c r="I622" s="43"/>
    </row>
    <row r="623" spans="9:9">
      <c r="I623" s="43"/>
    </row>
    <row r="624" spans="9:9">
      <c r="I624" s="43"/>
    </row>
    <row r="625" spans="9:9">
      <c r="I625" s="43"/>
    </row>
    <row r="626" spans="9:9">
      <c r="I626" s="43"/>
    </row>
    <row r="627" spans="9:9">
      <c r="I627" s="43"/>
    </row>
    <row r="628" spans="9:9">
      <c r="I628" s="43"/>
    </row>
    <row r="629" spans="9:9">
      <c r="I629" s="43"/>
    </row>
    <row r="630" spans="9:9">
      <c r="I630" s="43"/>
    </row>
    <row r="631" spans="9:9">
      <c r="I631" s="43"/>
    </row>
    <row r="632" spans="9:9">
      <c r="I632" s="43"/>
    </row>
    <row r="633" spans="9:9">
      <c r="I633" s="43"/>
    </row>
    <row r="634" spans="9:9">
      <c r="I634" s="43"/>
    </row>
    <row r="635" spans="9:9">
      <c r="I635" s="43"/>
    </row>
    <row r="636" spans="9:9">
      <c r="I636" s="43"/>
    </row>
    <row r="637" spans="9:9">
      <c r="I637" s="43"/>
    </row>
    <row r="638" spans="9:9">
      <c r="I638" s="43"/>
    </row>
    <row r="639" spans="9:9">
      <c r="I639" s="43"/>
    </row>
    <row r="640" spans="9:9">
      <c r="I640" s="43"/>
    </row>
    <row r="641" spans="9:9">
      <c r="I641" s="43"/>
    </row>
    <row r="642" spans="9:9">
      <c r="I642" s="43"/>
    </row>
    <row r="643" spans="9:9">
      <c r="I643" s="43"/>
    </row>
    <row r="644" spans="9:9">
      <c r="I644" s="43"/>
    </row>
    <row r="645" spans="9:9">
      <c r="I645" s="43"/>
    </row>
    <row r="646" spans="9:9">
      <c r="I646" s="43"/>
    </row>
    <row r="647" spans="9:9">
      <c r="I647" s="43"/>
    </row>
    <row r="648" spans="9:9">
      <c r="I648" s="43"/>
    </row>
    <row r="649" spans="9:9">
      <c r="I649" s="43"/>
    </row>
    <row r="650" spans="9:9">
      <c r="I650" s="43"/>
    </row>
    <row r="651" spans="9:9">
      <c r="I651" s="43"/>
    </row>
    <row r="652" spans="9:9">
      <c r="I652" s="43"/>
    </row>
    <row r="653" spans="9:9">
      <c r="I653" s="43"/>
    </row>
    <row r="654" spans="9:9">
      <c r="I654" s="43"/>
    </row>
    <row r="655" spans="9:9">
      <c r="I655" s="43"/>
    </row>
    <row r="656" spans="9:9">
      <c r="I656" s="43"/>
    </row>
    <row r="657" spans="9:9">
      <c r="I657" s="43"/>
    </row>
    <row r="658" spans="9:9">
      <c r="I658" s="43"/>
    </row>
    <row r="659" spans="9:9">
      <c r="I659" s="43"/>
    </row>
    <row r="660" spans="9:9">
      <c r="I660" s="43"/>
    </row>
    <row r="661" spans="9:9">
      <c r="I661" s="43"/>
    </row>
    <row r="662" spans="9:9">
      <c r="I662" s="43"/>
    </row>
    <row r="663" spans="9:9">
      <c r="I663" s="43"/>
    </row>
    <row r="664" spans="9:9">
      <c r="I664" s="43"/>
    </row>
    <row r="665" spans="9:9">
      <c r="I665" s="43"/>
    </row>
    <row r="666" spans="9:9">
      <c r="I666" s="43"/>
    </row>
    <row r="667" spans="9:9">
      <c r="I667" s="43"/>
    </row>
    <row r="668" spans="9:9">
      <c r="I668" s="43"/>
    </row>
    <row r="669" spans="9:9">
      <c r="I669" s="43"/>
    </row>
    <row r="670" spans="9:9">
      <c r="I670" s="43"/>
    </row>
    <row r="671" spans="9:9">
      <c r="I671" s="43"/>
    </row>
    <row r="672" spans="9:9">
      <c r="I672" s="43"/>
    </row>
    <row r="673" spans="9:9">
      <c r="I673" s="43"/>
    </row>
    <row r="674" spans="9:9">
      <c r="I674" s="43"/>
    </row>
    <row r="675" spans="9:9">
      <c r="I675" s="43"/>
    </row>
    <row r="676" spans="9:9">
      <c r="I676" s="43"/>
    </row>
    <row r="677" spans="9:9">
      <c r="I677" s="43"/>
    </row>
    <row r="678" spans="9:9">
      <c r="I678" s="43"/>
    </row>
    <row r="679" spans="9:9">
      <c r="I679" s="43"/>
    </row>
    <row r="680" spans="9:9">
      <c r="I680" s="43"/>
    </row>
    <row r="681" spans="9:9">
      <c r="I681" s="43"/>
    </row>
    <row r="682" spans="9:9">
      <c r="I682" s="43"/>
    </row>
    <row r="683" spans="9:9">
      <c r="I683" s="43"/>
    </row>
    <row r="684" spans="9:9">
      <c r="I684" s="43"/>
    </row>
    <row r="685" spans="9:9">
      <c r="I685" s="43"/>
    </row>
    <row r="686" spans="9:9">
      <c r="I686" s="43"/>
    </row>
    <row r="687" spans="9:9">
      <c r="I687" s="43"/>
    </row>
    <row r="688" spans="9:9">
      <c r="I688" s="43"/>
    </row>
    <row r="689" spans="9:9">
      <c r="I689" s="43"/>
    </row>
    <row r="690" spans="9:9">
      <c r="I690" s="43"/>
    </row>
    <row r="691" spans="9:9">
      <c r="I691" s="43"/>
    </row>
    <row r="692" spans="9:9">
      <c r="I692" s="43"/>
    </row>
    <row r="693" spans="9:9">
      <c r="I693" s="43"/>
    </row>
    <row r="694" spans="9:9">
      <c r="I694" s="43"/>
    </row>
    <row r="695" spans="9:9">
      <c r="I695" s="43"/>
    </row>
    <row r="696" spans="9:9">
      <c r="I696" s="43"/>
    </row>
    <row r="697" spans="9:9">
      <c r="I697" s="43"/>
    </row>
    <row r="698" spans="9:9">
      <c r="I698" s="43"/>
    </row>
    <row r="699" spans="9:9">
      <c r="I699" s="43"/>
    </row>
    <row r="700" spans="9:9">
      <c r="I700" s="43"/>
    </row>
    <row r="701" spans="9:9">
      <c r="I701" s="43"/>
    </row>
    <row r="702" spans="9:9">
      <c r="I702" s="43"/>
    </row>
    <row r="703" spans="9:9">
      <c r="I703" s="43"/>
    </row>
    <row r="704" spans="9:9">
      <c r="I704" s="43"/>
    </row>
    <row r="705" spans="9:9">
      <c r="I705" s="43"/>
    </row>
    <row r="706" spans="9:9">
      <c r="I706" s="43"/>
    </row>
    <row r="707" spans="9:9">
      <c r="I707" s="43"/>
    </row>
    <row r="708" spans="9:9">
      <c r="I708" s="43"/>
    </row>
    <row r="709" spans="9:9">
      <c r="I709" s="43"/>
    </row>
    <row r="710" spans="9:9">
      <c r="I710" s="43"/>
    </row>
    <row r="711" spans="9:9">
      <c r="I711" s="43"/>
    </row>
    <row r="712" spans="9:9">
      <c r="I712" s="43"/>
    </row>
    <row r="713" spans="9:9">
      <c r="I713" s="43"/>
    </row>
    <row r="714" spans="9:9">
      <c r="I714" s="43"/>
    </row>
    <row r="715" spans="9:9">
      <c r="I715" s="43"/>
    </row>
    <row r="716" spans="9:9">
      <c r="I716" s="43"/>
    </row>
    <row r="717" spans="9:9">
      <c r="I717" s="43"/>
    </row>
    <row r="718" spans="9:9">
      <c r="I718" s="43"/>
    </row>
    <row r="719" spans="9:9">
      <c r="I719" s="43"/>
    </row>
    <row r="720" spans="9:9">
      <c r="I720" s="43"/>
    </row>
    <row r="721" spans="9:9">
      <c r="I721" s="43"/>
    </row>
    <row r="722" spans="9:9">
      <c r="I722" s="43"/>
    </row>
    <row r="723" spans="9:9">
      <c r="I723" s="43"/>
    </row>
    <row r="724" spans="9:9">
      <c r="I724" s="43"/>
    </row>
    <row r="725" spans="9:9">
      <c r="I725" s="43"/>
    </row>
    <row r="726" spans="9:9">
      <c r="I726" s="43"/>
    </row>
    <row r="727" spans="9:9">
      <c r="I727" s="43"/>
    </row>
    <row r="728" spans="9:9">
      <c r="I728" s="43"/>
    </row>
    <row r="729" spans="9:9">
      <c r="I729" s="43"/>
    </row>
    <row r="730" spans="9:9">
      <c r="I730" s="43"/>
    </row>
    <row r="731" spans="9:9">
      <c r="I731" s="43"/>
    </row>
    <row r="732" spans="9:9">
      <c r="I732" s="43"/>
    </row>
    <row r="733" spans="9:9">
      <c r="I733" s="43"/>
    </row>
    <row r="734" spans="9:9">
      <c r="I734" s="43"/>
    </row>
    <row r="735" spans="9:9">
      <c r="I735" s="43"/>
    </row>
    <row r="736" spans="9:9">
      <c r="I736" s="43"/>
    </row>
    <row r="737" spans="9:9">
      <c r="I737" s="43"/>
    </row>
    <row r="738" spans="9:9">
      <c r="I738" s="43"/>
    </row>
    <row r="739" spans="9:9">
      <c r="I739" s="43"/>
    </row>
    <row r="740" spans="9:9">
      <c r="I740" s="43"/>
    </row>
    <row r="741" spans="9:9">
      <c r="I741" s="43"/>
    </row>
    <row r="742" spans="9:9">
      <c r="I742" s="43"/>
    </row>
    <row r="743" spans="9:9">
      <c r="I743" s="43"/>
    </row>
    <row r="744" spans="9:9">
      <c r="I744" s="43"/>
    </row>
    <row r="745" spans="9:9">
      <c r="I745" s="43"/>
    </row>
    <row r="746" spans="9:9">
      <c r="I746" s="43"/>
    </row>
  </sheetData>
  <mergeCells count="30">
    <mergeCell ref="AD3:AD4"/>
    <mergeCell ref="AD5:AD6"/>
    <mergeCell ref="P1:P3"/>
    <mergeCell ref="Q1:Q3"/>
    <mergeCell ref="A6:A14"/>
    <mergeCell ref="B4:E4"/>
    <mergeCell ref="U5:W5"/>
    <mergeCell ref="T5:T6"/>
    <mergeCell ref="S5:S6"/>
    <mergeCell ref="R5:R6"/>
    <mergeCell ref="Q5:Q6"/>
    <mergeCell ref="G6:G7"/>
    <mergeCell ref="G8:G9"/>
    <mergeCell ref="G10:G11"/>
    <mergeCell ref="E16:E17"/>
    <mergeCell ref="F16:F17"/>
    <mergeCell ref="G16:G17"/>
    <mergeCell ref="P5:P10"/>
    <mergeCell ref="AE7:AF7"/>
    <mergeCell ref="Z2:Z6"/>
    <mergeCell ref="C1:O2"/>
    <mergeCell ref="X5:X6"/>
    <mergeCell ref="X7:X9"/>
    <mergeCell ref="AA2:AB2"/>
    <mergeCell ref="AA3:AB3"/>
    <mergeCell ref="AA7:AD7"/>
    <mergeCell ref="Z7:Z11"/>
    <mergeCell ref="AC2:AD2"/>
    <mergeCell ref="AC5:AC6"/>
    <mergeCell ref="AC3:AC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6F9E2-BC1A-4BCC-9BF5-5BB5A1B7B584}">
  <dimension ref="A1:O18"/>
  <sheetViews>
    <sheetView zoomScale="82" workbookViewId="0">
      <selection activeCell="D12" sqref="D12"/>
    </sheetView>
  </sheetViews>
  <sheetFormatPr defaultColWidth="8.7109375" defaultRowHeight="18.600000000000001"/>
  <cols>
    <col min="1" max="1" width="61.5703125" style="33" customWidth="1"/>
    <col min="2" max="2" width="11.85546875" style="33" bestFit="1" customWidth="1"/>
    <col min="3" max="3" width="45" style="33" customWidth="1"/>
    <col min="4" max="5" width="8.7109375" style="33"/>
    <col min="6" max="6" width="10.85546875" style="33" bestFit="1" customWidth="1"/>
    <col min="7" max="7" width="12" style="33" bestFit="1" customWidth="1"/>
    <col min="8" max="8" width="25.28515625" style="33" customWidth="1"/>
    <col min="9" max="9" width="14.5703125" style="33" customWidth="1"/>
    <col min="10" max="10" width="9" style="33" bestFit="1" customWidth="1"/>
    <col min="11" max="11" width="20.28515625" style="33" bestFit="1" customWidth="1"/>
    <col min="12" max="16384" width="8.7109375" style="33"/>
  </cols>
  <sheetData>
    <row r="1" spans="1:15">
      <c r="A1" s="32" t="s">
        <v>127</v>
      </c>
      <c r="C1" s="274" t="s">
        <v>1</v>
      </c>
      <c r="D1" s="274"/>
      <c r="E1" s="274"/>
      <c r="F1" s="274"/>
      <c r="G1" s="274"/>
      <c r="H1" s="274"/>
      <c r="I1" s="274"/>
      <c r="J1" s="274"/>
      <c r="K1" s="274"/>
      <c r="L1" s="274"/>
      <c r="M1" s="274"/>
      <c r="N1" s="274"/>
      <c r="O1" s="274"/>
    </row>
    <row r="2" spans="1:15">
      <c r="A2" s="33" t="s">
        <v>3</v>
      </c>
      <c r="C2" s="274"/>
      <c r="D2" s="274"/>
      <c r="E2" s="274"/>
      <c r="F2" s="274"/>
      <c r="G2" s="274"/>
      <c r="H2" s="274"/>
      <c r="I2" s="274"/>
      <c r="J2" s="274"/>
      <c r="K2" s="274"/>
      <c r="L2" s="274"/>
      <c r="M2" s="274"/>
      <c r="N2" s="274"/>
      <c r="O2" s="274"/>
    </row>
    <row r="4" spans="1:15">
      <c r="A4" s="33" t="s">
        <v>128</v>
      </c>
    </row>
    <row r="6" spans="1:15" ht="54" customHeight="1">
      <c r="A6" s="34" t="s">
        <v>129</v>
      </c>
      <c r="B6" s="34" t="s">
        <v>130</v>
      </c>
      <c r="C6" s="34" t="s">
        <v>131</v>
      </c>
      <c r="D6" s="34" t="s">
        <v>132</v>
      </c>
      <c r="E6" s="34" t="s">
        <v>133</v>
      </c>
      <c r="F6" s="34" t="s">
        <v>134</v>
      </c>
      <c r="G6" s="34" t="s">
        <v>135</v>
      </c>
      <c r="H6" s="34" t="s">
        <v>136</v>
      </c>
      <c r="I6" s="190" t="s">
        <v>137</v>
      </c>
      <c r="J6" s="33" t="s">
        <v>133</v>
      </c>
      <c r="K6" s="33" t="s">
        <v>138</v>
      </c>
      <c r="L6"/>
    </row>
    <row r="7" spans="1:15" ht="54" customHeight="1">
      <c r="A7" s="34" t="s">
        <v>139</v>
      </c>
      <c r="B7" s="34" t="s">
        <v>93</v>
      </c>
      <c r="C7" s="34"/>
      <c r="D7" s="35">
        <f>'Studio Rain System'!B11</f>
        <v>745</v>
      </c>
      <c r="E7" s="34" t="s">
        <v>140</v>
      </c>
      <c r="F7" s="262">
        <v>125</v>
      </c>
      <c r="G7" s="35">
        <v>745</v>
      </c>
      <c r="H7" s="189" t="s">
        <v>94</v>
      </c>
      <c r="I7" s="259">
        <f>IF(D7 &gt; G7, 1, IF(D7&lt;F7, 0,0.5*(1-COS((($D7-$F7)/($G7-$F7))*PI()))))</f>
        <v>1</v>
      </c>
      <c r="J7" s="33">
        <f>H18*3</f>
        <v>0.1875</v>
      </c>
      <c r="K7" s="33">
        <f>I7*J7</f>
        <v>0.1875</v>
      </c>
      <c r="L7"/>
    </row>
    <row r="8" spans="1:15" ht="54" customHeight="1">
      <c r="A8" s="34" t="s">
        <v>141</v>
      </c>
      <c r="B8" s="34" t="s">
        <v>142</v>
      </c>
      <c r="C8" s="34"/>
      <c r="D8" s="35">
        <f>Costs!B64</f>
        <v>54218.769217112625</v>
      </c>
      <c r="E8" s="34" t="s">
        <v>140</v>
      </c>
      <c r="F8" s="35">
        <f>0.3*110000</f>
        <v>33000</v>
      </c>
      <c r="G8" s="262">
        <f>1.15*110000</f>
        <v>126499.99999999999</v>
      </c>
      <c r="H8" s="37" t="s">
        <v>143</v>
      </c>
      <c r="I8" s="35">
        <f>IF(D8&lt;F8, 1, IF(D8&gt;G8, 0, 0.5*(1+COS((($D8-F8)/(G8-F8))*PI()))))</f>
        <v>0.87821816872941438</v>
      </c>
      <c r="J8" s="33">
        <f>H18*3</f>
        <v>0.1875</v>
      </c>
      <c r="K8" s="33">
        <f t="shared" ref="K8:K14" si="0">I8*J8</f>
        <v>0.1646659066367652</v>
      </c>
      <c r="L8"/>
    </row>
    <row r="9" spans="1:15" ht="54" customHeight="1">
      <c r="A9" s="37" t="s">
        <v>144</v>
      </c>
      <c r="B9" s="34" t="s">
        <v>145</v>
      </c>
      <c r="C9" s="34"/>
      <c r="D9" s="35">
        <f>'Health &amp; Environment'!$AM$11</f>
        <v>0</v>
      </c>
      <c r="E9" s="34" t="s">
        <v>146</v>
      </c>
      <c r="F9" s="38">
        <v>1</v>
      </c>
      <c r="G9" s="260">
        <v>24</v>
      </c>
      <c r="H9" s="34" t="s">
        <v>147</v>
      </c>
      <c r="I9" s="35">
        <f>IF(D9 &lt; F9, 1, IF(D9&gt;G9, 0, 0.5*(1+COS(($D9-$F9)/($G9-$F9)*PI()))))</f>
        <v>1</v>
      </c>
      <c r="J9" s="33">
        <f>$H$18*2</f>
        <v>0.125</v>
      </c>
      <c r="K9" s="33">
        <f>I9*J9</f>
        <v>0.125</v>
      </c>
      <c r="L9"/>
    </row>
    <row r="10" spans="1:15" ht="54" customHeight="1">
      <c r="A10" s="34" t="s">
        <v>148</v>
      </c>
      <c r="B10" s="34" t="s">
        <v>149</v>
      </c>
      <c r="C10" s="34"/>
      <c r="D10" s="35">
        <f>'Greenhouse Gases'!G10</f>
        <v>34.662561343641102</v>
      </c>
      <c r="E10" s="34" t="s">
        <v>146</v>
      </c>
      <c r="F10" s="38">
        <v>15</v>
      </c>
      <c r="G10" s="260">
        <v>110</v>
      </c>
      <c r="H10" s="37" t="s">
        <v>150</v>
      </c>
      <c r="I10" s="35">
        <f>IF(D10&lt;F10, 1, IF(D10&gt;G10, 0, 0.5*(1+COS(($D10-$F10)/($G10-$F10)*PI()))))</f>
        <v>0.89797258458266371</v>
      </c>
      <c r="J10" s="33">
        <f t="shared" ref="J10:J14" si="1">$H$18*2</f>
        <v>0.125</v>
      </c>
      <c r="K10" s="33">
        <f t="shared" si="0"/>
        <v>0.11224657307283296</v>
      </c>
      <c r="L10"/>
    </row>
    <row r="11" spans="1:15" ht="54" customHeight="1">
      <c r="A11" s="34" t="s">
        <v>151</v>
      </c>
      <c r="B11" s="34" t="s">
        <v>146</v>
      </c>
      <c r="C11" s="34"/>
      <c r="D11" s="35">
        <f>'Organized Input Output'!I4</f>
        <v>18</v>
      </c>
      <c r="E11" s="34" t="s">
        <v>146</v>
      </c>
      <c r="F11" s="38">
        <v>10</v>
      </c>
      <c r="G11" s="260">
        <v>60</v>
      </c>
      <c r="H11" s="34" t="s">
        <v>152</v>
      </c>
      <c r="I11" s="35">
        <f>IF(D11&lt;F11, 1, IF(D11&gt;G11, 0, 0.5*(1+COS(($D11-$F11)/($G11-$F11)*PI()))))</f>
        <v>0.93815334002193174</v>
      </c>
      <c r="J11" s="33">
        <f t="shared" si="1"/>
        <v>0.125</v>
      </c>
      <c r="K11" s="33">
        <f t="shared" si="0"/>
        <v>0.11726916750274147</v>
      </c>
      <c r="L11"/>
    </row>
    <row r="12" spans="1:15" ht="54" customHeight="1">
      <c r="A12" s="34" t="s">
        <v>153</v>
      </c>
      <c r="B12" s="34" t="s">
        <v>154</v>
      </c>
      <c r="C12" s="34"/>
      <c r="D12" s="35">
        <f>'Organized Input Output'!G14</f>
        <v>0.2</v>
      </c>
      <c r="E12" s="34" t="s">
        <v>155</v>
      </c>
      <c r="F12" s="38">
        <v>0</v>
      </c>
      <c r="G12" s="38">
        <v>0.3</v>
      </c>
      <c r="H12" s="37" t="s">
        <v>156</v>
      </c>
      <c r="I12" s="35">
        <f>IF(D12&gt;G12, 1, 0.5*(1-COS(($D12-$F12)/($G12-$F12)*PI())))</f>
        <v>0.75000000000000011</v>
      </c>
      <c r="J12" s="33">
        <f>$H$18*1</f>
        <v>6.25E-2</v>
      </c>
      <c r="K12" s="33">
        <f t="shared" si="0"/>
        <v>4.6875000000000007E-2</v>
      </c>
      <c r="L12"/>
    </row>
    <row r="13" spans="1:15" ht="54" customHeight="1">
      <c r="A13" s="34" t="s">
        <v>157</v>
      </c>
      <c r="B13" s="34" t="s">
        <v>158</v>
      </c>
      <c r="C13" s="34"/>
      <c r="D13" s="35">
        <f>'Organized Input Output'!Q4</f>
        <v>41.469023027385262</v>
      </c>
      <c r="E13" s="34" t="s">
        <v>155</v>
      </c>
      <c r="F13" s="260">
        <v>18</v>
      </c>
      <c r="G13" s="38">
        <v>40</v>
      </c>
      <c r="H13" s="34" t="s">
        <v>159</v>
      </c>
      <c r="I13" s="35">
        <f>IF(D13&gt;G13, 1, IF(D13&lt;F13, 0, 0.5*(1-COS(($D13-$F13)/($G13-$F13)*PI()))))</f>
        <v>1</v>
      </c>
      <c r="J13" s="33">
        <f>$H$18*1</f>
        <v>6.25E-2</v>
      </c>
      <c r="K13" s="33">
        <f t="shared" si="0"/>
        <v>6.25E-2</v>
      </c>
      <c r="L13"/>
    </row>
    <row r="14" spans="1:15" ht="54.75">
      <c r="A14" s="82" t="s">
        <v>160</v>
      </c>
      <c r="B14" s="83" t="s">
        <v>161</v>
      </c>
      <c r="C14" s="83"/>
      <c r="D14" s="85">
        <f>(365-'Studio Rain System'!G13)</f>
        <v>356</v>
      </c>
      <c r="E14" s="83" t="s">
        <v>146</v>
      </c>
      <c r="F14" s="261">
        <v>200</v>
      </c>
      <c r="G14" s="84">
        <v>365</v>
      </c>
      <c r="H14" s="83" t="s">
        <v>162</v>
      </c>
      <c r="I14" s="35">
        <f>IF(D14&lt;F14, 0, 0.5*(1-COS(($D14-$F14)/($G14-$F14)*PI())))</f>
        <v>0.99267691792384649</v>
      </c>
      <c r="J14" s="33">
        <f t="shared" si="1"/>
        <v>0.125</v>
      </c>
      <c r="K14" s="33">
        <f t="shared" si="0"/>
        <v>0.12408461474048081</v>
      </c>
      <c r="L14"/>
    </row>
    <row r="15" spans="1:15" ht="54.6" customHeight="1">
      <c r="A15" s="34" t="s">
        <v>163</v>
      </c>
      <c r="B15" s="34"/>
      <c r="C15" s="34"/>
      <c r="D15" s="34"/>
      <c r="E15" s="34"/>
      <c r="F15" s="34"/>
      <c r="G15" s="34"/>
      <c r="H15" s="34"/>
      <c r="I15" s="36">
        <f>AVERAGE(I7:I14)</f>
        <v>0.93212762640723201</v>
      </c>
      <c r="J15" s="33">
        <f>SUM(J7:J14)</f>
        <v>1</v>
      </c>
      <c r="K15" s="234">
        <f>SUM(K7:K14)</f>
        <v>0.94014126195282044</v>
      </c>
    </row>
    <row r="18" spans="8:8">
      <c r="H18" s="234">
        <v>6.25E-2</v>
      </c>
    </row>
  </sheetData>
  <mergeCells count="1">
    <mergeCell ref="C1:O2"/>
  </mergeCells>
  <conditionalFormatting sqref="D7">
    <cfRule type="colorScale" priority="7">
      <colorScale>
        <cfvo type="formula" val="$F$7"/>
        <cfvo type="percentile" val="50"/>
        <cfvo type="formula" val="$G$7"/>
        <color rgb="FFF8696B"/>
        <color rgb="FFFFEB84"/>
        <color rgb="FF63BE7B"/>
      </colorScale>
    </cfRule>
  </conditionalFormatting>
  <conditionalFormatting sqref="D8">
    <cfRule type="colorScale" priority="6">
      <colorScale>
        <cfvo type="formula" val="$F$8"/>
        <cfvo type="percentile" val="50"/>
        <cfvo type="formula" val="$G$8"/>
        <color rgb="FF00B050"/>
        <color rgb="FFFFEB84"/>
        <color rgb="FFFF0000"/>
      </colorScale>
    </cfRule>
  </conditionalFormatting>
  <conditionalFormatting sqref="D9">
    <cfRule type="colorScale" priority="5">
      <colorScale>
        <cfvo type="formula" val="$F$9"/>
        <cfvo type="percentile" val="50"/>
        <cfvo type="formula" val="$G$9"/>
        <color rgb="FF00B050"/>
        <color rgb="FFFFEB84"/>
        <color rgb="FFFF0000"/>
      </colorScale>
    </cfRule>
  </conditionalFormatting>
  <conditionalFormatting sqref="D10">
    <cfRule type="colorScale" priority="4">
      <colorScale>
        <cfvo type="formula" val="$F$10"/>
        <cfvo type="percentile" val="50"/>
        <cfvo type="formula" val="$G$10"/>
        <color rgb="FF00B050"/>
        <color rgb="FFFFEB84"/>
        <color rgb="FFFF0000"/>
      </colorScale>
    </cfRule>
  </conditionalFormatting>
  <conditionalFormatting sqref="D11">
    <cfRule type="colorScale" priority="3">
      <colorScale>
        <cfvo type="formula" val="$F$11"/>
        <cfvo type="percentile" val="50"/>
        <cfvo type="formula" val="$G$11"/>
        <color rgb="FF00B050"/>
        <color rgb="FFFFEB84"/>
        <color rgb="FFFF0000"/>
      </colorScale>
    </cfRule>
  </conditionalFormatting>
  <conditionalFormatting sqref="D13">
    <cfRule type="colorScale" priority="2">
      <colorScale>
        <cfvo type="formula" val="$F$13"/>
        <cfvo type="percentile" val="50"/>
        <cfvo type="formula" val="$G$13"/>
        <color rgb="FFF8696B"/>
        <color rgb="FFFFEB84"/>
        <color rgb="FF63BE7B"/>
      </colorScale>
    </cfRule>
  </conditionalFormatting>
  <conditionalFormatting sqref="D14">
    <cfRule type="colorScale" priority="1">
      <colorScale>
        <cfvo type="formula" val="$F$14"/>
        <cfvo type="percentile" val="50"/>
        <cfvo type="formula" val="$G$14"/>
        <color rgb="FFF8696B"/>
        <color rgb="FFFFEB84"/>
        <color rgb="FF63BE7B"/>
      </colorScale>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23E7E-0A3D-43A9-ABF3-07AC87D7E06A}">
  <dimension ref="A1:I65"/>
  <sheetViews>
    <sheetView topLeftCell="A46" workbookViewId="0">
      <selection activeCell="B64" sqref="B64"/>
    </sheetView>
  </sheetViews>
  <sheetFormatPr defaultColWidth="8.7109375" defaultRowHeight="14.45"/>
  <cols>
    <col min="1" max="1" width="18.85546875" style="43" bestFit="1" customWidth="1"/>
    <col min="2" max="2" width="36.5703125" style="43" bestFit="1" customWidth="1"/>
    <col min="3" max="3" width="32.7109375" style="43" customWidth="1"/>
    <col min="4" max="16384" width="8.7109375" style="43"/>
  </cols>
  <sheetData>
    <row r="1" spans="1:9">
      <c r="A1" s="47" t="s">
        <v>0</v>
      </c>
    </row>
    <row r="2" spans="1:9">
      <c r="A2" s="1" t="s">
        <v>3</v>
      </c>
      <c r="I2" s="106"/>
    </row>
    <row r="3" spans="1:9" ht="18.600000000000001">
      <c r="A3" s="32" t="s">
        <v>164</v>
      </c>
    </row>
    <row r="5" spans="1:9">
      <c r="A5" s="44" t="s">
        <v>165</v>
      </c>
      <c r="B5" s="44" t="s">
        <v>166</v>
      </c>
      <c r="C5" s="44" t="s">
        <v>167</v>
      </c>
      <c r="D5" s="45" t="s">
        <v>168</v>
      </c>
    </row>
    <row r="6" spans="1:9">
      <c r="A6" s="44" t="s">
        <v>169</v>
      </c>
      <c r="B6" s="45"/>
      <c r="C6" s="45"/>
      <c r="D6" s="106"/>
    </row>
    <row r="7" spans="1:9">
      <c r="A7" s="45" t="s">
        <v>170</v>
      </c>
      <c r="B7" s="106">
        <v>0</v>
      </c>
      <c r="C7" s="45">
        <v>150</v>
      </c>
      <c r="D7" s="106">
        <f>C7*B7</f>
        <v>0</v>
      </c>
    </row>
    <row r="8" spans="1:9">
      <c r="A8" s="45" t="s">
        <v>171</v>
      </c>
      <c r="B8" s="106">
        <f>IF('Organized Input Output'!$H$7 = 100, 1, 0)</f>
        <v>1</v>
      </c>
      <c r="C8" s="45">
        <v>350</v>
      </c>
      <c r="D8" s="106">
        <f t="shared" ref="D8:D38" si="0">C8*B8</f>
        <v>350</v>
      </c>
    </row>
    <row r="9" spans="1:9">
      <c r="A9" s="46" t="s">
        <v>172</v>
      </c>
      <c r="B9" s="107">
        <f>'Organized Input Output'!$I$7</f>
        <v>1000</v>
      </c>
      <c r="C9" s="46" t="s">
        <v>173</v>
      </c>
      <c r="D9" s="106">
        <f>IF(B9 = 0, 0, 500+10*B9)</f>
        <v>10500</v>
      </c>
    </row>
    <row r="10" spans="1:9">
      <c r="A10" s="45"/>
      <c r="B10" s="106"/>
      <c r="C10" s="45"/>
      <c r="D10" s="106"/>
    </row>
    <row r="11" spans="1:9">
      <c r="A11" s="304" t="s">
        <v>174</v>
      </c>
      <c r="B11" s="305"/>
      <c r="C11" s="305"/>
      <c r="D11" s="306"/>
    </row>
    <row r="12" spans="1:9">
      <c r="A12" s="45" t="s">
        <v>175</v>
      </c>
      <c r="B12" s="106">
        <f>IF('Organized Input Output'!$K$7 = 400, 1, 0)</f>
        <v>0</v>
      </c>
      <c r="C12" s="45">
        <v>200</v>
      </c>
      <c r="D12" s="106">
        <f t="shared" si="0"/>
        <v>0</v>
      </c>
    </row>
    <row r="13" spans="1:9">
      <c r="A13" s="45" t="s">
        <v>176</v>
      </c>
      <c r="B13" s="106">
        <f>IF('Organized Input Output'!$K$7 = 1500, 1, 0)</f>
        <v>0</v>
      </c>
      <c r="C13" s="45">
        <v>500</v>
      </c>
      <c r="D13" s="106">
        <f>C13*B13</f>
        <v>0</v>
      </c>
    </row>
    <row r="14" spans="1:9">
      <c r="A14" s="45" t="s">
        <v>177</v>
      </c>
      <c r="B14" s="106">
        <f>IF('Organized Input Output'!$K$7 = 2500, 1, 0)</f>
        <v>1</v>
      </c>
      <c r="C14" s="45">
        <v>900</v>
      </c>
      <c r="D14" s="106">
        <f t="shared" si="0"/>
        <v>900</v>
      </c>
    </row>
    <row r="15" spans="1:9">
      <c r="A15" s="45" t="s">
        <v>178</v>
      </c>
      <c r="B15" s="106">
        <f>IF('Organized Input Output'!$K$7 = 5000, 1, 0)</f>
        <v>0</v>
      </c>
      <c r="C15" s="45">
        <v>1500</v>
      </c>
      <c r="D15" s="106">
        <f t="shared" si="0"/>
        <v>0</v>
      </c>
    </row>
    <row r="16" spans="1:9">
      <c r="A16" s="45" t="s">
        <v>179</v>
      </c>
      <c r="B16" s="106">
        <f>IF('Organized Input Output'!$K$7 = 10000, 1, 0)</f>
        <v>0</v>
      </c>
      <c r="C16" s="45">
        <v>2000</v>
      </c>
      <c r="D16" s="106">
        <f t="shared" si="0"/>
        <v>0</v>
      </c>
    </row>
    <row r="17" spans="1:4">
      <c r="A17" s="45"/>
      <c r="B17" s="106"/>
      <c r="C17" s="45"/>
      <c r="D17" s="106"/>
    </row>
    <row r="18" spans="1:4">
      <c r="A18" s="304" t="s">
        <v>180</v>
      </c>
      <c r="B18" s="305"/>
      <c r="C18" s="305"/>
      <c r="D18" s="306"/>
    </row>
    <row r="19" spans="1:4">
      <c r="A19" s="45" t="s">
        <v>181</v>
      </c>
      <c r="B19" s="106">
        <f>'Organized Input Output'!$H$9</f>
        <v>20</v>
      </c>
      <c r="C19" s="45" t="s">
        <v>182</v>
      </c>
      <c r="D19" s="106">
        <f>300*B19</f>
        <v>6000</v>
      </c>
    </row>
    <row r="20" spans="1:4">
      <c r="A20" s="45" t="s">
        <v>183</v>
      </c>
      <c r="B20" s="137">
        <v>1</v>
      </c>
      <c r="C20" s="45">
        <v>250</v>
      </c>
      <c r="D20" s="106">
        <f t="shared" si="0"/>
        <v>250</v>
      </c>
    </row>
    <row r="21" spans="1:4">
      <c r="A21" s="45" t="s">
        <v>184</v>
      </c>
      <c r="B21" s="106">
        <f>'Organized Input Output'!$M$9</f>
        <v>21</v>
      </c>
      <c r="C21" s="115" t="s">
        <v>185</v>
      </c>
      <c r="D21" s="106">
        <f>IF(B21 = 1, 25*(B19)^(1.6)+150*(B21)^(1.8), 0)</f>
        <v>0</v>
      </c>
    </row>
    <row r="22" spans="1:4">
      <c r="A22" s="45" t="s">
        <v>186</v>
      </c>
      <c r="B22" s="106">
        <f>SQRT(('Organized Input Output'!$I$9)^2+('Organized Input Output'!$J$9)^2+('Organized Input Output'!N9)^2)</f>
        <v>48.744230427815765</v>
      </c>
      <c r="C22" s="45" t="s">
        <v>187</v>
      </c>
      <c r="D22" s="106">
        <f>40*B22</f>
        <v>1949.7692171126305</v>
      </c>
    </row>
    <row r="23" spans="1:4">
      <c r="A23" s="45"/>
      <c r="B23" s="106"/>
      <c r="C23" s="45"/>
      <c r="D23" s="106"/>
    </row>
    <row r="24" spans="1:4">
      <c r="A24" s="304" t="s">
        <v>188</v>
      </c>
      <c r="B24" s="305"/>
      <c r="C24" s="305"/>
      <c r="D24" s="306"/>
    </row>
    <row r="25" spans="1:4">
      <c r="A25" s="45" t="s">
        <v>189</v>
      </c>
      <c r="B25" s="106">
        <f>IF('Organized Input Output'!R7 = "y", 1,0)</f>
        <v>1</v>
      </c>
      <c r="C25" s="45">
        <v>100</v>
      </c>
      <c r="D25" s="106">
        <f>C25*B25</f>
        <v>100</v>
      </c>
    </row>
    <row r="26" spans="1:4">
      <c r="A26" s="45" t="s">
        <v>190</v>
      </c>
      <c r="B26" s="106">
        <f>IF('Organized Input Output'!R8 = "y", 1,0)</f>
        <v>1</v>
      </c>
      <c r="C26" s="45">
        <v>110</v>
      </c>
      <c r="D26" s="106">
        <f>C26*B26</f>
        <v>110</v>
      </c>
    </row>
    <row r="27" spans="1:4">
      <c r="A27" s="45" t="s">
        <v>191</v>
      </c>
      <c r="B27" s="106">
        <f>IF('Organized Input Output'!R9 = "y", 1,0)</f>
        <v>1</v>
      </c>
      <c r="C27" s="45">
        <v>125</v>
      </c>
      <c r="D27" s="106">
        <f>C27*B27</f>
        <v>125</v>
      </c>
    </row>
    <row r="29" spans="1:4">
      <c r="A29" s="304" t="s">
        <v>192</v>
      </c>
      <c r="B29" s="305"/>
      <c r="C29" s="305"/>
      <c r="D29" s="306"/>
    </row>
    <row r="30" spans="1:4">
      <c r="A30" s="45"/>
      <c r="B30" s="106"/>
      <c r="C30" s="45"/>
      <c r="D30" s="106"/>
    </row>
    <row r="31" spans="1:4">
      <c r="A31" s="45" t="s">
        <v>193</v>
      </c>
      <c r="B31" s="106">
        <f>IF('Organized Input Output'!AD3 = "y", 1,0)</f>
        <v>0</v>
      </c>
      <c r="C31" s="45">
        <v>700</v>
      </c>
      <c r="D31" s="106">
        <f t="shared" si="0"/>
        <v>0</v>
      </c>
    </row>
    <row r="32" spans="1:4">
      <c r="A32" s="45"/>
      <c r="B32" s="106"/>
      <c r="C32" s="45"/>
      <c r="D32" s="106"/>
    </row>
    <row r="33" spans="1:4">
      <c r="A33" s="45" t="s">
        <v>194</v>
      </c>
      <c r="B33" s="106">
        <f>IF('Organized Input Output'!AD5 = "y", 1, 0)</f>
        <v>1</v>
      </c>
      <c r="C33" s="45">
        <v>4000</v>
      </c>
      <c r="D33" s="106">
        <f t="shared" si="0"/>
        <v>4000</v>
      </c>
    </row>
    <row r="34" spans="1:4">
      <c r="A34" s="45"/>
      <c r="B34" s="106"/>
      <c r="C34" s="45"/>
      <c r="D34" s="106"/>
    </row>
    <row r="35" spans="1:4">
      <c r="A35" s="304" t="s">
        <v>5</v>
      </c>
      <c r="B35" s="305"/>
      <c r="C35" s="305"/>
      <c r="D35" s="306"/>
    </row>
    <row r="36" spans="1:4">
      <c r="A36" s="45" t="s">
        <v>16</v>
      </c>
      <c r="B36" s="138">
        <f>IF('Organized Input Output'!AB4 = "y", 1,0)</f>
        <v>0</v>
      </c>
      <c r="C36" s="45">
        <v>500</v>
      </c>
      <c r="D36" s="106">
        <f t="shared" si="0"/>
        <v>0</v>
      </c>
    </row>
    <row r="37" spans="1:4">
      <c r="A37" s="45" t="s">
        <v>24</v>
      </c>
      <c r="B37" s="106">
        <f>IF('Organized Input Output'!AB5 = "y", 1, 0)</f>
        <v>0</v>
      </c>
      <c r="C37" s="45">
        <v>600</v>
      </c>
      <c r="D37" s="106">
        <f t="shared" si="0"/>
        <v>0</v>
      </c>
    </row>
    <row r="38" spans="1:4">
      <c r="A38" s="45" t="s">
        <v>40</v>
      </c>
      <c r="B38" s="106">
        <f>IF('Organized Input Output'!AB6 = "y", 1,0)</f>
        <v>1</v>
      </c>
      <c r="C38" s="45">
        <v>850</v>
      </c>
      <c r="D38" s="106">
        <f t="shared" si="0"/>
        <v>850</v>
      </c>
    </row>
    <row r="39" spans="1:4">
      <c r="A39" s="45"/>
      <c r="B39" s="106"/>
      <c r="C39" s="45"/>
      <c r="D39" s="106"/>
    </row>
    <row r="40" spans="1:4">
      <c r="A40" s="304" t="s">
        <v>195</v>
      </c>
      <c r="B40" s="305"/>
      <c r="C40" s="305"/>
      <c r="D40" s="306"/>
    </row>
    <row r="41" spans="1:4">
      <c r="A41" s="45" t="s">
        <v>196</v>
      </c>
      <c r="B41" s="106">
        <f>IF( 'Organized Input Output'!$H$11 = 1, 1, 0)</f>
        <v>0</v>
      </c>
      <c r="C41" s="45">
        <v>640</v>
      </c>
      <c r="D41" s="106">
        <f>C41*B41</f>
        <v>0</v>
      </c>
    </row>
    <row r="42" spans="1:4">
      <c r="A42" s="45" t="s">
        <v>197</v>
      </c>
      <c r="B42" s="106">
        <f>IF( 'Organized Input Output'!$H$11 = 2, 1, 0)</f>
        <v>0</v>
      </c>
      <c r="C42" s="45">
        <v>1250</v>
      </c>
      <c r="D42" s="106">
        <f>C42*B42</f>
        <v>0</v>
      </c>
    </row>
    <row r="43" spans="1:4">
      <c r="A43" s="45" t="s">
        <v>198</v>
      </c>
      <c r="B43" s="106">
        <f>IF( 'Organized Input Output'!$H$11 = 3, 1, 0)</f>
        <v>1</v>
      </c>
      <c r="C43" s="45">
        <v>3250</v>
      </c>
      <c r="D43" s="106">
        <f>C43*B43</f>
        <v>3250</v>
      </c>
    </row>
    <row r="44" spans="1:4">
      <c r="A44" s="45"/>
      <c r="B44" s="106"/>
      <c r="C44" s="45"/>
      <c r="D44" s="106"/>
    </row>
    <row r="45" spans="1:4">
      <c r="A45" s="304" t="s">
        <v>199</v>
      </c>
      <c r="B45" s="305"/>
      <c r="C45" s="305"/>
      <c r="D45" s="306"/>
    </row>
    <row r="46" spans="1:4">
      <c r="A46" s="44" t="s">
        <v>200</v>
      </c>
      <c r="B46" s="106"/>
      <c r="C46" s="45"/>
      <c r="D46" s="106"/>
    </row>
    <row r="47" spans="1:4">
      <c r="A47" s="45" t="s">
        <v>201</v>
      </c>
      <c r="B47" s="106">
        <f>IF('Organized Input Output'!$AA$9 = 260, 1, 0)*'Organized Input Output'!AC9</f>
        <v>0</v>
      </c>
      <c r="C47" s="45">
        <v>550</v>
      </c>
      <c r="D47" s="106">
        <f>C47*B47</f>
        <v>0</v>
      </c>
    </row>
    <row r="48" spans="1:4">
      <c r="A48" s="45" t="s">
        <v>202</v>
      </c>
      <c r="B48" s="106">
        <f>IF('Organized Input Output'!$AA$9 = 80, 1, 0)*'Organized Input Output'!AC9</f>
        <v>5</v>
      </c>
      <c r="C48" s="45">
        <v>205</v>
      </c>
      <c r="D48" s="106">
        <f>C48*B48</f>
        <v>1025</v>
      </c>
    </row>
    <row r="49" spans="1:4">
      <c r="A49" s="45" t="s">
        <v>203</v>
      </c>
      <c r="B49" s="106">
        <f>IF('Organized Input Output'!$AA$9 = 306, 1, 0)*'Organized Input Output'!AC9</f>
        <v>0</v>
      </c>
      <c r="C49" s="45">
        <v>450</v>
      </c>
      <c r="D49" s="106">
        <f>C49*B49</f>
        <v>0</v>
      </c>
    </row>
    <row r="50" spans="1:4">
      <c r="A50" s="45"/>
      <c r="B50" s="106"/>
      <c r="C50" s="45"/>
      <c r="D50" s="106"/>
    </row>
    <row r="51" spans="1:4">
      <c r="A51" s="45" t="s">
        <v>204</v>
      </c>
      <c r="B51" s="106">
        <f>IF( 'Organized Input Output'!$AF$9 = "y", 1, 0)</f>
        <v>0</v>
      </c>
      <c r="C51" s="45">
        <v>3250</v>
      </c>
      <c r="D51" s="106">
        <f>C51*B51</f>
        <v>0</v>
      </c>
    </row>
    <row r="53" spans="1:4">
      <c r="A53" s="304" t="s">
        <v>205</v>
      </c>
      <c r="B53" s="305"/>
      <c r="C53" s="305"/>
      <c r="D53" s="306"/>
    </row>
    <row r="54" spans="1:4">
      <c r="A54" s="45" t="s">
        <v>206</v>
      </c>
      <c r="B54" s="106">
        <f>'Organized Input Output'!AC11</f>
        <v>1</v>
      </c>
      <c r="C54" s="45">
        <v>390</v>
      </c>
      <c r="D54" s="106">
        <f>C54*B54</f>
        <v>390</v>
      </c>
    </row>
    <row r="55" spans="1:4">
      <c r="A55" s="45" t="s">
        <v>207</v>
      </c>
      <c r="B55" s="106">
        <f>'Organized Input Output'!AC10</f>
        <v>1</v>
      </c>
      <c r="C55" s="45">
        <v>2369</v>
      </c>
      <c r="D55" s="106">
        <f>C55*B55</f>
        <v>2369</v>
      </c>
    </row>
    <row r="56" spans="1:4" ht="21">
      <c r="A56" s="301" t="s">
        <v>208</v>
      </c>
      <c r="B56" s="302"/>
      <c r="C56" s="302"/>
      <c r="D56" s="303"/>
    </row>
    <row r="57" spans="1:4">
      <c r="A57" s="45" t="s">
        <v>209</v>
      </c>
      <c r="B57" s="106">
        <f>'Studio Rain System'!G13</f>
        <v>9</v>
      </c>
      <c r="C57" s="45" t="s">
        <v>210</v>
      </c>
      <c r="D57" s="106">
        <f>100*B57</f>
        <v>900</v>
      </c>
    </row>
    <row r="58" spans="1:4">
      <c r="A58" s="45" t="s">
        <v>211</v>
      </c>
      <c r="B58" s="106">
        <f>'Ozone-Energy'!Q5/100</f>
        <v>0</v>
      </c>
      <c r="C58" s="45">
        <v>325</v>
      </c>
      <c r="D58" s="106">
        <f>C58*B58</f>
        <v>0</v>
      </c>
    </row>
    <row r="59" spans="1:4">
      <c r="A59" s="45" t="s">
        <v>212</v>
      </c>
      <c r="B59" s="106">
        <f>'Organized Input Output'!I4</f>
        <v>18</v>
      </c>
      <c r="C59" s="45" t="s">
        <v>213</v>
      </c>
      <c r="D59" s="106">
        <f>B59*IF('Organized Input Output'!R7 = "y", 50, 0) + B59*IF('Organized Input Output'!R8 = "y", 60, 0) + B59*IF('Organized Input Output'!R9 = "y", 75, 0)</f>
        <v>3330</v>
      </c>
    </row>
    <row r="60" spans="1:4">
      <c r="A60" s="45" t="s">
        <v>214</v>
      </c>
      <c r="B60" s="106">
        <f>IF('Organized Input Output'!AD3 = "y", 'Ozone-Energy'!Z5+1, 0)</f>
        <v>0</v>
      </c>
      <c r="C60" s="45">
        <v>100</v>
      </c>
      <c r="D60" s="106">
        <f>B60*IF('Organized Input Output'!R8 = "y", 50, 0) + B60*IF('Organized Input Output'!R9 = "y", 60, 0) + B60*IF('Organized Input Output'!R10 = "y", 75, 0)</f>
        <v>0</v>
      </c>
    </row>
    <row r="61" spans="1:4">
      <c r="A61" s="45" t="s">
        <v>215</v>
      </c>
      <c r="B61" s="106">
        <f>'Ozone-Energy'!U6</f>
        <v>0</v>
      </c>
      <c r="C61" s="45">
        <v>50</v>
      </c>
      <c r="D61" s="106">
        <f>B61*IF('Organized Input Output'!R9 = "y", 50, 0) + B61*IF('Organized Input Output'!R10 = "y", 60, 0) + B61*IF('Organized Input Output'!R11 = "y", 75, 0)</f>
        <v>0</v>
      </c>
    </row>
    <row r="62" spans="1:4">
      <c r="A62" s="45"/>
      <c r="B62" s="106"/>
      <c r="C62" s="45"/>
      <c r="D62" s="106"/>
    </row>
    <row r="63" spans="1:4">
      <c r="A63" s="44" t="s">
        <v>216</v>
      </c>
      <c r="B63" s="106">
        <f>SUM(D7:D57)</f>
        <v>33068.769217112625</v>
      </c>
      <c r="C63" s="45"/>
      <c r="D63" s="106"/>
    </row>
    <row r="64" spans="1:4">
      <c r="A64" s="44" t="s">
        <v>217</v>
      </c>
      <c r="B64" s="106">
        <f>B63+(SUM(D57:D61))*5</f>
        <v>54218.769217112625</v>
      </c>
      <c r="C64" s="45"/>
      <c r="D64" s="106"/>
    </row>
    <row r="65" spans="1:4" ht="29.1">
      <c r="A65" s="147" t="s">
        <v>218</v>
      </c>
      <c r="B65" s="108">
        <v>110000</v>
      </c>
      <c r="C65" s="45"/>
      <c r="D65" s="106"/>
    </row>
  </sheetData>
  <mergeCells count="9">
    <mergeCell ref="A56:D56"/>
    <mergeCell ref="A11:D11"/>
    <mergeCell ref="A53:D53"/>
    <mergeCell ref="A45:D45"/>
    <mergeCell ref="A35:D35"/>
    <mergeCell ref="A40:D40"/>
    <mergeCell ref="A29:D29"/>
    <mergeCell ref="A24:D24"/>
    <mergeCell ref="A18:D1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D4AFB-C3FA-4292-8D17-0F587FD208A5}">
  <dimension ref="A1:AE39"/>
  <sheetViews>
    <sheetView tabSelected="1" topLeftCell="R11" zoomScale="65" workbookViewId="0">
      <selection activeCell="X14" sqref="X14"/>
    </sheetView>
  </sheetViews>
  <sheetFormatPr defaultColWidth="9.140625" defaultRowHeight="14.45"/>
  <cols>
    <col min="1" max="1" width="24.85546875" style="24" customWidth="1"/>
    <col min="2" max="2" width="13.42578125" style="24" customWidth="1"/>
    <col min="3" max="3" width="9.140625" style="24" bestFit="1"/>
    <col min="4" max="4" width="11.7109375" style="24" customWidth="1"/>
    <col min="5" max="5" width="20.7109375" style="24" customWidth="1"/>
    <col min="6" max="6" width="11.85546875" style="24" customWidth="1"/>
    <col min="7" max="8" width="14.28515625" style="24" customWidth="1"/>
    <col min="9" max="9" width="13" style="24" customWidth="1"/>
    <col min="10" max="10" width="9.140625" style="24" bestFit="1"/>
    <col min="11" max="11" width="11.85546875" style="24" customWidth="1"/>
    <col min="12" max="12" width="7.28515625" style="24" customWidth="1"/>
    <col min="13" max="13" width="12" style="24" customWidth="1"/>
    <col min="14" max="14" width="9.140625" style="24" bestFit="1" customWidth="1"/>
    <col min="15" max="17" width="9.140625" style="24" bestFit="1"/>
    <col min="18" max="18" width="22" style="24" customWidth="1"/>
    <col min="19" max="20" width="9.140625" style="24" bestFit="1"/>
    <col min="21" max="21" width="13.85546875" style="24" customWidth="1"/>
    <col min="22" max="22" width="12.7109375" style="24" customWidth="1"/>
    <col min="23" max="23" width="13" style="24" customWidth="1"/>
    <col min="24" max="24" width="13.7109375" style="24" customWidth="1"/>
    <col min="25" max="25" width="12.5703125" style="24" customWidth="1"/>
    <col min="26" max="26" width="12.42578125" style="24" customWidth="1"/>
    <col min="27" max="27" width="9.140625" style="24"/>
    <col min="28" max="28" width="10.85546875" style="24" customWidth="1"/>
    <col min="29" max="29" width="14.140625" style="24" customWidth="1"/>
    <col min="30" max="16384" width="9.140625" style="24"/>
  </cols>
  <sheetData>
    <row r="1" spans="1:26">
      <c r="A1" s="47" t="s">
        <v>0</v>
      </c>
    </row>
    <row r="2" spans="1:26">
      <c r="A2" s="1" t="s">
        <v>3</v>
      </c>
    </row>
    <row r="3" spans="1:26">
      <c r="A3" s="25" t="s">
        <v>219</v>
      </c>
      <c r="B3" s="152">
        <f>'Organized Input Output'!K9</f>
        <v>41.533119314590373</v>
      </c>
      <c r="C3" s="28" t="s">
        <v>220</v>
      </c>
      <c r="F3" s="105"/>
      <c r="I3" s="105"/>
    </row>
    <row r="4" spans="1:26" ht="15">
      <c r="A4" s="25" t="s">
        <v>221</v>
      </c>
      <c r="B4" s="152">
        <f>'Organized Input Output'!N9</f>
        <v>26</v>
      </c>
      <c r="C4" s="28" t="s">
        <v>220</v>
      </c>
      <c r="E4" s="222"/>
      <c r="F4" s="105"/>
      <c r="I4" s="105"/>
    </row>
    <row r="5" spans="1:26" ht="15">
      <c r="A5" t="s">
        <v>222</v>
      </c>
      <c r="B5" s="152">
        <f>'Organized Input Output'!D9</f>
        <v>1000</v>
      </c>
      <c r="C5" s="28" t="s">
        <v>67</v>
      </c>
      <c r="E5" s="222"/>
      <c r="F5" s="105"/>
    </row>
    <row r="6" spans="1:26">
      <c r="A6" s="25" t="s">
        <v>223</v>
      </c>
      <c r="B6" s="152">
        <f>'Organized Input Output'!D6</f>
        <v>9.81</v>
      </c>
      <c r="C6" s="28" t="s">
        <v>224</v>
      </c>
    </row>
    <row r="7" spans="1:26">
      <c r="A7" s="25" t="s">
        <v>225</v>
      </c>
      <c r="B7" s="152">
        <f>'Organized Input Output'!I11</f>
        <v>-1.5100000000000001E-2</v>
      </c>
      <c r="C7" s="28"/>
    </row>
    <row r="8" spans="1:26">
      <c r="A8" s="25" t="s">
        <v>226</v>
      </c>
      <c r="B8" s="152">
        <f>'Organized Input Output'!J11</f>
        <v>-0.55159999999999998</v>
      </c>
      <c r="C8" s="28"/>
      <c r="Q8" s="187"/>
      <c r="R8" s="187"/>
    </row>
    <row r="9" spans="1:26">
      <c r="A9" s="25" t="s">
        <v>227</v>
      </c>
      <c r="B9" s="152">
        <f>'Organized Input Output'!K11</f>
        <v>356.8</v>
      </c>
      <c r="C9" s="28"/>
    </row>
    <row r="10" spans="1:26">
      <c r="A10" t="s">
        <v>228</v>
      </c>
      <c r="B10" s="152">
        <f>'Organized Input Output'!D7</f>
        <v>0.02</v>
      </c>
      <c r="C10" s="28" t="s">
        <v>220</v>
      </c>
    </row>
    <row r="11" spans="1:26">
      <c r="A11" s="25" t="s">
        <v>229</v>
      </c>
      <c r="B11" s="215">
        <f>'Organized Input Output'!D8</f>
        <v>3.1415926535897931E-4</v>
      </c>
      <c r="C11" s="28" t="s">
        <v>230</v>
      </c>
    </row>
    <row r="12" spans="1:26" ht="15">
      <c r="A12" s="25" t="s">
        <v>231</v>
      </c>
      <c r="B12" s="152">
        <f>'Organized Input Output'!D10</f>
        <v>0.05</v>
      </c>
      <c r="C12" s="28"/>
    </row>
    <row r="13" spans="1:26" ht="43.5">
      <c r="A13" s="25" t="s">
        <v>232</v>
      </c>
      <c r="B13" s="152">
        <f>'Organized Input Output'!D12</f>
        <v>10</v>
      </c>
      <c r="C13" s="28" t="s">
        <v>233</v>
      </c>
      <c r="D13" s="307" t="s">
        <v>234</v>
      </c>
      <c r="E13" s="308"/>
      <c r="F13" s="308"/>
      <c r="G13" s="308"/>
      <c r="H13" s="308"/>
      <c r="I13" s="308"/>
      <c r="U13" s="307" t="s">
        <v>235</v>
      </c>
      <c r="V13" s="308"/>
      <c r="W13" s="308"/>
      <c r="X13" s="308"/>
      <c r="Y13" s="308"/>
      <c r="Z13" s="308"/>
    </row>
    <row r="14" spans="1:26">
      <c r="A14" s="25" t="s">
        <v>236</v>
      </c>
      <c r="B14" s="152">
        <f>'Organized Input Output'!G4</f>
        <v>13743</v>
      </c>
      <c r="C14" s="28"/>
    </row>
    <row r="15" spans="1:26">
      <c r="A15" s="29"/>
      <c r="B15" s="30"/>
      <c r="C15" s="31"/>
    </row>
    <row r="16" spans="1:26" ht="29.1">
      <c r="D16" s="26" t="s">
        <v>237</v>
      </c>
      <c r="E16" s="26" t="s">
        <v>238</v>
      </c>
      <c r="F16" s="26" t="s">
        <v>239</v>
      </c>
      <c r="G16" s="26" t="s">
        <v>240</v>
      </c>
      <c r="U16" s="26" t="s">
        <v>237</v>
      </c>
      <c r="V16" s="26" t="s">
        <v>238</v>
      </c>
      <c r="W16" s="26" t="s">
        <v>239</v>
      </c>
      <c r="X16" s="26" t="s">
        <v>240</v>
      </c>
    </row>
    <row r="17" spans="4:31" ht="43.5">
      <c r="D17" s="27" t="s">
        <v>241</v>
      </c>
      <c r="E17" s="27" t="s">
        <v>242</v>
      </c>
      <c r="F17" s="27" t="s">
        <v>118</v>
      </c>
      <c r="G17" s="27" t="s">
        <v>118</v>
      </c>
      <c r="H17" s="27" t="s">
        <v>243</v>
      </c>
      <c r="I17" s="26" t="s">
        <v>244</v>
      </c>
      <c r="U17" s="27" t="s">
        <v>241</v>
      </c>
      <c r="V17" s="27" t="s">
        <v>242</v>
      </c>
      <c r="W17" s="27" t="s">
        <v>118</v>
      </c>
      <c r="X17" s="27" t="s">
        <v>118</v>
      </c>
      <c r="Y17" s="27" t="s">
        <v>243</v>
      </c>
      <c r="Z17" s="26" t="s">
        <v>244</v>
      </c>
      <c r="AA17" s="26" t="s">
        <v>2</v>
      </c>
    </row>
    <row r="18" spans="4:31" ht="17.25" customHeight="1">
      <c r="D18" s="24">
        <v>0</v>
      </c>
      <c r="E18" s="24">
        <f t="shared" ref="E18:E33" si="0" xml:space="preserve"> (D18 * $B$11) * 60000</f>
        <v>0</v>
      </c>
      <c r="F18" s="24">
        <f xml:space="preserve"> $B$5*$B$6*$B$4</f>
        <v>255060</v>
      </c>
      <c r="G18" s="24">
        <f xml:space="preserve"> ($B$12*($B$3/($B$10))*(($B$5*D18^2)/2))+($B$13*($B$5*D18^2)/2)</f>
        <v>0</v>
      </c>
      <c r="H18" s="24">
        <f t="shared" ref="H18:H33" si="1" xml:space="preserve"> E18 / 1000 / 60</f>
        <v>0</v>
      </c>
      <c r="I18" s="24">
        <f t="shared" ref="I18:I33" si="2">F18-G18</f>
        <v>255060</v>
      </c>
      <c r="U18" s="24">
        <v>0</v>
      </c>
      <c r="V18" s="24">
        <f t="shared" ref="V18:V32" si="3" xml:space="preserve"> (U18 * $B$11) * 60000</f>
        <v>0</v>
      </c>
      <c r="W18" s="24">
        <f>$B$5*$B$6*$B$4 + ($B$12*($B$3/$B$10)*($B$5*U18*U18/2)) + ($B$13*($B$5*U18*U18/2)) + $B$14*U18</f>
        <v>255060</v>
      </c>
      <c r="X18" s="24">
        <f>($B$7*(V18*V18) + $B$8*V18 + $B$9)*1000</f>
        <v>356800</v>
      </c>
      <c r="Y18" s="24">
        <f t="shared" ref="Y18:Y33" si="4" xml:space="preserve"> V18 / 1000 / 60</f>
        <v>0</v>
      </c>
      <c r="Z18" s="24">
        <f t="shared" ref="Z18:Z33" si="5">W18-X18</f>
        <v>-101740</v>
      </c>
      <c r="AA18" s="24">
        <f>1.2*'Organized Input Output'!$L$11 * (EXP(V18/'Organized Input Output'!$N$11) - 1 - 1.72 * (V18 / 'Organized Input Output'!$N$11)^4 )^ 'Organized Input Output'!$M$11</f>
        <v>0</v>
      </c>
    </row>
    <row r="19" spans="4:31" ht="15">
      <c r="D19" s="24">
        <f>D18+0.2</f>
        <v>0.2</v>
      </c>
      <c r="E19" s="24">
        <f t="shared" si="0"/>
        <v>3.7699111843077522</v>
      </c>
      <c r="F19" s="24">
        <f t="shared" ref="F19:F34" si="6" xml:space="preserve"> $B$5*$B$6*$B$4</f>
        <v>255060</v>
      </c>
      <c r="G19" s="24">
        <f xml:space="preserve"> ($B$12*($B$3/($B$10))*(($B$5*D19^2)/2))+($B$13*($B$5*D19^2)/2)</f>
        <v>2276.6559657295188</v>
      </c>
      <c r="H19" s="24">
        <f xml:space="preserve"> E19 / 1000 / 60</f>
        <v>6.283185307179587E-5</v>
      </c>
      <c r="I19" s="24">
        <f>F19-G19</f>
        <v>252783.34403427047</v>
      </c>
      <c r="U19" s="24">
        <f t="shared" ref="U19:U33" si="7">U18+0.2</f>
        <v>0.2</v>
      </c>
      <c r="V19" s="24">
        <f t="shared" si="3"/>
        <v>3.7699111843077522</v>
      </c>
      <c r="W19" s="24">
        <f>$B$5*$B$6*$B$4 + ($B$12*($B$3/$B$10)*($B$5*U19*U19/2)) + ($B$13*($B$5*U19*U19/2)) + $B$14*U19</f>
        <v>260085.25596572954</v>
      </c>
      <c r="X19" s="24">
        <f>($B$7*(V19*V19) + $B$8*V19 + $B$9)*1000</f>
        <v>354505.91231263854</v>
      </c>
      <c r="Y19" s="24">
        <f t="shared" si="4"/>
        <v>6.283185307179587E-5</v>
      </c>
      <c r="Z19" s="24">
        <f t="shared" si="5"/>
        <v>-94420.656346909003</v>
      </c>
      <c r="AA19" s="24">
        <f>1.2*'Organized Input Output'!$L$11 * (EXP(V19/'Organized Input Output'!$N$11) - 1 - 1.72 * (V19/'Organized Input Output'!$N$11)^4 )^ 'Organized Input Output'!$M$11</f>
        <v>0.12091229016568632</v>
      </c>
    </row>
    <row r="20" spans="4:31" ht="15">
      <c r="D20" s="24">
        <f>D19+0.2</f>
        <v>0.4</v>
      </c>
      <c r="E20" s="24">
        <f t="shared" si="0"/>
        <v>7.5398223686155044</v>
      </c>
      <c r="F20" s="24">
        <f t="shared" si="6"/>
        <v>255060</v>
      </c>
      <c r="G20" s="24">
        <f t="shared" ref="G19:G33" si="8" xml:space="preserve"> ($B$12*($B$3/($B$10))*(($B$5*D20^2)/2))+($B$13*($B$5*D20^2)/2)</f>
        <v>9106.6238629180752</v>
      </c>
      <c r="H20" s="24">
        <f t="shared" si="1"/>
        <v>1.2566370614359174E-4</v>
      </c>
      <c r="I20" s="24">
        <f t="shared" si="2"/>
        <v>245953.37613708191</v>
      </c>
      <c r="U20" s="24">
        <f t="shared" si="7"/>
        <v>0.4</v>
      </c>
      <c r="V20" s="24">
        <f t="shared" si="3"/>
        <v>7.5398223686155044</v>
      </c>
      <c r="W20" s="24">
        <f t="shared" ref="W19:W34" si="9">$B$5*$B$6*$B$4 + ($B$12*($B$3/$B$10)*($B$5*U20*U20/2)) + ($B$13*($B$5*U20*U20/2)) + $B$14*U20</f>
        <v>269663.82386291807</v>
      </c>
      <c r="X20" s="24">
        <f t="shared" ref="X19:X33" si="10">($B$7*(V20*V20) + $B$8*V20 + $B$9)*1000</f>
        <v>351782.61526908254</v>
      </c>
      <c r="Y20" s="24">
        <f t="shared" si="4"/>
        <v>1.2566370614359174E-4</v>
      </c>
      <c r="Z20" s="24">
        <f t="shared" si="5"/>
        <v>-82118.79140616447</v>
      </c>
      <c r="AA20" s="24">
        <f>1.2*'Organized Input Output'!$L$11 * (EXP(V20/'Organized Input Output'!$N$11) - 1 - 1.72 * (V20/'Organized Input Output'!$N$11)^4 )^ 'Organized Input Output'!$M$11</f>
        <v>0.17836079190557633</v>
      </c>
    </row>
    <row r="21" spans="4:31" ht="15">
      <c r="D21" s="24">
        <f t="shared" ref="D21:D34" si="11">D20+0.2</f>
        <v>0.60000000000000009</v>
      </c>
      <c r="E21" s="24">
        <f t="shared" si="0"/>
        <v>11.309733552923257</v>
      </c>
      <c r="F21" s="24">
        <f t="shared" si="6"/>
        <v>255060</v>
      </c>
      <c r="G21" s="24">
        <f xml:space="preserve"> ($B$12*($B$3/($B$10))*(($B$5*D21^2)/2))+($B$13*($B$5*D21^2)/2)</f>
        <v>20489.903691565672</v>
      </c>
      <c r="H21" s="24">
        <f t="shared" si="1"/>
        <v>1.884955592153876E-4</v>
      </c>
      <c r="I21" s="24">
        <f t="shared" si="2"/>
        <v>234570.09630843432</v>
      </c>
      <c r="U21" s="24">
        <f t="shared" si="7"/>
        <v>0.60000000000000009</v>
      </c>
      <c r="V21" s="24">
        <f xml:space="preserve"> (U21 * $B$11) * 60000</f>
        <v>11.309733552923257</v>
      </c>
      <c r="W21" s="24">
        <f t="shared" si="9"/>
        <v>283795.70369156566</v>
      </c>
      <c r="X21" s="24">
        <f t="shared" si="10"/>
        <v>348630.10886933195</v>
      </c>
      <c r="Y21" s="24">
        <f t="shared" si="4"/>
        <v>1.884955592153876E-4</v>
      </c>
      <c r="Z21" s="24">
        <f t="shared" si="5"/>
        <v>-64834.405177766283</v>
      </c>
      <c r="AA21" s="24">
        <f>1.2*'Organized Input Output'!$L$11 * (EXP(V21/'Organized Input Output'!$N$11) - 1 - 1.72 * (V21/'Organized Input Output'!$N$11)^4 )^ 'Organized Input Output'!$M$11</f>
        <v>0.22455831560547321</v>
      </c>
    </row>
    <row r="22" spans="4:31" ht="15">
      <c r="D22" s="24">
        <f t="shared" si="11"/>
        <v>0.8</v>
      </c>
      <c r="E22" s="24">
        <f t="shared" si="0"/>
        <v>15.079644737231009</v>
      </c>
      <c r="F22" s="24">
        <f t="shared" si="6"/>
        <v>255060</v>
      </c>
      <c r="G22" s="24">
        <f t="shared" si="8"/>
        <v>36426.495451672301</v>
      </c>
      <c r="H22" s="24">
        <f t="shared" si="1"/>
        <v>2.5132741228718348E-4</v>
      </c>
      <c r="I22" s="24">
        <f t="shared" si="2"/>
        <v>218633.50454832771</v>
      </c>
      <c r="U22" s="24">
        <f t="shared" si="7"/>
        <v>0.8</v>
      </c>
      <c r="V22" s="24">
        <f t="shared" si="3"/>
        <v>15.079644737231009</v>
      </c>
      <c r="W22" s="24">
        <f>$B$5*$B$6*$B$4 + ($B$12*($B$3/$B$10)*($B$5*U22*U22/2)) + ($B$13*($B$5*U22*U22/2)) + $B$14*U22</f>
        <v>302480.89545167232</v>
      </c>
      <c r="X22" s="24">
        <f t="shared" si="10"/>
        <v>345048.39311338682</v>
      </c>
      <c r="Y22" s="24">
        <f t="shared" si="4"/>
        <v>2.5132741228718348E-4</v>
      </c>
      <c r="Z22" s="24">
        <f t="shared" si="5"/>
        <v>-42567.4976617145</v>
      </c>
      <c r="AA22" s="24">
        <f>1.2*'Organized Input Output'!$L$11 * (EXP(V22/'Organized Input Output'!$N$11) - 1 - 1.72 * (V22/'Organized Input Output'!$N$11)^4 )^ 'Organized Input Output'!$M$11</f>
        <v>0.26490908377273475</v>
      </c>
    </row>
    <row r="23" spans="4:31" ht="15">
      <c r="D23" s="24">
        <f t="shared" si="11"/>
        <v>1</v>
      </c>
      <c r="E23" s="24">
        <f t="shared" si="0"/>
        <v>18.849555921538759</v>
      </c>
      <c r="F23" s="24">
        <f t="shared" si="6"/>
        <v>255060</v>
      </c>
      <c r="G23" s="24">
        <f t="shared" si="8"/>
        <v>56916.399143237963</v>
      </c>
      <c r="H23" s="24">
        <f t="shared" si="1"/>
        <v>3.1415926535897931E-4</v>
      </c>
      <c r="I23" s="24">
        <f t="shared" si="2"/>
        <v>198143.60085676203</v>
      </c>
      <c r="U23" s="24">
        <f t="shared" si="7"/>
        <v>1</v>
      </c>
      <c r="V23" s="24">
        <f t="shared" si="3"/>
        <v>18.849555921538759</v>
      </c>
      <c r="W23" s="24">
        <f t="shared" si="9"/>
        <v>325719.39914323797</v>
      </c>
      <c r="X23" s="24">
        <f t="shared" si="10"/>
        <v>341037.46800124709</v>
      </c>
      <c r="Y23" s="24">
        <f t="shared" si="4"/>
        <v>3.1415926535897931E-4</v>
      </c>
      <c r="Z23" s="24">
        <f t="shared" si="5"/>
        <v>-15318.068858009123</v>
      </c>
      <c r="AA23" s="24">
        <f>1.2*'Organized Input Output'!$L$11 * (EXP(V23/'Organized Input Output'!$N$11) - 1 - 1.72 * (V23/'Organized Input Output'!$N$11)^4 )^ 'Organized Input Output'!$M$11</f>
        <v>0.30149324272141709</v>
      </c>
    </row>
    <row r="24" spans="4:31" ht="15">
      <c r="D24" s="24">
        <f t="shared" si="11"/>
        <v>1.2</v>
      </c>
      <c r="E24" s="24">
        <f t="shared" si="0"/>
        <v>22.619467105846507</v>
      </c>
      <c r="F24" s="24">
        <f t="shared" si="6"/>
        <v>255060</v>
      </c>
      <c r="G24" s="24">
        <f t="shared" si="8"/>
        <v>81959.614766262661</v>
      </c>
      <c r="H24" s="24">
        <f t="shared" si="1"/>
        <v>3.7699111843077508E-4</v>
      </c>
      <c r="I24" s="24">
        <f t="shared" si="2"/>
        <v>173100.38523373735</v>
      </c>
      <c r="U24" s="24">
        <f t="shared" si="7"/>
        <v>1.2</v>
      </c>
      <c r="V24" s="24">
        <f t="shared" si="3"/>
        <v>22.619467105846507</v>
      </c>
      <c r="W24" s="24">
        <f t="shared" si="9"/>
        <v>353511.21476626262</v>
      </c>
      <c r="X24" s="24">
        <f t="shared" si="10"/>
        <v>336597.33353291271</v>
      </c>
      <c r="Y24" s="24">
        <f t="shared" si="4"/>
        <v>3.7699111843077508E-4</v>
      </c>
      <c r="Z24" s="24">
        <f t="shared" si="5"/>
        <v>16913.881233349908</v>
      </c>
      <c r="AA24" s="24">
        <f>1.2*'Organized Input Output'!$L$11 * (EXP(V24/'Organized Input Output'!$N$11) - 1 - 1.72 * (V24/'Organized Input Output'!$N$11)^4 )^ 'Organized Input Output'!$M$11</f>
        <v>0.33534758749588367</v>
      </c>
    </row>
    <row r="25" spans="4:31" ht="15">
      <c r="D25" s="24">
        <f t="shared" si="11"/>
        <v>1.4</v>
      </c>
      <c r="E25" s="24">
        <f t="shared" si="0"/>
        <v>26.389378290154262</v>
      </c>
      <c r="F25" s="24">
        <f t="shared" si="6"/>
        <v>255060</v>
      </c>
      <c r="G25" s="24">
        <f t="shared" si="8"/>
        <v>111556.1423207464</v>
      </c>
      <c r="H25" s="24">
        <f t="shared" si="1"/>
        <v>4.3982297150257108E-4</v>
      </c>
      <c r="I25" s="24">
        <f t="shared" si="2"/>
        <v>143503.85767925362</v>
      </c>
      <c r="U25" s="24">
        <f t="shared" si="7"/>
        <v>1.4</v>
      </c>
      <c r="V25" s="24">
        <f t="shared" si="3"/>
        <v>26.389378290154262</v>
      </c>
      <c r="W25" s="24">
        <f>$B$5*$B$6*$B$4 + ($B$12*($B$3/$B$10)*($B$5*U25*U25/2)) + ($B$13*($B$5*U25*U25/2)) + $B$14*U25</f>
        <v>385856.34232074639</v>
      </c>
      <c r="X25" s="24">
        <f t="shared" si="10"/>
        <v>331727.98970838386</v>
      </c>
      <c r="Y25" s="24">
        <f t="shared" si="4"/>
        <v>4.3982297150257108E-4</v>
      </c>
      <c r="Z25" s="24">
        <f t="shared" si="5"/>
        <v>54128.352612362534</v>
      </c>
      <c r="AA25" s="24">
        <f>1.2*'Organized Input Output'!$L$11 * (EXP(V25/'Organized Input Output'!$N$11) - 1 - 1.72 * (V25/'Organized Input Output'!$N$11)^4 )^ 'Organized Input Output'!$M$11</f>
        <v>0.3670556403352771</v>
      </c>
    </row>
    <row r="26" spans="4:31" ht="15">
      <c r="D26" s="24">
        <f t="shared" si="11"/>
        <v>1.5999999999999999</v>
      </c>
      <c r="E26" s="24">
        <f t="shared" si="0"/>
        <v>30.15928947446201</v>
      </c>
      <c r="F26" s="24">
        <f t="shared" si="6"/>
        <v>255060</v>
      </c>
      <c r="G26" s="24">
        <f t="shared" si="8"/>
        <v>145705.98180668915</v>
      </c>
      <c r="H26" s="24">
        <f t="shared" si="1"/>
        <v>5.0265482457436685E-4</v>
      </c>
      <c r="I26" s="24">
        <f t="shared" si="2"/>
        <v>109354.01819331085</v>
      </c>
      <c r="U26" s="24">
        <f t="shared" si="7"/>
        <v>1.5999999999999999</v>
      </c>
      <c r="V26" s="24">
        <f t="shared" si="3"/>
        <v>30.15928947446201</v>
      </c>
      <c r="W26" s="24">
        <f t="shared" si="9"/>
        <v>422754.78180668916</v>
      </c>
      <c r="X26" s="24">
        <f t="shared" si="10"/>
        <v>326429.43652766041</v>
      </c>
      <c r="Y26" s="24">
        <f t="shared" si="4"/>
        <v>5.0265482457436685E-4</v>
      </c>
      <c r="Z26" s="24">
        <f t="shared" si="5"/>
        <v>96325.345279028756</v>
      </c>
      <c r="AA26" s="24">
        <f>1.2*'Organized Input Output'!$L$11 * (EXP(V26/'Organized Input Output'!$N$11) - 1 - 1.72 * (V26/'Organized Input Output'!$N$11)^4 )^ 'Organized Input Output'!$M$11</f>
        <v>0.3969656655276923</v>
      </c>
    </row>
    <row r="27" spans="4:31" ht="15">
      <c r="D27" s="24">
        <f t="shared" si="11"/>
        <v>1.7999999999999998</v>
      </c>
      <c r="E27" s="24">
        <f t="shared" si="0"/>
        <v>33.929200658769766</v>
      </c>
      <c r="F27" s="24">
        <f t="shared" si="6"/>
        <v>255060</v>
      </c>
      <c r="G27" s="24">
        <f t="shared" si="8"/>
        <v>184409.13322409097</v>
      </c>
      <c r="H27" s="24">
        <f t="shared" si="1"/>
        <v>5.6548667764616284E-4</v>
      </c>
      <c r="I27" s="24">
        <f t="shared" si="2"/>
        <v>70650.866775909031</v>
      </c>
      <c r="U27" s="24">
        <f t="shared" si="7"/>
        <v>1.7999999999999998</v>
      </c>
      <c r="V27" s="24">
        <f t="shared" si="3"/>
        <v>33.929200658769766</v>
      </c>
      <c r="W27" s="24">
        <f t="shared" si="9"/>
        <v>464206.53322409093</v>
      </c>
      <c r="X27" s="24">
        <f t="shared" si="10"/>
        <v>320701.67399074242</v>
      </c>
      <c r="Y27" s="24">
        <f t="shared" si="4"/>
        <v>5.6548667764616284E-4</v>
      </c>
      <c r="Z27" s="24">
        <f t="shared" si="5"/>
        <v>143504.85923334851</v>
      </c>
      <c r="AA27" s="24">
        <f>1.2*'Organized Input Output'!$L$11 * (EXP(V27/'Organized Input Output'!$N$11) - 1 - 1.72 * (V27/'Organized Input Output'!$N$11)^4 )^ 'Organized Input Output'!$M$11</f>
        <v>0.42528865520325165</v>
      </c>
    </row>
    <row r="28" spans="4:31" ht="29.25">
      <c r="D28" s="24">
        <f t="shared" si="11"/>
        <v>1.9999999999999998</v>
      </c>
      <c r="E28" s="24">
        <f t="shared" si="0"/>
        <v>37.69911184307751</v>
      </c>
      <c r="F28" s="24">
        <f t="shared" si="6"/>
        <v>255060</v>
      </c>
      <c r="G28" s="24">
        <f t="shared" si="8"/>
        <v>227665.59657295179</v>
      </c>
      <c r="H28" s="24">
        <f t="shared" si="1"/>
        <v>6.2831853071795851E-4</v>
      </c>
      <c r="I28" s="24">
        <f t="shared" si="2"/>
        <v>27394.403427048208</v>
      </c>
      <c r="U28" s="24">
        <f t="shared" si="7"/>
        <v>1.9999999999999998</v>
      </c>
      <c r="V28" s="24">
        <f t="shared" si="3"/>
        <v>37.69911184307751</v>
      </c>
      <c r="W28" s="24">
        <f t="shared" si="9"/>
        <v>510211.59657295176</v>
      </c>
      <c r="X28" s="24">
        <f t="shared" si="10"/>
        <v>314544.70209762972</v>
      </c>
      <c r="Y28" s="24">
        <f t="shared" si="4"/>
        <v>6.2831853071795851E-4</v>
      </c>
      <c r="Z28" s="24">
        <f t="shared" si="5"/>
        <v>195666.89447532204</v>
      </c>
      <c r="AA28" s="24">
        <f>1.2*'Organized Input Output'!$L$11 * (EXP(V28/'Organized Input Output'!$N$11) - 1 - 1.72 * (V28/'Organized Input Output'!$N$11)^4 )^ 'Organized Input Output'!$M$11</f>
        <v>0.45214832209006356</v>
      </c>
      <c r="AD28" s="223" t="s">
        <v>245</v>
      </c>
      <c r="AE28" s="222" cm="1">
        <f t="array" ref="AE28">MIN(ABS(Z18:Z33))</f>
        <v>15318.068858009123</v>
      </c>
    </row>
    <row r="29" spans="4:31" ht="15">
      <c r="D29" s="24">
        <f t="shared" si="11"/>
        <v>2.1999999999999997</v>
      </c>
      <c r="E29" s="24">
        <f t="shared" si="0"/>
        <v>41.469023027385262</v>
      </c>
      <c r="F29" s="24">
        <f t="shared" si="6"/>
        <v>255060</v>
      </c>
      <c r="G29" s="24">
        <f t="shared" si="8"/>
        <v>275475.37185327167</v>
      </c>
      <c r="H29" s="24">
        <f t="shared" si="1"/>
        <v>6.9115038378975439E-4</v>
      </c>
      <c r="I29" s="24">
        <f t="shared" si="2"/>
        <v>-20415.371853271674</v>
      </c>
      <c r="U29" s="24">
        <f t="shared" si="7"/>
        <v>2.1999999999999997</v>
      </c>
      <c r="V29" s="24">
        <f t="shared" si="3"/>
        <v>41.469023027385262</v>
      </c>
      <c r="W29" s="24">
        <f t="shared" si="9"/>
        <v>560769.97185327159</v>
      </c>
      <c r="X29" s="24">
        <f t="shared" si="10"/>
        <v>307958.52084832254</v>
      </c>
      <c r="Y29" s="24">
        <f t="shared" si="4"/>
        <v>6.9115038378975439E-4</v>
      </c>
      <c r="Z29" s="24">
        <f t="shared" si="5"/>
        <v>252811.45100494905</v>
      </c>
      <c r="AA29" s="24">
        <f>1.2*'Organized Input Output'!$L$11 * (EXP(V29/'Organized Input Output'!$N$11) - 1 - 1.72 * (V29/'Organized Input Output'!$N$11)^4 )^ 'Organized Input Output'!$M$11</f>
        <v>0.47760895683189236</v>
      </c>
      <c r="AD29" s="223" t="s">
        <v>246</v>
      </c>
      <c r="AE29" s="222" cm="1">
        <f t="array" ref="AE29">INDEX(V18:V33, MATCH(MIN(ABS(Z18:Z33)), ABS(Z18:Z33), 0))</f>
        <v>18.849555921538759</v>
      </c>
    </row>
    <row r="30" spans="4:31" ht="16.5" customHeight="1">
      <c r="D30" s="24">
        <f t="shared" si="11"/>
        <v>2.4</v>
      </c>
      <c r="E30" s="24">
        <f t="shared" si="0"/>
        <v>45.238934211693014</v>
      </c>
      <c r="F30" s="24">
        <f t="shared" si="6"/>
        <v>255060</v>
      </c>
      <c r="G30" s="24">
        <f t="shared" si="8"/>
        <v>327838.45906505064</v>
      </c>
      <c r="H30" s="24">
        <f t="shared" si="1"/>
        <v>7.5398223686155017E-4</v>
      </c>
      <c r="I30" s="24">
        <f t="shared" si="2"/>
        <v>-72778.459065050643</v>
      </c>
      <c r="K30" s="223" t="s">
        <v>245</v>
      </c>
      <c r="L30" s="222" cm="1">
        <f t="array" ref="L30">MIN(ABS(I18:I33))</f>
        <v>20415.371853271674</v>
      </c>
      <c r="U30" s="24">
        <f t="shared" si="7"/>
        <v>2.4</v>
      </c>
      <c r="V30" s="24">
        <f t="shared" si="3"/>
        <v>45.238934211693014</v>
      </c>
      <c r="W30" s="24">
        <f t="shared" si="9"/>
        <v>615881.65906505054</v>
      </c>
      <c r="X30" s="24">
        <f t="shared" si="10"/>
        <v>300943.13024282083</v>
      </c>
      <c r="Y30" s="24">
        <f t="shared" si="4"/>
        <v>7.5398223686155017E-4</v>
      </c>
      <c r="Z30" s="24">
        <f t="shared" si="5"/>
        <v>314938.52882222971</v>
      </c>
      <c r="AA30" s="24">
        <f>1.2*'Organized Input Output'!$L$11 * (EXP(V30/'Organized Input Output'!$N$11) - 1 - 1.72 * (V30/'Organized Input Output'!$N$11)^4 )^ 'Organized Input Output'!$M$11</f>
        <v>0.5016919529855951</v>
      </c>
      <c r="AD30" s="223" t="s">
        <v>247</v>
      </c>
      <c r="AE30" s="222">
        <f>AE29*1.44</f>
        <v>27.143360527015812</v>
      </c>
    </row>
    <row r="31" spans="4:31" ht="29.25">
      <c r="D31" s="24">
        <f t="shared" si="11"/>
        <v>2.6</v>
      </c>
      <c r="E31" s="24">
        <f t="shared" si="0"/>
        <v>49.008845396000773</v>
      </c>
      <c r="F31" s="24">
        <f t="shared" si="6"/>
        <v>255060</v>
      </c>
      <c r="G31" s="24">
        <f t="shared" si="8"/>
        <v>384754.85820828867</v>
      </c>
      <c r="H31" s="24">
        <f t="shared" si="1"/>
        <v>8.1681408993334616E-4</v>
      </c>
      <c r="I31" s="24">
        <f t="shared" si="2"/>
        <v>-129694.85820828867</v>
      </c>
      <c r="K31" s="223" t="s">
        <v>246</v>
      </c>
      <c r="L31" s="222" cm="1">
        <f t="array" ref="L31">INDEX(E18:E33, MATCH(MIN(ABS(I18:I33)), ABS(I18:I33), 0))</f>
        <v>41.469023027385262</v>
      </c>
      <c r="U31" s="24">
        <f t="shared" si="7"/>
        <v>2.6</v>
      </c>
      <c r="V31" s="24">
        <f t="shared" si="3"/>
        <v>49.008845396000773</v>
      </c>
      <c r="W31" s="24">
        <f t="shared" si="9"/>
        <v>675546.65820828872</v>
      </c>
      <c r="X31" s="24">
        <f t="shared" si="10"/>
        <v>293498.53028112446</v>
      </c>
      <c r="Y31" s="24">
        <f t="shared" si="4"/>
        <v>8.1681408993334616E-4</v>
      </c>
      <c r="Z31" s="24">
        <f t="shared" si="5"/>
        <v>382048.12792716426</v>
      </c>
      <c r="AA31" s="24">
        <f>1.2*'Organized Input Output'!$L$11 * (EXP(V31/'Organized Input Output'!$N$11) - 1 - 1.72 * (V31/'Organized Input Output'!$N$11)^4 )^ 'Organized Input Output'!$M$11</f>
        <v>0.52438603510421833</v>
      </c>
      <c r="AD31" s="223" t="s">
        <v>248</v>
      </c>
      <c r="AE31" s="236">
        <f>INDEX(AA18:AA33, MATCH(AE29, V18:V33, 0))</f>
        <v>0.30149324272141709</v>
      </c>
    </row>
    <row r="32" spans="4:31" ht="16.5" customHeight="1">
      <c r="D32" s="24">
        <f t="shared" si="11"/>
        <v>2.8000000000000003</v>
      </c>
      <c r="E32" s="24">
        <f t="shared" si="0"/>
        <v>52.778756580308531</v>
      </c>
      <c r="F32" s="24">
        <f t="shared" si="6"/>
        <v>255060</v>
      </c>
      <c r="G32" s="24">
        <f t="shared" si="8"/>
        <v>446224.5692829857</v>
      </c>
      <c r="H32" s="24">
        <f t="shared" si="1"/>
        <v>8.7964594300514226E-4</v>
      </c>
      <c r="I32" s="24">
        <f t="shared" si="2"/>
        <v>-191164.5692829857</v>
      </c>
      <c r="K32" s="223" t="s">
        <v>247</v>
      </c>
      <c r="L32" s="222">
        <f>L31*1.44</f>
        <v>59.715393159434775</v>
      </c>
      <c r="U32" s="24">
        <f t="shared" si="7"/>
        <v>2.8000000000000003</v>
      </c>
      <c r="V32" s="24">
        <f t="shared" si="3"/>
        <v>52.778756580308531</v>
      </c>
      <c r="W32" s="24">
        <f t="shared" si="9"/>
        <v>739764.96928298578</v>
      </c>
      <c r="X32" s="24">
        <f t="shared" si="10"/>
        <v>285624.72096323356</v>
      </c>
      <c r="Y32" s="24">
        <f t="shared" si="4"/>
        <v>8.7964594300514226E-4</v>
      </c>
      <c r="Z32" s="24">
        <f t="shared" si="5"/>
        <v>454140.24831975222</v>
      </c>
      <c r="AA32" s="24">
        <f>1.2*'Organized Input Output'!$L$11 * (EXP(V32/'Organized Input Output'!$N$11) - 1 - 1.72 * (V32/'Organized Input Output'!$N$11)^4 )^ 'Organized Input Output'!$M$11</f>
        <v>0.54565373748016188</v>
      </c>
    </row>
    <row r="33" spans="2:27" ht="15">
      <c r="D33" s="24">
        <f t="shared" si="11"/>
        <v>3.0000000000000004</v>
      </c>
      <c r="E33" s="24">
        <f t="shared" si="0"/>
        <v>56.548667764616283</v>
      </c>
      <c r="F33" s="24">
        <f t="shared" si="6"/>
        <v>255060</v>
      </c>
      <c r="G33" s="24">
        <f t="shared" si="8"/>
        <v>512247.59228914184</v>
      </c>
      <c r="H33" s="24">
        <f t="shared" si="1"/>
        <v>9.4247779607693804E-4</v>
      </c>
      <c r="I33" s="24">
        <f t="shared" si="2"/>
        <v>-257187.59228914184</v>
      </c>
      <c r="K33" s="223"/>
      <c r="L33" s="236"/>
      <c r="U33" s="24">
        <f t="shared" si="7"/>
        <v>3.0000000000000004</v>
      </c>
      <c r="V33" s="24">
        <f xml:space="preserve"> (U33 * $B$11) * 60000</f>
        <v>56.548667764616283</v>
      </c>
      <c r="W33" s="24">
        <f t="shared" si="9"/>
        <v>808536.59228914173</v>
      </c>
      <c r="X33" s="24">
        <f t="shared" si="10"/>
        <v>277321.70228914812</v>
      </c>
      <c r="Y33" s="24">
        <f t="shared" si="4"/>
        <v>9.4247779607693804E-4</v>
      </c>
      <c r="Z33" s="24">
        <f t="shared" si="5"/>
        <v>531214.88999999361</v>
      </c>
      <c r="AA33" s="24">
        <f>1.2*'Organized Input Output'!$L$11 * (EXP(V33/'Organized Input Output'!$N$11) - 1 - 1.72 * (V33/'Organized Input Output'!$N$11)^4 )^ 'Organized Input Output'!$M$11</f>
        <v>0.56543550391546804</v>
      </c>
    </row>
    <row r="34" spans="2:27" ht="15">
      <c r="B34" s="24" t="s">
        <v>249</v>
      </c>
      <c r="C34" s="139"/>
      <c r="D34" s="24">
        <v>1.9809088833066899</v>
      </c>
      <c r="E34" s="235">
        <f xml:space="preserve"> (D34 * $B$11) * 60000</f>
        <v>37.339252771362347</v>
      </c>
      <c r="F34" s="24">
        <f t="shared" si="6"/>
        <v>255060</v>
      </c>
      <c r="G34" s="24">
        <f t="shared" ref="G34" si="12" xml:space="preserve"> ($B$12*($B$3/($B$10))*(($B$5*D34^2)/2))+($B$13*($B$5*D34^2)/2)</f>
        <v>223339.95046364574</v>
      </c>
      <c r="H34" s="24">
        <f t="shared" ref="H34" si="13" xml:space="preserve"> E34 / 1000 / 60</f>
        <v>6.2232087952270574E-4</v>
      </c>
      <c r="I34" s="24">
        <f t="shared" ref="I34" si="14">F34-G34</f>
        <v>31720.049536354258</v>
      </c>
      <c r="U34" s="24">
        <v>2.5458161935983434</v>
      </c>
      <c r="V34" s="235">
        <f xml:space="preserve"> (U34 * $B$11) * 60000</f>
        <v>47.987504707190915</v>
      </c>
      <c r="W34" s="24">
        <f t="shared" si="9"/>
        <v>658932.58496062702</v>
      </c>
      <c r="X34" s="24">
        <f>($B$7*(V34*V34) + $B$8*V34 + $B$9)*1000</f>
        <v>295557.80322237121</v>
      </c>
      <c r="Y34" s="24">
        <f xml:space="preserve"> V34 / 1000 / 60</f>
        <v>7.9979174511984863E-4</v>
      </c>
      <c r="Z34" s="24">
        <f>W34-X34</f>
        <v>363374.78173825581</v>
      </c>
    </row>
    <row r="35" spans="2:27" ht="15">
      <c r="E35" s="235" t="s">
        <v>250</v>
      </c>
      <c r="V35" s="24">
        <f>V34*1.44</f>
        <v>69.102006778354919</v>
      </c>
    </row>
    <row r="36" spans="2:27" ht="15"/>
    <row r="37" spans="2:27" ht="15"/>
    <row r="38" spans="2:27" ht="15"/>
    <row r="39" spans="2:27" ht="15"/>
  </sheetData>
  <mergeCells count="2">
    <mergeCell ref="D13:I13"/>
    <mergeCell ref="U13:Z1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AC861-95A8-4CC5-ACB7-00D1EE9E01B9}">
  <dimension ref="A1:O570"/>
  <sheetViews>
    <sheetView topLeftCell="B7" workbookViewId="0">
      <selection activeCell="D8" sqref="D8:F8"/>
    </sheetView>
  </sheetViews>
  <sheetFormatPr defaultRowHeight="14.45"/>
  <cols>
    <col min="1" max="1" width="25.42578125" bestFit="1" customWidth="1"/>
    <col min="2" max="2" width="13.140625" bestFit="1" customWidth="1"/>
    <col min="4" max="4" width="20.5703125" customWidth="1"/>
    <col min="5" max="5" width="11.85546875" customWidth="1"/>
    <col min="6" max="6" width="16.5703125" bestFit="1" customWidth="1"/>
    <col min="7" max="7" width="10.42578125" bestFit="1" customWidth="1"/>
    <col min="8" max="8" width="13.28515625" bestFit="1" customWidth="1"/>
    <col min="9" max="10" width="12.28515625" bestFit="1" customWidth="1"/>
    <col min="13" max="13" width="16.140625" customWidth="1"/>
  </cols>
  <sheetData>
    <row r="1" spans="1:15" ht="21">
      <c r="A1" s="86" t="s">
        <v>251</v>
      </c>
      <c r="B1" s="87"/>
      <c r="C1" s="87"/>
      <c r="D1" s="99"/>
      <c r="E1" s="87"/>
      <c r="F1" s="87"/>
      <c r="G1" s="87"/>
      <c r="H1" s="87"/>
      <c r="I1" s="87"/>
      <c r="J1" s="87"/>
      <c r="K1" s="87"/>
      <c r="L1" s="87"/>
      <c r="M1" s="87"/>
      <c r="N1" s="87"/>
      <c r="O1" s="87"/>
    </row>
    <row r="2" spans="1:15">
      <c r="A2" s="87"/>
      <c r="B2" s="87"/>
      <c r="C2" s="87"/>
      <c r="D2" s="99"/>
      <c r="E2" s="87"/>
      <c r="F2" s="87"/>
      <c r="G2" s="87"/>
      <c r="H2" s="87"/>
      <c r="I2" s="87"/>
      <c r="J2" s="87"/>
      <c r="K2" s="87"/>
      <c r="L2" s="87"/>
      <c r="M2" s="87"/>
      <c r="N2" s="87"/>
      <c r="O2" s="87"/>
    </row>
    <row r="3" spans="1:15" ht="18.75">
      <c r="A3" s="309" t="s">
        <v>252</v>
      </c>
      <c r="B3" s="309"/>
      <c r="C3" s="87"/>
      <c r="D3" s="310" t="s">
        <v>253</v>
      </c>
      <c r="E3" s="311"/>
      <c r="F3" s="312"/>
      <c r="G3" s="87"/>
      <c r="M3" s="87"/>
      <c r="N3" s="87"/>
      <c r="O3" s="87"/>
    </row>
    <row r="4" spans="1:15">
      <c r="A4" s="88" t="s">
        <v>254</v>
      </c>
      <c r="B4" s="89" t="s">
        <v>255</v>
      </c>
      <c r="C4" s="87"/>
      <c r="D4" s="100" t="s">
        <v>256</v>
      </c>
      <c r="E4" s="130">
        <v>275</v>
      </c>
      <c r="F4" s="90" t="s">
        <v>257</v>
      </c>
      <c r="G4" s="87"/>
      <c r="M4" s="87"/>
      <c r="N4" s="87"/>
      <c r="O4" s="87"/>
    </row>
    <row r="5" spans="1:15">
      <c r="A5" s="91" t="s">
        <v>117</v>
      </c>
      <c r="B5" s="92" t="s">
        <v>258</v>
      </c>
      <c r="C5" s="87"/>
      <c r="D5" s="100" t="s">
        <v>259</v>
      </c>
      <c r="E5" s="130">
        <f>'Organized Input Output'!$AD$9</f>
        <v>8</v>
      </c>
      <c r="F5" s="90" t="s">
        <v>50</v>
      </c>
      <c r="G5" s="87"/>
      <c r="M5" s="87"/>
      <c r="N5" s="87"/>
      <c r="O5" s="87"/>
    </row>
    <row r="6" spans="1:15">
      <c r="A6" s="93" t="s">
        <v>260</v>
      </c>
      <c r="B6" s="133">
        <v>8.5</v>
      </c>
      <c r="C6" s="87"/>
      <c r="D6" s="100" t="s">
        <v>261</v>
      </c>
      <c r="E6" s="130">
        <f>'Organized Input Output'!$AC$9</f>
        <v>5</v>
      </c>
      <c r="F6" s="90"/>
      <c r="G6" s="87"/>
      <c r="M6" s="87"/>
      <c r="N6" s="87"/>
      <c r="O6" s="87"/>
    </row>
    <row r="7" spans="1:15">
      <c r="A7" s="93" t="s">
        <v>262</v>
      </c>
      <c r="B7" s="133">
        <v>10</v>
      </c>
      <c r="C7" s="87"/>
      <c r="D7" s="100" t="s">
        <v>248</v>
      </c>
      <c r="E7" s="130">
        <f>'Organized Input Output'!$AB$9</f>
        <v>0.15</v>
      </c>
      <c r="F7" s="90"/>
      <c r="G7" s="87"/>
      <c r="M7" s="87"/>
      <c r="N7" s="87"/>
      <c r="O7" s="87"/>
    </row>
    <row r="8" spans="1:15" ht="18.75" customHeight="1">
      <c r="A8" s="93" t="s">
        <v>263</v>
      </c>
      <c r="B8" s="133">
        <v>11.8</v>
      </c>
      <c r="C8" s="87"/>
      <c r="D8" s="313" t="s">
        <v>83</v>
      </c>
      <c r="E8" s="314"/>
      <c r="F8" s="315"/>
      <c r="G8" s="87"/>
      <c r="M8" s="87"/>
      <c r="N8" s="87"/>
      <c r="O8" s="87"/>
    </row>
    <row r="9" spans="1:15">
      <c r="A9" s="93" t="s">
        <v>264</v>
      </c>
      <c r="B9" s="133">
        <v>13.6</v>
      </c>
      <c r="C9" s="87"/>
      <c r="D9" s="101" t="s">
        <v>265</v>
      </c>
      <c r="E9" s="131">
        <f>'Organized Input Output'!AC11*2000</f>
        <v>2000</v>
      </c>
      <c r="F9" s="94" t="s">
        <v>266</v>
      </c>
      <c r="G9" s="87"/>
      <c r="M9" s="87"/>
      <c r="N9" s="87"/>
      <c r="O9" s="87"/>
    </row>
    <row r="10" spans="1:15">
      <c r="A10" s="93" t="s">
        <v>267</v>
      </c>
      <c r="B10" s="133">
        <v>15.3</v>
      </c>
      <c r="C10" s="87"/>
      <c r="D10" s="101" t="s">
        <v>268</v>
      </c>
      <c r="E10" s="131">
        <f>'Organized Input Output'!$AC$11</f>
        <v>1</v>
      </c>
      <c r="F10" s="94"/>
      <c r="G10" s="87"/>
      <c r="M10" s="87"/>
      <c r="N10" s="87"/>
      <c r="O10" s="87"/>
    </row>
    <row r="11" spans="1:15" ht="15">
      <c r="A11" s="93" t="s">
        <v>269</v>
      </c>
      <c r="B11" s="133">
        <v>16</v>
      </c>
      <c r="C11" s="87"/>
      <c r="D11" s="102" t="s">
        <v>248</v>
      </c>
      <c r="E11" s="132">
        <v>0.96</v>
      </c>
      <c r="F11" s="95"/>
      <c r="G11" s="87"/>
      <c r="H11" s="87"/>
      <c r="I11" s="87"/>
      <c r="J11" s="87"/>
      <c r="K11" s="87"/>
      <c r="L11" s="87"/>
      <c r="M11" s="87"/>
      <c r="N11" s="87"/>
      <c r="O11" s="87"/>
    </row>
    <row r="12" spans="1:15" ht="57">
      <c r="A12" s="93" t="s">
        <v>270</v>
      </c>
      <c r="B12" s="133">
        <v>15.75</v>
      </c>
      <c r="C12" s="87"/>
      <c r="D12" s="355" t="s">
        <v>271</v>
      </c>
      <c r="E12" s="349"/>
      <c r="F12" s="350"/>
      <c r="I12" s="87"/>
      <c r="J12" s="87"/>
      <c r="K12" s="87"/>
      <c r="L12" s="87"/>
      <c r="M12" s="87"/>
      <c r="N12" s="87"/>
      <c r="O12" s="87"/>
    </row>
    <row r="13" spans="1:15" ht="15">
      <c r="A13" s="93" t="s">
        <v>272</v>
      </c>
      <c r="B13" s="133">
        <v>14.2</v>
      </c>
      <c r="C13" s="87"/>
      <c r="D13" s="356" t="s">
        <v>273</v>
      </c>
      <c r="E13" s="351">
        <v>15</v>
      </c>
      <c r="F13" s="352" t="s">
        <v>274</v>
      </c>
      <c r="I13" s="87"/>
      <c r="J13" s="87"/>
      <c r="K13" s="87"/>
      <c r="L13" s="87"/>
      <c r="M13" s="87"/>
      <c r="N13" s="87"/>
      <c r="O13" s="87"/>
    </row>
    <row r="14" spans="1:15" ht="15">
      <c r="A14" s="93" t="s">
        <v>275</v>
      </c>
      <c r="B14" s="133">
        <v>12.5</v>
      </c>
      <c r="C14" s="87"/>
      <c r="D14" s="356"/>
      <c r="E14" s="351"/>
      <c r="F14" s="352"/>
      <c r="I14" s="87"/>
      <c r="J14" s="87"/>
      <c r="K14" s="87"/>
      <c r="L14" s="87"/>
      <c r="M14" s="87"/>
      <c r="N14" s="87"/>
      <c r="O14" s="87"/>
    </row>
    <row r="15" spans="1:15" ht="15">
      <c r="A15" s="93" t="s">
        <v>276</v>
      </c>
      <c r="B15" s="133">
        <v>10.75</v>
      </c>
      <c r="C15" s="87"/>
      <c r="D15" s="357"/>
      <c r="E15" s="353"/>
      <c r="F15" s="354"/>
      <c r="G15" s="87"/>
      <c r="H15" s="87"/>
      <c r="I15" s="87"/>
      <c r="J15" s="87"/>
      <c r="K15" s="87"/>
      <c r="L15" s="87"/>
      <c r="M15" s="87"/>
      <c r="N15" s="87"/>
      <c r="O15" s="87"/>
    </row>
    <row r="16" spans="1:15" ht="15">
      <c r="A16" s="93" t="s">
        <v>277</v>
      </c>
      <c r="B16" s="133">
        <v>9</v>
      </c>
      <c r="C16" s="87"/>
      <c r="D16" s="99"/>
      <c r="E16" s="87"/>
      <c r="F16" s="87"/>
      <c r="G16" s="87"/>
      <c r="H16" s="87"/>
      <c r="I16" s="87"/>
      <c r="J16" s="87"/>
      <c r="K16" s="87"/>
      <c r="L16" s="87"/>
      <c r="M16" s="87"/>
      <c r="N16" s="87"/>
      <c r="O16" s="87"/>
    </row>
    <row r="17" spans="1:15" ht="15">
      <c r="A17" s="96" t="s">
        <v>278</v>
      </c>
      <c r="B17" s="134">
        <v>8.25</v>
      </c>
      <c r="C17" s="87"/>
      <c r="D17" s="99"/>
      <c r="E17" s="87"/>
      <c r="F17" s="87"/>
      <c r="G17" s="87"/>
      <c r="H17" s="87"/>
      <c r="I17" s="87"/>
      <c r="J17" s="87"/>
      <c r="K17" s="87"/>
      <c r="L17" s="87"/>
      <c r="M17" s="87"/>
      <c r="N17" s="87"/>
      <c r="O17" s="87"/>
    </row>
    <row r="18" spans="1:15" ht="15" customHeight="1">
      <c r="A18" s="87"/>
      <c r="B18" s="87"/>
      <c r="C18" s="87"/>
      <c r="D18" s="99"/>
      <c r="F18" s="43"/>
      <c r="G18" s="43"/>
      <c r="H18" s="43"/>
      <c r="I18" s="43"/>
      <c r="J18" s="43"/>
      <c r="K18" s="87"/>
      <c r="L18" s="87"/>
      <c r="M18" s="87"/>
      <c r="N18" s="87"/>
      <c r="O18" s="87"/>
    </row>
    <row r="19" spans="1:15" ht="45.75">
      <c r="A19" s="97" t="s">
        <v>98</v>
      </c>
      <c r="B19" s="97" t="s">
        <v>254</v>
      </c>
      <c r="C19" s="97" t="s">
        <v>279</v>
      </c>
      <c r="D19" s="98" t="s">
        <v>280</v>
      </c>
      <c r="E19" s="348" t="s">
        <v>281</v>
      </c>
      <c r="F19" s="255" t="s">
        <v>282</v>
      </c>
      <c r="G19" s="255" t="s">
        <v>283</v>
      </c>
      <c r="H19" s="255" t="s">
        <v>284</v>
      </c>
      <c r="I19" s="255" t="s">
        <v>285</v>
      </c>
      <c r="J19" s="255" t="s">
        <v>286</v>
      </c>
      <c r="K19" s="263" t="s">
        <v>287</v>
      </c>
      <c r="L19" s="98"/>
      <c r="M19" s="98" t="s">
        <v>288</v>
      </c>
      <c r="N19" s="67"/>
      <c r="O19" s="67">
        <f>IF(MAX(G22-I22,0)&gt;$E$9,$E$9,MAX(G22-I22,0))</f>
        <v>552.22619047619037</v>
      </c>
    </row>
    <row r="20" spans="1:15" ht="15">
      <c r="A20" s="67" t="s">
        <v>117</v>
      </c>
      <c r="B20" s="67" t="s">
        <v>117</v>
      </c>
      <c r="C20" s="67" t="s">
        <v>117</v>
      </c>
      <c r="D20" s="98" t="s">
        <v>258</v>
      </c>
      <c r="E20" s="255" t="s">
        <v>289</v>
      </c>
      <c r="F20" s="255" t="s">
        <v>289</v>
      </c>
      <c r="G20" s="255" t="s">
        <v>289</v>
      </c>
      <c r="H20" s="255" t="s">
        <v>289</v>
      </c>
      <c r="I20" s="255" t="s">
        <v>289</v>
      </c>
      <c r="J20" s="255" t="s">
        <v>123</v>
      </c>
      <c r="K20" s="264" t="s">
        <v>117</v>
      </c>
      <c r="L20" s="67"/>
      <c r="M20" s="67">
        <f>SUM(K21:K386)</f>
        <v>0</v>
      </c>
      <c r="N20" s="67"/>
      <c r="O20" s="67"/>
    </row>
    <row r="21" spans="1:15">
      <c r="A21" s="87">
        <v>1</v>
      </c>
      <c r="B21" s="87" t="s">
        <v>260</v>
      </c>
      <c r="C21" s="87">
        <v>1</v>
      </c>
      <c r="D21" s="99">
        <f t="shared" ref="D21:D51" si="0">$B$6</f>
        <v>8.5</v>
      </c>
      <c r="E21" s="128">
        <f>$E$4 * ($E$5)*D21</f>
        <v>18700</v>
      </c>
      <c r="F21" s="128">
        <f>E21*$E$7</f>
        <v>2805</v>
      </c>
      <c r="G21" s="128">
        <f>F21*$E$11</f>
        <v>2692.7999999999997</v>
      </c>
      <c r="H21" s="128">
        <f>'Ozone-Energy'!P11*10^6/86400 * 24</f>
        <v>1030.7174603174603</v>
      </c>
      <c r="I21" s="129">
        <f>IF( G21-H21*(1/$E$11) &lt; 0, G21/$E$11, H21/$E$11)</f>
        <v>1073.6640211640213</v>
      </c>
      <c r="J21" s="129">
        <f>E9</f>
        <v>2000</v>
      </c>
      <c r="K21">
        <f>IF(J21&lt;=0, 1, 0)</f>
        <v>0</v>
      </c>
    </row>
    <row r="22" spans="1:15">
      <c r="A22" s="87">
        <v>2</v>
      </c>
      <c r="B22" s="87" t="s">
        <v>260</v>
      </c>
      <c r="C22" s="87">
        <v>2</v>
      </c>
      <c r="D22" s="99">
        <f t="shared" si="0"/>
        <v>8.5</v>
      </c>
      <c r="E22" s="128">
        <f t="shared" ref="E21:E84" si="1">$E$4 * ($E$6)*D22</f>
        <v>11687.5</v>
      </c>
      <c r="F22" s="128">
        <f t="shared" ref="F22:F84" si="2">E22*$E$7</f>
        <v>1753.125</v>
      </c>
      <c r="G22" s="128">
        <f t="shared" ref="G22:G84" si="3">F22*$E$11</f>
        <v>1683</v>
      </c>
      <c r="H22" s="128">
        <f>'Ozone-Energy'!P12*10^6/86400 * 24</f>
        <v>1085.5428571428572</v>
      </c>
      <c r="I22" s="129">
        <f>IF( J21+G22-H22*(1/$E$11) &lt; 0, 0, H22*(1/$E$11))</f>
        <v>1130.7738095238096</v>
      </c>
      <c r="J22" s="129">
        <f>MAX(MIN(J21 + G21 - I21, $E$9), 0)</f>
        <v>2000</v>
      </c>
      <c r="K22">
        <f>IF(J22&lt;=0, 1, 0)</f>
        <v>0</v>
      </c>
    </row>
    <row r="23" spans="1:15">
      <c r="A23" s="87">
        <v>3</v>
      </c>
      <c r="B23" s="87" t="s">
        <v>260</v>
      </c>
      <c r="C23" s="87">
        <v>3</v>
      </c>
      <c r="D23" s="99">
        <f t="shared" si="0"/>
        <v>8.5</v>
      </c>
      <c r="E23" s="128">
        <f t="shared" si="1"/>
        <v>11687.5</v>
      </c>
      <c r="F23" s="128">
        <f t="shared" si="2"/>
        <v>1753.125</v>
      </c>
      <c r="G23" s="128">
        <f t="shared" si="3"/>
        <v>1683</v>
      </c>
      <c r="H23" s="128">
        <f>'Ozone-Energy'!P13*10^6/86400 * 24</f>
        <v>0</v>
      </c>
      <c r="I23" s="129">
        <f>IF( J22+G23-H23*(1/$E$11) &lt; 0, 0, H23*(1/$E$11))</f>
        <v>0</v>
      </c>
      <c r="J23" s="129">
        <f t="shared" ref="J23:J86" si="4">MAX(MIN(J22 + G22 - I22, $E$9), 0)</f>
        <v>2000</v>
      </c>
      <c r="K23">
        <f>IF(J23&lt;=0, 1, 0)</f>
        <v>0</v>
      </c>
    </row>
    <row r="24" spans="1:15">
      <c r="A24" s="87">
        <v>4</v>
      </c>
      <c r="B24" s="87" t="s">
        <v>260</v>
      </c>
      <c r="C24" s="87">
        <v>4</v>
      </c>
      <c r="D24" s="99">
        <f t="shared" si="0"/>
        <v>8.5</v>
      </c>
      <c r="E24" s="128">
        <f t="shared" si="1"/>
        <v>11687.5</v>
      </c>
      <c r="F24" s="128">
        <f t="shared" si="2"/>
        <v>1753.125</v>
      </c>
      <c r="G24" s="128">
        <f t="shared" si="3"/>
        <v>1683</v>
      </c>
      <c r="H24" s="128">
        <f>'Ozone-Energy'!P14*10^6/86400 * 24</f>
        <v>0</v>
      </c>
      <c r="I24" s="129">
        <f>IF( J23+G24-H24*(1/$E$11) &lt; 0, 0, H24*(1/$E$11))</f>
        <v>0</v>
      </c>
      <c r="J24" s="129">
        <f t="shared" si="4"/>
        <v>2000</v>
      </c>
      <c r="K24">
        <f>IF(J24&lt;=0, 1, 0)</f>
        <v>0</v>
      </c>
    </row>
    <row r="25" spans="1:15">
      <c r="A25" s="87">
        <v>5</v>
      </c>
      <c r="B25" s="87" t="s">
        <v>260</v>
      </c>
      <c r="C25" s="87">
        <v>5</v>
      </c>
      <c r="D25" s="99">
        <f t="shared" si="0"/>
        <v>8.5</v>
      </c>
      <c r="E25" s="128">
        <f t="shared" si="1"/>
        <v>11687.5</v>
      </c>
      <c r="F25" s="128">
        <f t="shared" si="2"/>
        <v>1753.125</v>
      </c>
      <c r="G25" s="128">
        <f t="shared" si="3"/>
        <v>1683</v>
      </c>
      <c r="H25" s="128">
        <f>'Ozone-Energy'!P15*10^6/86400 * 24</f>
        <v>0</v>
      </c>
      <c r="I25" s="129">
        <f>IF( J24+G25-H25*(1/$E$11) &lt; 0, 0, H25*(1/$E$11))</f>
        <v>0</v>
      </c>
      <c r="J25" s="129">
        <f t="shared" si="4"/>
        <v>2000</v>
      </c>
      <c r="K25">
        <f>IF(J25&lt;=0, 1, 0)</f>
        <v>0</v>
      </c>
    </row>
    <row r="26" spans="1:15">
      <c r="A26" s="87">
        <v>6</v>
      </c>
      <c r="B26" s="87" t="s">
        <v>260</v>
      </c>
      <c r="C26" s="87">
        <v>6</v>
      </c>
      <c r="D26" s="99">
        <f t="shared" si="0"/>
        <v>8.5</v>
      </c>
      <c r="E26" s="128">
        <f t="shared" si="1"/>
        <v>11687.5</v>
      </c>
      <c r="F26" s="128">
        <f t="shared" si="2"/>
        <v>1753.125</v>
      </c>
      <c r="G26" s="128">
        <f t="shared" si="3"/>
        <v>1683</v>
      </c>
      <c r="H26" s="128">
        <f>'Ozone-Energy'!P16*10^6/86400 * 24</f>
        <v>274.12698412698415</v>
      </c>
      <c r="I26" s="129">
        <f>IF( J25+G26-H26*(1/$E$11) &lt; 0, 0, H26*(1/$E$11))</f>
        <v>285.54894179894183</v>
      </c>
      <c r="J26" s="129">
        <f t="shared" si="4"/>
        <v>2000</v>
      </c>
      <c r="K26">
        <f>IF(J26&lt;=0, 1, 0)</f>
        <v>0</v>
      </c>
    </row>
    <row r="27" spans="1:15">
      <c r="A27" s="87">
        <v>7</v>
      </c>
      <c r="B27" s="87" t="s">
        <v>260</v>
      </c>
      <c r="C27" s="87">
        <v>7</v>
      </c>
      <c r="D27" s="99">
        <f t="shared" si="0"/>
        <v>8.5</v>
      </c>
      <c r="E27" s="128">
        <f t="shared" si="1"/>
        <v>11687.5</v>
      </c>
      <c r="F27" s="128">
        <f t="shared" si="2"/>
        <v>1753.125</v>
      </c>
      <c r="G27" s="128">
        <f t="shared" si="3"/>
        <v>1683</v>
      </c>
      <c r="H27" s="128">
        <f>'Ozone-Energy'!P17*10^6/86400 * 24</f>
        <v>1118.438095238095</v>
      </c>
      <c r="I27" s="129">
        <f>IF( J26+G27-H27*(1/$E$11) &lt; 0, 0, H27*(1/$E$11))</f>
        <v>1165.0396825396824</v>
      </c>
      <c r="J27" s="129">
        <f t="shared" si="4"/>
        <v>2000</v>
      </c>
      <c r="K27">
        <f>IF(J27&lt;=0, 1, 0)</f>
        <v>0</v>
      </c>
    </row>
    <row r="28" spans="1:15">
      <c r="A28" s="87">
        <v>8</v>
      </c>
      <c r="B28" s="87" t="s">
        <v>260</v>
      </c>
      <c r="C28" s="87">
        <v>8</v>
      </c>
      <c r="D28" s="99">
        <f t="shared" si="0"/>
        <v>8.5</v>
      </c>
      <c r="E28" s="128">
        <f t="shared" si="1"/>
        <v>11687.5</v>
      </c>
      <c r="F28" s="128">
        <f t="shared" si="2"/>
        <v>1753.125</v>
      </c>
      <c r="G28" s="128">
        <f>F28*$E$11</f>
        <v>1683</v>
      </c>
      <c r="H28" s="128">
        <f>'Ozone-Energy'!P18*10^6/86400 * 24</f>
        <v>1359.6698412698413</v>
      </c>
      <c r="I28" s="129">
        <f>IF( J27+G28-H28*(1/$E$11) &lt; 0, 0, H28*(1/$E$11))</f>
        <v>1416.3227513227514</v>
      </c>
      <c r="J28" s="129">
        <f t="shared" si="4"/>
        <v>2000</v>
      </c>
      <c r="K28">
        <f>IF(J28&lt;=0, 1, 0)</f>
        <v>0</v>
      </c>
    </row>
    <row r="29" spans="1:15">
      <c r="A29" s="87">
        <v>9</v>
      </c>
      <c r="B29" s="87" t="s">
        <v>260</v>
      </c>
      <c r="C29" s="87">
        <v>9</v>
      </c>
      <c r="D29" s="99">
        <f t="shared" si="0"/>
        <v>8.5</v>
      </c>
      <c r="E29" s="128">
        <f t="shared" si="1"/>
        <v>11687.5</v>
      </c>
      <c r="F29" s="128">
        <f t="shared" si="2"/>
        <v>1753.125</v>
      </c>
      <c r="G29" s="128">
        <f t="shared" si="3"/>
        <v>1683</v>
      </c>
      <c r="H29" s="128">
        <f>'Ozone-Energy'!P19*10^6/86400 * 24</f>
        <v>1864.0634920634923</v>
      </c>
      <c r="I29" s="129">
        <f>IF( J28+G29-H29*(1/$E$11) &lt; 0, 0, H29*(1/$E$11))</f>
        <v>1941.7328042328045</v>
      </c>
      <c r="J29" s="129">
        <f t="shared" si="4"/>
        <v>2000</v>
      </c>
      <c r="K29">
        <f>IF(J29&lt;=0, 1, 0)</f>
        <v>0</v>
      </c>
    </row>
    <row r="30" spans="1:15">
      <c r="A30" s="87">
        <v>10</v>
      </c>
      <c r="B30" s="87" t="s">
        <v>260</v>
      </c>
      <c r="C30" s="87">
        <v>10</v>
      </c>
      <c r="D30" s="99">
        <f t="shared" si="0"/>
        <v>8.5</v>
      </c>
      <c r="E30" s="128">
        <f t="shared" si="1"/>
        <v>11687.5</v>
      </c>
      <c r="F30" s="128">
        <f t="shared" si="2"/>
        <v>1753.125</v>
      </c>
      <c r="G30" s="128">
        <f t="shared" si="3"/>
        <v>1683</v>
      </c>
      <c r="H30" s="128">
        <f>'Ozone-Energy'!P20*10^6/86400 * 24</f>
        <v>2445.2126984126985</v>
      </c>
      <c r="I30" s="129">
        <f>IF( J29+G30-H30*(1/$E$11) &lt; 0, 0, H30*(1/$E$11))</f>
        <v>2547.0965608465613</v>
      </c>
      <c r="J30" s="129">
        <f t="shared" si="4"/>
        <v>1741.2671957671955</v>
      </c>
      <c r="K30">
        <f>IF(J30&lt;=0, 1, 0)</f>
        <v>0</v>
      </c>
    </row>
    <row r="31" spans="1:15">
      <c r="A31" s="87">
        <v>11</v>
      </c>
      <c r="B31" s="87" t="s">
        <v>260</v>
      </c>
      <c r="C31" s="87">
        <v>11</v>
      </c>
      <c r="D31" s="99">
        <f t="shared" si="0"/>
        <v>8.5</v>
      </c>
      <c r="E31" s="128">
        <f t="shared" si="1"/>
        <v>11687.5</v>
      </c>
      <c r="F31" s="128">
        <f t="shared" si="2"/>
        <v>1753.125</v>
      </c>
      <c r="G31" s="128">
        <f t="shared" si="3"/>
        <v>1683</v>
      </c>
      <c r="H31" s="128">
        <f>'Ozone-Energy'!P21*10^6/86400 * 24</f>
        <v>789.48571428571438</v>
      </c>
      <c r="I31" s="129">
        <f>IF( J30+G31-H31*(1/$E$11) &lt; 0, 0, H31*(1/$E$11))</f>
        <v>822.38095238095252</v>
      </c>
      <c r="J31" s="129">
        <f t="shared" si="4"/>
        <v>877.17063492063426</v>
      </c>
      <c r="K31">
        <f>IF(J31&lt;=0, 1, 0)</f>
        <v>0</v>
      </c>
    </row>
    <row r="32" spans="1:15">
      <c r="A32" s="87">
        <v>12</v>
      </c>
      <c r="B32" s="87" t="s">
        <v>260</v>
      </c>
      <c r="C32" s="87">
        <v>12</v>
      </c>
      <c r="D32" s="99">
        <f t="shared" si="0"/>
        <v>8.5</v>
      </c>
      <c r="E32" s="128">
        <f t="shared" si="1"/>
        <v>11687.5</v>
      </c>
      <c r="F32" s="128">
        <f t="shared" si="2"/>
        <v>1753.125</v>
      </c>
      <c r="G32" s="128">
        <f t="shared" si="3"/>
        <v>1683</v>
      </c>
      <c r="H32" s="128">
        <f>'Ozone-Energy'!P22*10^6/86400 * 24</f>
        <v>2752.2349206349209</v>
      </c>
      <c r="I32" s="129">
        <f>IF( J31+G32-H32*(1/$E$11) &lt; 0, 0, H32*(1/$E$11))</f>
        <v>0</v>
      </c>
      <c r="J32" s="129">
        <f t="shared" si="4"/>
        <v>1737.7896825396817</v>
      </c>
      <c r="K32">
        <f>IF(J32&lt;=0, 1, 0)</f>
        <v>0</v>
      </c>
    </row>
    <row r="33" spans="1:11">
      <c r="A33" s="87">
        <v>13</v>
      </c>
      <c r="B33" s="87" t="s">
        <v>260</v>
      </c>
      <c r="C33" s="87">
        <v>13</v>
      </c>
      <c r="D33" s="99">
        <f t="shared" si="0"/>
        <v>8.5</v>
      </c>
      <c r="E33" s="128">
        <f t="shared" si="1"/>
        <v>11687.5</v>
      </c>
      <c r="F33" s="128">
        <f t="shared" si="2"/>
        <v>1753.125</v>
      </c>
      <c r="G33" s="128">
        <f t="shared" si="3"/>
        <v>1683</v>
      </c>
      <c r="H33" s="128">
        <f>'Ozone-Energy'!P23*10^6/86400 * 24</f>
        <v>526.32380952380947</v>
      </c>
      <c r="I33" s="129">
        <f>IF( J32+G33-H33*(1/$E$11) &lt; 0, 0, H33*(1/$E$11))</f>
        <v>548.2539682539682</v>
      </c>
      <c r="J33" s="129">
        <f t="shared" si="4"/>
        <v>2000</v>
      </c>
      <c r="K33">
        <f>IF(J33&lt;=0, 1, 0)</f>
        <v>0</v>
      </c>
    </row>
    <row r="34" spans="1:11">
      <c r="A34" s="87">
        <v>14</v>
      </c>
      <c r="B34" s="87" t="s">
        <v>260</v>
      </c>
      <c r="C34" s="87">
        <v>14</v>
      </c>
      <c r="D34" s="99">
        <f t="shared" si="0"/>
        <v>8.5</v>
      </c>
      <c r="E34" s="128">
        <f t="shared" si="1"/>
        <v>11687.5</v>
      </c>
      <c r="F34" s="128">
        <f t="shared" si="2"/>
        <v>1753.125</v>
      </c>
      <c r="G34" s="128">
        <f t="shared" si="3"/>
        <v>1683</v>
      </c>
      <c r="H34" s="128">
        <f>'Ozone-Energy'!P24*10^6/86400 * 24</f>
        <v>317.98730158730154</v>
      </c>
      <c r="I34" s="129">
        <f>IF( J33+G34-H34*(1/$E$11) &lt; 0, 0, H34*(1/$E$11))</f>
        <v>331.23677248677245</v>
      </c>
      <c r="J34" s="129">
        <f t="shared" si="4"/>
        <v>2000</v>
      </c>
      <c r="K34">
        <f>IF(J34&lt;=0, 1, 0)</f>
        <v>0</v>
      </c>
    </row>
    <row r="35" spans="1:11">
      <c r="A35" s="87">
        <v>15</v>
      </c>
      <c r="B35" s="87" t="s">
        <v>260</v>
      </c>
      <c r="C35" s="87">
        <v>15</v>
      </c>
      <c r="D35" s="99">
        <f t="shared" si="0"/>
        <v>8.5</v>
      </c>
      <c r="E35" s="128">
        <f t="shared" si="1"/>
        <v>11687.5</v>
      </c>
      <c r="F35" s="128">
        <f t="shared" si="2"/>
        <v>1753.125</v>
      </c>
      <c r="G35" s="128">
        <f t="shared" si="3"/>
        <v>1683</v>
      </c>
      <c r="H35" s="128">
        <f>'Ozone-Energy'!P25*10^6/86400 * 24</f>
        <v>87.720634920634936</v>
      </c>
      <c r="I35" s="129">
        <f>IF( J34+G35-H35*(1/$E$11) &lt; 0, 0, H35*(1/$E$11))</f>
        <v>91.375661375661394</v>
      </c>
      <c r="J35" s="129">
        <f t="shared" si="4"/>
        <v>2000</v>
      </c>
      <c r="K35">
        <f>IF(J35&lt;=0, 1, 0)</f>
        <v>0</v>
      </c>
    </row>
    <row r="36" spans="1:11">
      <c r="A36" s="87">
        <v>16</v>
      </c>
      <c r="B36" s="87" t="s">
        <v>260</v>
      </c>
      <c r="C36" s="87">
        <v>16</v>
      </c>
      <c r="D36" s="99">
        <f t="shared" si="0"/>
        <v>8.5</v>
      </c>
      <c r="E36" s="128">
        <f t="shared" si="1"/>
        <v>11687.5</v>
      </c>
      <c r="F36" s="128">
        <f t="shared" si="2"/>
        <v>1753.125</v>
      </c>
      <c r="G36" s="128">
        <f t="shared" si="3"/>
        <v>1683</v>
      </c>
      <c r="H36" s="128">
        <f>'Ozone-Energy'!P26*10^6/86400 * 24</f>
        <v>43.860317460317468</v>
      </c>
      <c r="I36" s="129">
        <f>IF( J35+G36-H36*(1/$E$11) &lt; 0, 0, H36*(1/$E$11))</f>
        <v>45.687830687830697</v>
      </c>
      <c r="J36" s="129">
        <f t="shared" si="4"/>
        <v>2000</v>
      </c>
      <c r="K36">
        <f>IF(J36&lt;=0, 1, 0)</f>
        <v>0</v>
      </c>
    </row>
    <row r="37" spans="1:11">
      <c r="A37" s="87">
        <v>17</v>
      </c>
      <c r="B37" s="87" t="s">
        <v>260</v>
      </c>
      <c r="C37" s="87">
        <v>17</v>
      </c>
      <c r="D37" s="99">
        <f t="shared" si="0"/>
        <v>8.5</v>
      </c>
      <c r="E37" s="128">
        <f t="shared" si="1"/>
        <v>11687.5</v>
      </c>
      <c r="F37" s="128">
        <f t="shared" si="2"/>
        <v>1753.125</v>
      </c>
      <c r="G37" s="128">
        <f t="shared" si="3"/>
        <v>1683</v>
      </c>
      <c r="H37" s="128">
        <f>'Ozone-Energy'!P27*10^6/86400 * 24</f>
        <v>0</v>
      </c>
      <c r="I37" s="129">
        <f>IF( J36+G37-H37*(1/$E$11) &lt; 0, 0, H37*(1/$E$11))</f>
        <v>0</v>
      </c>
      <c r="J37" s="129">
        <f t="shared" si="4"/>
        <v>2000</v>
      </c>
      <c r="K37">
        <f>IF(J37&lt;=0, 1, 0)</f>
        <v>0</v>
      </c>
    </row>
    <row r="38" spans="1:11">
      <c r="A38" s="87">
        <v>18</v>
      </c>
      <c r="B38" s="87" t="s">
        <v>260</v>
      </c>
      <c r="C38" s="87">
        <v>18</v>
      </c>
      <c r="D38" s="99">
        <f t="shared" si="0"/>
        <v>8.5</v>
      </c>
      <c r="E38" s="128">
        <f t="shared" si="1"/>
        <v>11687.5</v>
      </c>
      <c r="F38" s="128">
        <f t="shared" si="2"/>
        <v>1753.125</v>
      </c>
      <c r="G38" s="128">
        <f t="shared" si="3"/>
        <v>1683</v>
      </c>
      <c r="H38" s="128">
        <f>'Ozone-Energy'!P28*10^6/86400 * 24</f>
        <v>142.54603174603176</v>
      </c>
      <c r="I38" s="129">
        <f>IF( J37+G38-H38*(1/$E$11) &lt; 0, 0, H38*(1/$E$11))</f>
        <v>148.48544973544975</v>
      </c>
      <c r="J38" s="129">
        <f t="shared" si="4"/>
        <v>2000</v>
      </c>
      <c r="K38">
        <f>IF(J38&lt;=0, 1, 0)</f>
        <v>0</v>
      </c>
    </row>
    <row r="39" spans="1:11">
      <c r="A39" s="87">
        <v>19</v>
      </c>
      <c r="B39" s="87" t="s">
        <v>260</v>
      </c>
      <c r="C39" s="87">
        <v>19</v>
      </c>
      <c r="D39" s="99">
        <f t="shared" si="0"/>
        <v>8.5</v>
      </c>
      <c r="E39" s="128">
        <f t="shared" si="1"/>
        <v>11687.5</v>
      </c>
      <c r="F39" s="128">
        <f t="shared" si="2"/>
        <v>1753.125</v>
      </c>
      <c r="G39" s="128">
        <f t="shared" si="3"/>
        <v>1683</v>
      </c>
      <c r="H39" s="128">
        <f>'Ozone-Energy'!P29*10^6/86400 * 24</f>
        <v>54.825396825396822</v>
      </c>
      <c r="I39" s="129">
        <f>IF( J38+G39-H39*(1/$E$11) &lt; 0, 0, H39*(1/$E$11))</f>
        <v>57.109788359788361</v>
      </c>
      <c r="J39" s="129">
        <f t="shared" si="4"/>
        <v>2000</v>
      </c>
      <c r="K39">
        <f>IF(J39&lt;=0, 1, 0)</f>
        <v>0</v>
      </c>
    </row>
    <row r="40" spans="1:11">
      <c r="A40" s="87">
        <v>20</v>
      </c>
      <c r="B40" s="87" t="s">
        <v>260</v>
      </c>
      <c r="C40" s="87">
        <v>20</v>
      </c>
      <c r="D40" s="99">
        <f t="shared" si="0"/>
        <v>8.5</v>
      </c>
      <c r="E40" s="128">
        <f t="shared" si="1"/>
        <v>11687.5</v>
      </c>
      <c r="F40" s="128">
        <f t="shared" si="2"/>
        <v>1753.125</v>
      </c>
      <c r="G40" s="128">
        <f t="shared" si="3"/>
        <v>1683</v>
      </c>
      <c r="H40" s="128">
        <f>'Ozone-Energy'!P30*10^6/86400 * 24</f>
        <v>32.895238095238092</v>
      </c>
      <c r="I40" s="129">
        <f>IF( J39+G40-H40*(1/$E$11) &lt; 0, 0, H40*(1/$E$11))</f>
        <v>34.265873015873012</v>
      </c>
      <c r="J40" s="129">
        <f t="shared" si="4"/>
        <v>2000</v>
      </c>
      <c r="K40">
        <f>IF(J40&lt;=0, 1, 0)</f>
        <v>0</v>
      </c>
    </row>
    <row r="41" spans="1:11">
      <c r="A41" s="87">
        <v>21</v>
      </c>
      <c r="B41" s="87" t="s">
        <v>260</v>
      </c>
      <c r="C41" s="87">
        <v>21</v>
      </c>
      <c r="D41" s="99">
        <f t="shared" si="0"/>
        <v>8.5</v>
      </c>
      <c r="E41" s="128">
        <f t="shared" si="1"/>
        <v>11687.5</v>
      </c>
      <c r="F41" s="128">
        <f t="shared" si="2"/>
        <v>1753.125</v>
      </c>
      <c r="G41" s="128">
        <f t="shared" si="3"/>
        <v>1683</v>
      </c>
      <c r="H41" s="128">
        <f>'Ozone-Energy'!P31*10^6/86400 * 24</f>
        <v>43.860317460317468</v>
      </c>
      <c r="I41" s="129">
        <f>IF( J40+G41-H41*(1/$E$11) &lt; 0, 0, H41*(1/$E$11))</f>
        <v>45.687830687830697</v>
      </c>
      <c r="J41" s="129">
        <f t="shared" si="4"/>
        <v>2000</v>
      </c>
      <c r="K41">
        <f>IF(J41&lt;=0, 1, 0)</f>
        <v>0</v>
      </c>
    </row>
    <row r="42" spans="1:11">
      <c r="A42" s="87">
        <v>22</v>
      </c>
      <c r="B42" s="87" t="s">
        <v>260</v>
      </c>
      <c r="C42" s="87">
        <v>22</v>
      </c>
      <c r="D42" s="99">
        <f t="shared" si="0"/>
        <v>8.5</v>
      </c>
      <c r="E42" s="128">
        <f t="shared" si="1"/>
        <v>11687.5</v>
      </c>
      <c r="F42" s="128">
        <f t="shared" si="2"/>
        <v>1753.125</v>
      </c>
      <c r="G42" s="128">
        <f t="shared" si="3"/>
        <v>1683</v>
      </c>
      <c r="H42" s="128">
        <f>'Ozone-Energy'!P32*10^6/86400 * 24</f>
        <v>32.895238095238092</v>
      </c>
      <c r="I42" s="129">
        <f>IF( J41+G42-H42*(1/$E$11) &lt; 0, 0, H42*(1/$E$11))</f>
        <v>34.265873015873012</v>
      </c>
      <c r="J42" s="129">
        <f t="shared" si="4"/>
        <v>2000</v>
      </c>
      <c r="K42">
        <f>IF(J42&lt;=0, 1, 0)</f>
        <v>0</v>
      </c>
    </row>
    <row r="43" spans="1:11">
      <c r="A43" s="87">
        <v>23</v>
      </c>
      <c r="B43" s="87" t="s">
        <v>260</v>
      </c>
      <c r="C43" s="87">
        <v>23</v>
      </c>
      <c r="D43" s="99">
        <f t="shared" si="0"/>
        <v>8.5</v>
      </c>
      <c r="E43" s="128">
        <f t="shared" si="1"/>
        <v>11687.5</v>
      </c>
      <c r="F43" s="128">
        <f t="shared" si="2"/>
        <v>1753.125</v>
      </c>
      <c r="G43" s="128">
        <f t="shared" si="3"/>
        <v>1683</v>
      </c>
      <c r="H43" s="128">
        <f>'Ozone-Energy'!P33*10^6/86400 * 24</f>
        <v>0</v>
      </c>
      <c r="I43" s="129">
        <f>IF( J42+G43-H43*(1/$E$11) &lt; 0, 0, H43*(1/$E$11))</f>
        <v>0</v>
      </c>
      <c r="J43" s="129">
        <f t="shared" si="4"/>
        <v>2000</v>
      </c>
      <c r="K43">
        <f>IF(J43&lt;=0, 1, 0)</f>
        <v>0</v>
      </c>
    </row>
    <row r="44" spans="1:11">
      <c r="A44" s="87">
        <v>24</v>
      </c>
      <c r="B44" s="87" t="s">
        <v>260</v>
      </c>
      <c r="C44" s="87">
        <v>24</v>
      </c>
      <c r="D44" s="99">
        <f t="shared" si="0"/>
        <v>8.5</v>
      </c>
      <c r="E44" s="128">
        <f t="shared" si="1"/>
        <v>11687.5</v>
      </c>
      <c r="F44" s="128">
        <f t="shared" si="2"/>
        <v>1753.125</v>
      </c>
      <c r="G44" s="128">
        <f t="shared" si="3"/>
        <v>1683</v>
      </c>
      <c r="H44" s="128">
        <f>'Ozone-Energy'!P34*10^6/86400 * 24</f>
        <v>0</v>
      </c>
      <c r="I44" s="129">
        <f>IF( J43+G44-H44*(1/$E$11) &lt; 0, 0, H44*(1/$E$11))</f>
        <v>0</v>
      </c>
      <c r="J44" s="129">
        <f t="shared" si="4"/>
        <v>2000</v>
      </c>
      <c r="K44">
        <f>IF(J44&lt;=0, 1, 0)</f>
        <v>0</v>
      </c>
    </row>
    <row r="45" spans="1:11">
      <c r="A45" s="87">
        <v>25</v>
      </c>
      <c r="B45" s="87" t="s">
        <v>260</v>
      </c>
      <c r="C45" s="87">
        <v>25</v>
      </c>
      <c r="D45" s="99">
        <f t="shared" si="0"/>
        <v>8.5</v>
      </c>
      <c r="E45" s="128">
        <f t="shared" si="1"/>
        <v>11687.5</v>
      </c>
      <c r="F45" s="128">
        <f t="shared" si="2"/>
        <v>1753.125</v>
      </c>
      <c r="G45" s="128">
        <f t="shared" si="3"/>
        <v>1683</v>
      </c>
      <c r="H45" s="128">
        <f>'Ozone-Energy'!P35*10^6/86400 * 24</f>
        <v>0</v>
      </c>
      <c r="I45" s="129">
        <f>IF( J44+G45-H45*(1/$E$11) &lt; 0, 0, H45*(1/$E$11))</f>
        <v>0</v>
      </c>
      <c r="J45" s="129">
        <f t="shared" si="4"/>
        <v>2000</v>
      </c>
      <c r="K45">
        <f>IF(J45&lt;=0, 1, 0)</f>
        <v>0</v>
      </c>
    </row>
    <row r="46" spans="1:11">
      <c r="A46" s="87">
        <v>26</v>
      </c>
      <c r="B46" s="87" t="s">
        <v>260</v>
      </c>
      <c r="C46" s="87">
        <v>26</v>
      </c>
      <c r="D46" s="99">
        <f t="shared" si="0"/>
        <v>8.5</v>
      </c>
      <c r="E46" s="128">
        <f t="shared" si="1"/>
        <v>11687.5</v>
      </c>
      <c r="F46" s="128">
        <f t="shared" si="2"/>
        <v>1753.125</v>
      </c>
      <c r="G46" s="128">
        <f t="shared" si="3"/>
        <v>1683</v>
      </c>
      <c r="H46" s="128">
        <f>'Ozone-Energy'!P36*10^6/86400 * 24</f>
        <v>0</v>
      </c>
      <c r="I46" s="129">
        <f>IF( J45+G46-H46*(1/$E$11) &lt; 0, 0, H46*(1/$E$11))</f>
        <v>0</v>
      </c>
      <c r="J46" s="129">
        <f t="shared" si="4"/>
        <v>2000</v>
      </c>
      <c r="K46">
        <f>IF(J46&lt;=0, 1, 0)</f>
        <v>0</v>
      </c>
    </row>
    <row r="47" spans="1:11">
      <c r="A47" s="87">
        <v>27</v>
      </c>
      <c r="B47" s="87" t="s">
        <v>260</v>
      </c>
      <c r="C47" s="87">
        <v>27</v>
      </c>
      <c r="D47" s="99">
        <f t="shared" si="0"/>
        <v>8.5</v>
      </c>
      <c r="E47" s="128">
        <f t="shared" si="1"/>
        <v>11687.5</v>
      </c>
      <c r="F47" s="128">
        <f t="shared" si="2"/>
        <v>1753.125</v>
      </c>
      <c r="G47" s="128">
        <f t="shared" si="3"/>
        <v>1683</v>
      </c>
      <c r="H47" s="128">
        <f>'Ozone-Energy'!P37*10^6/86400 * 24</f>
        <v>964.92698412698428</v>
      </c>
      <c r="I47" s="129">
        <f>IF( J46+G47-H47*(1/$E$11) &lt; 0, 0, H47*(1/$E$11))</f>
        <v>1005.1322751322754</v>
      </c>
      <c r="J47" s="129">
        <f t="shared" si="4"/>
        <v>2000</v>
      </c>
      <c r="K47">
        <f>IF(J47&lt;=0, 1, 0)</f>
        <v>0</v>
      </c>
    </row>
    <row r="48" spans="1:11">
      <c r="A48" s="87">
        <v>28</v>
      </c>
      <c r="B48" s="87" t="s">
        <v>260</v>
      </c>
      <c r="C48" s="87">
        <v>28</v>
      </c>
      <c r="D48" s="99">
        <f t="shared" si="0"/>
        <v>8.5</v>
      </c>
      <c r="E48" s="128">
        <f t="shared" si="1"/>
        <v>11687.5</v>
      </c>
      <c r="F48" s="128">
        <f t="shared" si="2"/>
        <v>1753.125</v>
      </c>
      <c r="G48" s="128">
        <f t="shared" si="3"/>
        <v>1683</v>
      </c>
      <c r="H48" s="128">
        <f>'Ozone-Energy'!P38*10^6/86400 * 24</f>
        <v>0</v>
      </c>
      <c r="I48" s="129">
        <f>IF( J47+G48-H48*(1/$E$11) &lt; 0, 0, H48*(1/$E$11))</f>
        <v>0</v>
      </c>
      <c r="J48" s="129">
        <f t="shared" si="4"/>
        <v>2000</v>
      </c>
      <c r="K48">
        <f>IF(J48&lt;=0, 1, 0)</f>
        <v>0</v>
      </c>
    </row>
    <row r="49" spans="1:11">
      <c r="A49" s="87">
        <v>29</v>
      </c>
      <c r="B49" s="87" t="s">
        <v>260</v>
      </c>
      <c r="C49" s="87">
        <v>29</v>
      </c>
      <c r="D49" s="99">
        <f t="shared" si="0"/>
        <v>8.5</v>
      </c>
      <c r="E49" s="128">
        <f t="shared" si="1"/>
        <v>11687.5</v>
      </c>
      <c r="F49" s="128">
        <f t="shared" si="2"/>
        <v>1753.125</v>
      </c>
      <c r="G49" s="128">
        <f t="shared" si="3"/>
        <v>1683</v>
      </c>
      <c r="H49" s="128">
        <f>'Ozone-Energy'!P39*10^6/86400 * 24</f>
        <v>0</v>
      </c>
      <c r="I49" s="129">
        <f>IF( J48+G49-H49*(1/$E$11) &lt; 0, 0, H49*(1/$E$11))</f>
        <v>0</v>
      </c>
      <c r="J49" s="129">
        <f t="shared" si="4"/>
        <v>2000</v>
      </c>
      <c r="K49">
        <f>IF(J49&lt;=0, 1, 0)</f>
        <v>0</v>
      </c>
    </row>
    <row r="50" spans="1:11">
      <c r="A50" s="87">
        <v>30</v>
      </c>
      <c r="B50" s="87" t="s">
        <v>260</v>
      </c>
      <c r="C50" s="87">
        <v>30</v>
      </c>
      <c r="D50" s="99">
        <f t="shared" si="0"/>
        <v>8.5</v>
      </c>
      <c r="E50" s="128">
        <f t="shared" si="1"/>
        <v>11687.5</v>
      </c>
      <c r="F50" s="128">
        <f t="shared" si="2"/>
        <v>1753.125</v>
      </c>
      <c r="G50" s="128">
        <f t="shared" si="3"/>
        <v>1683</v>
      </c>
      <c r="H50" s="128">
        <f>'Ozone-Energy'!P40*10^6/86400 * 24</f>
        <v>0</v>
      </c>
      <c r="I50" s="129">
        <f>IF( J49+G50-H50*(1/$E$11) &lt; 0, 0, H50*(1/$E$11))</f>
        <v>0</v>
      </c>
      <c r="J50" s="129">
        <f t="shared" si="4"/>
        <v>2000</v>
      </c>
      <c r="K50">
        <f>IF(J50&lt;=0, 1, 0)</f>
        <v>0</v>
      </c>
    </row>
    <row r="51" spans="1:11">
      <c r="A51" s="87">
        <v>31</v>
      </c>
      <c r="B51" s="87" t="s">
        <v>260</v>
      </c>
      <c r="C51" s="87">
        <v>31</v>
      </c>
      <c r="D51" s="99">
        <f t="shared" si="0"/>
        <v>8.5</v>
      </c>
      <c r="E51" s="128">
        <f t="shared" si="1"/>
        <v>11687.5</v>
      </c>
      <c r="F51" s="128">
        <f t="shared" si="2"/>
        <v>1753.125</v>
      </c>
      <c r="G51" s="128">
        <f t="shared" si="3"/>
        <v>1683</v>
      </c>
      <c r="H51" s="128">
        <f>'Ozone-Energy'!P41*10^6/86400 * 24</f>
        <v>1342.5460317460318</v>
      </c>
      <c r="I51" s="129">
        <f>IF( J50+G51-H51*(1/$E$11) &lt; 0, 0, H51*(1/$E$11))</f>
        <v>1398.4854497354499</v>
      </c>
      <c r="J51" s="129">
        <f t="shared" si="4"/>
        <v>2000</v>
      </c>
      <c r="K51">
        <f>IF(J51&lt;=0, 1, 0)</f>
        <v>0</v>
      </c>
    </row>
    <row r="52" spans="1:11">
      <c r="A52" s="87">
        <v>32</v>
      </c>
      <c r="B52" s="87" t="s">
        <v>262</v>
      </c>
      <c r="C52" s="87">
        <v>1</v>
      </c>
      <c r="D52" s="99">
        <v>10</v>
      </c>
      <c r="E52" s="128">
        <f t="shared" si="1"/>
        <v>13750</v>
      </c>
      <c r="F52" s="128">
        <f t="shared" si="2"/>
        <v>2062.5</v>
      </c>
      <c r="G52" s="128">
        <f t="shared" si="3"/>
        <v>1980</v>
      </c>
      <c r="H52" s="128">
        <f>'Ozone-Energy'!P42*10^6/86400 * 24</f>
        <v>9286.9904761904763</v>
      </c>
      <c r="I52" s="129">
        <f>IF( J51+G52-H52*(1/$E$11) &lt; 0, 0, H52*(1/$E$11))</f>
        <v>0</v>
      </c>
      <c r="J52" s="129">
        <f t="shared" si="4"/>
        <v>2000</v>
      </c>
      <c r="K52">
        <f>IF(J52&lt;=0, 1, 0)</f>
        <v>0</v>
      </c>
    </row>
    <row r="53" spans="1:11">
      <c r="A53" s="87">
        <v>33</v>
      </c>
      <c r="B53" s="87" t="s">
        <v>262</v>
      </c>
      <c r="C53" s="87">
        <v>2</v>
      </c>
      <c r="D53" s="99">
        <v>10</v>
      </c>
      <c r="E53" s="128">
        <f t="shared" si="1"/>
        <v>13750</v>
      </c>
      <c r="F53" s="128">
        <f t="shared" si="2"/>
        <v>2062.5</v>
      </c>
      <c r="G53" s="128">
        <f t="shared" si="3"/>
        <v>1980</v>
      </c>
      <c r="H53" s="128">
        <f>'Ozone-Energy'!P43*10^6/86400 * 24</f>
        <v>1200</v>
      </c>
      <c r="I53" s="129">
        <f>IF( J52+G53-H53*(1/$E$11) &lt; 0, 0, H53*(1/$E$11))</f>
        <v>1250</v>
      </c>
      <c r="J53" s="129">
        <f t="shared" si="4"/>
        <v>2000</v>
      </c>
      <c r="K53">
        <f>IF(J53&lt;=0, 1, 0)</f>
        <v>0</v>
      </c>
    </row>
    <row r="54" spans="1:11">
      <c r="A54" s="87">
        <v>34</v>
      </c>
      <c r="B54" s="87" t="s">
        <v>262</v>
      </c>
      <c r="C54" s="87">
        <v>3</v>
      </c>
      <c r="D54" s="99">
        <v>10</v>
      </c>
      <c r="E54" s="128">
        <f t="shared" si="1"/>
        <v>13750</v>
      </c>
      <c r="F54" s="128">
        <f t="shared" si="2"/>
        <v>2062.5</v>
      </c>
      <c r="G54" s="128">
        <f t="shared" si="3"/>
        <v>1980</v>
      </c>
      <c r="H54" s="128">
        <f>'Ozone-Energy'!P44*10^6/86400 * 24</f>
        <v>1200</v>
      </c>
      <c r="I54" s="129">
        <f>IF( J53+G54-H54*(1/$E$11) &lt; 0, 0, H54*(1/$E$11))</f>
        <v>1250</v>
      </c>
      <c r="J54" s="129">
        <f t="shared" si="4"/>
        <v>2000</v>
      </c>
      <c r="K54">
        <f>IF(J54&lt;=0, 1, 0)</f>
        <v>0</v>
      </c>
    </row>
    <row r="55" spans="1:11">
      <c r="A55" s="87">
        <v>35</v>
      </c>
      <c r="B55" s="87" t="s">
        <v>262</v>
      </c>
      <c r="C55" s="87">
        <v>4</v>
      </c>
      <c r="D55" s="99">
        <v>10</v>
      </c>
      <c r="E55" s="128">
        <f t="shared" si="1"/>
        <v>13750</v>
      </c>
      <c r="F55" s="128">
        <f t="shared" si="2"/>
        <v>2062.5</v>
      </c>
      <c r="G55" s="128">
        <f t="shared" si="3"/>
        <v>1980</v>
      </c>
      <c r="H55" s="128">
        <f>'Ozone-Energy'!P45*10^6/86400 * 24</f>
        <v>1200</v>
      </c>
      <c r="I55" s="129">
        <f>IF( J54+G55-H55*(1/$E$11) &lt; 0, 0, H55*(1/$E$11))</f>
        <v>1250</v>
      </c>
      <c r="J55" s="129">
        <f t="shared" si="4"/>
        <v>2000</v>
      </c>
      <c r="K55">
        <f>IF(J55&lt;=0, 1, 0)</f>
        <v>0</v>
      </c>
    </row>
    <row r="56" spans="1:11">
      <c r="A56" s="87">
        <v>36</v>
      </c>
      <c r="B56" s="87" t="s">
        <v>262</v>
      </c>
      <c r="C56" s="87">
        <v>5</v>
      </c>
      <c r="D56" s="99">
        <v>10</v>
      </c>
      <c r="E56" s="128">
        <f t="shared" si="1"/>
        <v>13750</v>
      </c>
      <c r="F56" s="128">
        <f t="shared" si="2"/>
        <v>2062.5</v>
      </c>
      <c r="G56" s="128">
        <f t="shared" si="3"/>
        <v>1980</v>
      </c>
      <c r="H56" s="128">
        <f>'Ozone-Energy'!P46*10^6/86400 * 24</f>
        <v>1200</v>
      </c>
      <c r="I56" s="129">
        <f>IF( J55+G56-H56*(1/$E$11) &lt; 0, 0, H56*(1/$E$11))</f>
        <v>1250</v>
      </c>
      <c r="J56" s="129">
        <f t="shared" si="4"/>
        <v>2000</v>
      </c>
      <c r="K56">
        <f>IF(J56&lt;=0, 1, 0)</f>
        <v>0</v>
      </c>
    </row>
    <row r="57" spans="1:11">
      <c r="A57" s="87">
        <v>37</v>
      </c>
      <c r="B57" s="87" t="s">
        <v>262</v>
      </c>
      <c r="C57" s="87">
        <v>6</v>
      </c>
      <c r="D57" s="99">
        <v>10</v>
      </c>
      <c r="E57" s="128">
        <f t="shared" si="1"/>
        <v>13750</v>
      </c>
      <c r="F57" s="128">
        <f t="shared" si="2"/>
        <v>2062.5</v>
      </c>
      <c r="G57" s="128">
        <f t="shared" si="3"/>
        <v>1980</v>
      </c>
      <c r="H57" s="128">
        <f>'Ozone-Energy'!P47*10^6/86400 * 24</f>
        <v>1200</v>
      </c>
      <c r="I57" s="129">
        <f>IF( J56+G57-H57*(1/$E$11) &lt; 0, 0, H57*(1/$E$11))</f>
        <v>1250</v>
      </c>
      <c r="J57" s="129">
        <f t="shared" si="4"/>
        <v>2000</v>
      </c>
      <c r="K57">
        <f>IF(J57&lt;=0, 1, 0)</f>
        <v>0</v>
      </c>
    </row>
    <row r="58" spans="1:11">
      <c r="A58" s="87">
        <v>38</v>
      </c>
      <c r="B58" s="87" t="s">
        <v>262</v>
      </c>
      <c r="C58" s="87">
        <v>7</v>
      </c>
      <c r="D58" s="99">
        <v>10</v>
      </c>
      <c r="E58" s="128">
        <f t="shared" si="1"/>
        <v>13750</v>
      </c>
      <c r="F58" s="128">
        <f t="shared" si="2"/>
        <v>2062.5</v>
      </c>
      <c r="G58" s="128">
        <f t="shared" si="3"/>
        <v>1980</v>
      </c>
      <c r="H58" s="128">
        <f>'Ozone-Energy'!P48*10^6/86400 * 24</f>
        <v>1200</v>
      </c>
      <c r="I58" s="129">
        <f>IF( J57+G58-H58*(1/$E$11) &lt; 0, 0, H58*(1/$E$11))</f>
        <v>1250</v>
      </c>
      <c r="J58" s="129">
        <f t="shared" si="4"/>
        <v>2000</v>
      </c>
      <c r="K58">
        <f>IF(J58&lt;=0, 1, 0)</f>
        <v>0</v>
      </c>
    </row>
    <row r="59" spans="1:11">
      <c r="A59" s="87">
        <v>39</v>
      </c>
      <c r="B59" s="87" t="s">
        <v>262</v>
      </c>
      <c r="C59" s="87">
        <v>8</v>
      </c>
      <c r="D59" s="99">
        <v>10</v>
      </c>
      <c r="E59" s="128">
        <f t="shared" si="1"/>
        <v>13750</v>
      </c>
      <c r="F59" s="128">
        <f t="shared" si="2"/>
        <v>2062.5</v>
      </c>
      <c r="G59" s="128">
        <f t="shared" si="3"/>
        <v>1980</v>
      </c>
      <c r="H59" s="128">
        <f>'Ozone-Energy'!P49*10^6/86400 * 24</f>
        <v>1200</v>
      </c>
      <c r="I59" s="129">
        <f>IF( J58+G59-H59*(1/$E$11) &lt; 0, 0, H59*(1/$E$11))</f>
        <v>1250</v>
      </c>
      <c r="J59" s="129">
        <f t="shared" si="4"/>
        <v>2000</v>
      </c>
      <c r="K59">
        <f>IF(J59&lt;=0, 1, 0)</f>
        <v>0</v>
      </c>
    </row>
    <row r="60" spans="1:11">
      <c r="A60" s="87">
        <v>40</v>
      </c>
      <c r="B60" s="87" t="s">
        <v>262</v>
      </c>
      <c r="C60" s="87">
        <v>9</v>
      </c>
      <c r="D60" s="99">
        <v>10</v>
      </c>
      <c r="E60" s="128">
        <f t="shared" si="1"/>
        <v>13750</v>
      </c>
      <c r="F60" s="128">
        <f t="shared" si="2"/>
        <v>2062.5</v>
      </c>
      <c r="G60" s="128">
        <f t="shared" si="3"/>
        <v>1980</v>
      </c>
      <c r="H60" s="128">
        <f>'Ozone-Energy'!P50*10^6/86400 * 24</f>
        <v>39146.647619047602</v>
      </c>
      <c r="I60" s="129">
        <f>IF( J59+G60-H60*(1/$E$11) &lt; 0, 0, H60*(1/$E$11))</f>
        <v>0</v>
      </c>
      <c r="J60" s="129">
        <f t="shared" si="4"/>
        <v>2000</v>
      </c>
      <c r="K60">
        <f>IF(J60&lt;=0, 1, 0)</f>
        <v>0</v>
      </c>
    </row>
    <row r="61" spans="1:11">
      <c r="A61" s="87">
        <v>41</v>
      </c>
      <c r="B61" s="87" t="s">
        <v>262</v>
      </c>
      <c r="C61" s="87">
        <v>10</v>
      </c>
      <c r="D61" s="99">
        <v>10</v>
      </c>
      <c r="E61" s="128">
        <f t="shared" si="1"/>
        <v>13750</v>
      </c>
      <c r="F61" s="128">
        <f t="shared" si="2"/>
        <v>2062.5</v>
      </c>
      <c r="G61" s="128">
        <f t="shared" si="3"/>
        <v>1980</v>
      </c>
      <c r="H61" s="128">
        <f>'Ozone-Energy'!P51*10^6/86400 * 24</f>
        <v>42879.104761904768</v>
      </c>
      <c r="I61" s="129">
        <f>IF( J60+G61-H61*(1/$E$11) &lt; 0, 0, H61*(1/$E$11))</f>
        <v>0</v>
      </c>
      <c r="J61" s="129">
        <f t="shared" si="4"/>
        <v>2000</v>
      </c>
      <c r="K61">
        <f>IF(J61&lt;=0, 1, 0)</f>
        <v>0</v>
      </c>
    </row>
    <row r="62" spans="1:11">
      <c r="A62" s="87">
        <v>42</v>
      </c>
      <c r="B62" s="87" t="s">
        <v>262</v>
      </c>
      <c r="C62" s="87">
        <v>11</v>
      </c>
      <c r="D62" s="99">
        <v>10</v>
      </c>
      <c r="E62" s="128">
        <f t="shared" si="1"/>
        <v>13750</v>
      </c>
      <c r="F62" s="128">
        <f t="shared" si="2"/>
        <v>2062.5</v>
      </c>
      <c r="G62" s="128">
        <f t="shared" si="3"/>
        <v>1980</v>
      </c>
      <c r="H62" s="128">
        <f>'Ozone-Energy'!P52*10^6/86400 * 24</f>
        <v>146143.75238095241</v>
      </c>
      <c r="I62" s="129">
        <f>IF( J61+G62-H62*(1/$E$11) &lt; 0, 0, H62*(1/$E$11))</f>
        <v>0</v>
      </c>
      <c r="J62" s="129">
        <f t="shared" si="4"/>
        <v>2000</v>
      </c>
      <c r="K62">
        <f>IF(J62&lt;=0, 1, 0)</f>
        <v>0</v>
      </c>
    </row>
    <row r="63" spans="1:11">
      <c r="A63" s="87">
        <v>43</v>
      </c>
      <c r="B63" s="87" t="s">
        <v>262</v>
      </c>
      <c r="C63" s="87">
        <v>12</v>
      </c>
      <c r="D63" s="99">
        <v>10</v>
      </c>
      <c r="E63" s="128">
        <f t="shared" si="1"/>
        <v>13750</v>
      </c>
      <c r="F63" s="128">
        <f t="shared" si="2"/>
        <v>2062.5</v>
      </c>
      <c r="G63" s="128">
        <f t="shared" si="3"/>
        <v>1980</v>
      </c>
      <c r="H63" s="128">
        <f>'Ozone-Energy'!P53*10^6/86400 * 24</f>
        <v>53454.400000000016</v>
      </c>
      <c r="I63" s="129">
        <f>IF( J62+G63-H63*(1/$E$11) &lt; 0, 0, H63*(1/$E$11))</f>
        <v>0</v>
      </c>
      <c r="J63" s="129">
        <f t="shared" si="4"/>
        <v>2000</v>
      </c>
      <c r="K63">
        <f>IF(J63&lt;=0, 1, 0)</f>
        <v>0</v>
      </c>
    </row>
    <row r="64" spans="1:11">
      <c r="A64" s="87">
        <v>44</v>
      </c>
      <c r="B64" s="87" t="s">
        <v>262</v>
      </c>
      <c r="C64" s="87">
        <v>13</v>
      </c>
      <c r="D64" s="99">
        <v>10</v>
      </c>
      <c r="E64" s="128">
        <f t="shared" si="1"/>
        <v>13750</v>
      </c>
      <c r="F64" s="128">
        <f t="shared" si="2"/>
        <v>2062.5</v>
      </c>
      <c r="G64" s="128">
        <f t="shared" si="3"/>
        <v>1980</v>
      </c>
      <c r="H64" s="128">
        <f>'Ozone-Energy'!P54*10^6/86400 * 24</f>
        <v>49721.942857142843</v>
      </c>
      <c r="I64" s="129">
        <f>IF( J63+G64-H64*(1/$E$11) &lt; 0, 0, H64*(1/$E$11))</f>
        <v>0</v>
      </c>
      <c r="J64" s="129">
        <f t="shared" si="4"/>
        <v>2000</v>
      </c>
      <c r="K64">
        <f>IF(J64&lt;=0, 1, 0)</f>
        <v>0</v>
      </c>
    </row>
    <row r="65" spans="1:11">
      <c r="A65" s="87">
        <v>45</v>
      </c>
      <c r="B65" s="87" t="s">
        <v>262</v>
      </c>
      <c r="C65" s="87">
        <v>14</v>
      </c>
      <c r="D65" s="99">
        <v>10</v>
      </c>
      <c r="E65" s="128">
        <f t="shared" si="1"/>
        <v>13750</v>
      </c>
      <c r="F65" s="128">
        <f t="shared" si="2"/>
        <v>2062.5</v>
      </c>
      <c r="G65" s="128">
        <f t="shared" si="3"/>
        <v>1980</v>
      </c>
      <c r="H65" s="128">
        <f>'Ozone-Energy'!P55*10^6/86400 * 24</f>
        <v>10531.142857142861</v>
      </c>
      <c r="I65" s="129">
        <f>IF( J64+G65-H65*(1/$E$11) &lt; 0, 0, H65*(1/$E$11))</f>
        <v>0</v>
      </c>
      <c r="J65" s="129">
        <f t="shared" si="4"/>
        <v>2000</v>
      </c>
      <c r="K65">
        <f>IF(J65&lt;=0, 1, 0)</f>
        <v>0</v>
      </c>
    </row>
    <row r="66" spans="1:11">
      <c r="A66" s="87">
        <v>46</v>
      </c>
      <c r="B66" s="87" t="s">
        <v>262</v>
      </c>
      <c r="C66" s="87">
        <v>15</v>
      </c>
      <c r="D66" s="99">
        <v>10</v>
      </c>
      <c r="E66" s="128">
        <f t="shared" si="1"/>
        <v>13750</v>
      </c>
      <c r="F66" s="128">
        <f t="shared" si="2"/>
        <v>2062.5</v>
      </c>
      <c r="G66" s="128">
        <f t="shared" si="3"/>
        <v>1980</v>
      </c>
      <c r="H66" s="128">
        <f>'Ozone-Energy'!P56*10^6/86400 * 24</f>
        <v>37280.419047619042</v>
      </c>
      <c r="I66" s="129">
        <f>IF( J65+G66-H66*(1/$E$11) &lt; 0, 0, H66*(1/$E$11))</f>
        <v>0</v>
      </c>
      <c r="J66" s="129">
        <f t="shared" si="4"/>
        <v>2000</v>
      </c>
      <c r="K66">
        <f>IF(J66&lt;=0, 1, 0)</f>
        <v>0</v>
      </c>
    </row>
    <row r="67" spans="1:11">
      <c r="A67" s="87">
        <v>47</v>
      </c>
      <c r="B67" s="87" t="s">
        <v>262</v>
      </c>
      <c r="C67" s="87">
        <v>16</v>
      </c>
      <c r="D67" s="99">
        <v>10</v>
      </c>
      <c r="E67" s="128">
        <f t="shared" si="1"/>
        <v>13750</v>
      </c>
      <c r="F67" s="128">
        <f t="shared" si="2"/>
        <v>2062.5</v>
      </c>
      <c r="G67" s="128">
        <f t="shared" si="3"/>
        <v>1980</v>
      </c>
      <c r="H67" s="128">
        <f>'Ozone-Energy'!P57*10^6/86400 * 24</f>
        <v>60297.238095238092</v>
      </c>
      <c r="I67" s="129">
        <f>IF( J66+G67-H67*(1/$E$11) &lt; 0, 0, H67*(1/$E$11))</f>
        <v>0</v>
      </c>
      <c r="J67" s="129">
        <f t="shared" si="4"/>
        <v>2000</v>
      </c>
      <c r="K67">
        <f>IF(J67&lt;=0, 1, 0)</f>
        <v>0</v>
      </c>
    </row>
    <row r="68" spans="1:11">
      <c r="A68" s="87">
        <v>48</v>
      </c>
      <c r="B68" s="87" t="s">
        <v>262</v>
      </c>
      <c r="C68" s="87">
        <v>17</v>
      </c>
      <c r="D68" s="99">
        <v>10</v>
      </c>
      <c r="E68" s="128">
        <f t="shared" si="1"/>
        <v>13750</v>
      </c>
      <c r="F68" s="128">
        <f t="shared" si="2"/>
        <v>2062.5</v>
      </c>
      <c r="G68" s="128">
        <f t="shared" si="3"/>
        <v>1980</v>
      </c>
      <c r="H68" s="128">
        <f>'Ozone-Energy'!P58*10^6/86400 * 24</f>
        <v>29815.504761904762</v>
      </c>
      <c r="I68" s="129">
        <f>IF( J67+G68-H68*(1/$E$11) &lt; 0, 0, H68*(1/$E$11))</f>
        <v>0</v>
      </c>
      <c r="J68" s="129">
        <f t="shared" si="4"/>
        <v>2000</v>
      </c>
      <c r="K68">
        <f>IF(J68&lt;=0, 1, 0)</f>
        <v>0</v>
      </c>
    </row>
    <row r="69" spans="1:11">
      <c r="A69" s="87">
        <v>49</v>
      </c>
      <c r="B69" s="87" t="s">
        <v>262</v>
      </c>
      <c r="C69" s="87">
        <v>18</v>
      </c>
      <c r="D69" s="99">
        <v>10</v>
      </c>
      <c r="E69" s="128">
        <f t="shared" si="1"/>
        <v>13750</v>
      </c>
      <c r="F69" s="128">
        <f t="shared" si="2"/>
        <v>2062.5</v>
      </c>
      <c r="G69" s="128">
        <f t="shared" si="3"/>
        <v>1980</v>
      </c>
      <c r="H69" s="128">
        <f>'Ozone-Energy'!P59*10^6/86400 * 24</f>
        <v>40390.800000000003</v>
      </c>
      <c r="I69" s="129">
        <f>IF( J68+G69-H69*(1/$E$11) &lt; 0, 0, H69*(1/$E$11))</f>
        <v>0</v>
      </c>
      <c r="J69" s="129">
        <f t="shared" si="4"/>
        <v>2000</v>
      </c>
      <c r="K69">
        <f>IF(J69&lt;=0, 1, 0)</f>
        <v>0</v>
      </c>
    </row>
    <row r="70" spans="1:11">
      <c r="A70" s="87">
        <v>50</v>
      </c>
      <c r="B70" s="87" t="s">
        <v>262</v>
      </c>
      <c r="C70" s="87">
        <v>19</v>
      </c>
      <c r="D70" s="99">
        <v>10</v>
      </c>
      <c r="E70" s="128">
        <f t="shared" si="1"/>
        <v>13750</v>
      </c>
      <c r="F70" s="128">
        <f t="shared" si="2"/>
        <v>2062.5</v>
      </c>
      <c r="G70" s="128">
        <f t="shared" si="3"/>
        <v>1980</v>
      </c>
      <c r="H70" s="128">
        <f>'Ozone-Energy'!P60*10^6/86400 * 24</f>
        <v>69006.304761904757</v>
      </c>
      <c r="I70" s="129">
        <f>IF( J69+G70-H70*(1/$E$11) &lt; 0, 0, H70*(1/$E$11))</f>
        <v>0</v>
      </c>
      <c r="J70" s="129">
        <f t="shared" si="4"/>
        <v>2000</v>
      </c>
      <c r="K70">
        <f>IF(J70&lt;=0, 1, 0)</f>
        <v>0</v>
      </c>
    </row>
    <row r="71" spans="1:11">
      <c r="A71" s="87">
        <v>51</v>
      </c>
      <c r="B71" s="87" t="s">
        <v>262</v>
      </c>
      <c r="C71" s="87">
        <v>20</v>
      </c>
      <c r="D71" s="99">
        <v>10</v>
      </c>
      <c r="E71" s="128">
        <f t="shared" si="1"/>
        <v>13750</v>
      </c>
      <c r="F71" s="128">
        <f t="shared" si="2"/>
        <v>2062.5</v>
      </c>
      <c r="G71" s="128">
        <f t="shared" si="3"/>
        <v>1980</v>
      </c>
      <c r="H71" s="128">
        <f>'Ozone-Energy'!P61*10^6/86400 * 24</f>
        <v>8664.9142857142833</v>
      </c>
      <c r="I71" s="129">
        <f>IF( J70+G71-H71*(1/$E$11) &lt; 0, 0, H71*(1/$E$11))</f>
        <v>0</v>
      </c>
      <c r="J71" s="129">
        <f t="shared" si="4"/>
        <v>2000</v>
      </c>
      <c r="K71">
        <f>IF(J71&lt;=0, 1, 0)</f>
        <v>0</v>
      </c>
    </row>
    <row r="72" spans="1:11">
      <c r="A72" s="87">
        <v>52</v>
      </c>
      <c r="B72" s="87" t="s">
        <v>262</v>
      </c>
      <c r="C72" s="87">
        <v>21</v>
      </c>
      <c r="D72" s="99">
        <v>10</v>
      </c>
      <c r="E72" s="128">
        <f t="shared" si="1"/>
        <v>13750</v>
      </c>
      <c r="F72" s="128">
        <f t="shared" si="2"/>
        <v>2062.5</v>
      </c>
      <c r="G72" s="128">
        <f t="shared" si="3"/>
        <v>1980</v>
      </c>
      <c r="H72" s="128">
        <f>'Ozone-Energy'!P62*10^6/86400 * 24</f>
        <v>3688.304761904762</v>
      </c>
      <c r="I72" s="129">
        <f>IF( J71+G72-H72*(1/$E$11) &lt; 0, 0, H72*(1/$E$11))</f>
        <v>3841.9841269841272</v>
      </c>
      <c r="J72" s="129">
        <f t="shared" si="4"/>
        <v>2000</v>
      </c>
      <c r="K72">
        <f>IF(J72&lt;=0, 1, 0)</f>
        <v>0</v>
      </c>
    </row>
    <row r="73" spans="1:11">
      <c r="A73" s="87">
        <v>53</v>
      </c>
      <c r="B73" s="87" t="s">
        <v>262</v>
      </c>
      <c r="C73" s="87">
        <v>22</v>
      </c>
      <c r="D73" s="99">
        <v>10</v>
      </c>
      <c r="E73" s="128">
        <f t="shared" si="1"/>
        <v>13750</v>
      </c>
      <c r="F73" s="128">
        <f t="shared" si="2"/>
        <v>2062.5</v>
      </c>
      <c r="G73" s="128">
        <f t="shared" si="3"/>
        <v>1980</v>
      </c>
      <c r="H73" s="128">
        <f>'Ozone-Energy'!P63*10^6/86400 * 24</f>
        <v>16129.828571428567</v>
      </c>
      <c r="I73" s="129">
        <f>IF( J72+G73-H73*(1/$E$11) &lt; 0, 0, H73*(1/$E$11))</f>
        <v>0</v>
      </c>
      <c r="J73" s="129">
        <f t="shared" si="4"/>
        <v>138.01587301587278</v>
      </c>
      <c r="K73">
        <f>IF(J73&lt;=0, 1, 0)</f>
        <v>0</v>
      </c>
    </row>
    <row r="74" spans="1:11">
      <c r="A74" s="87">
        <v>54</v>
      </c>
      <c r="B74" s="87" t="s">
        <v>262</v>
      </c>
      <c r="C74" s="87">
        <v>23</v>
      </c>
      <c r="D74" s="99">
        <v>10</v>
      </c>
      <c r="E74" s="128">
        <f t="shared" si="1"/>
        <v>13750</v>
      </c>
      <c r="F74" s="128">
        <f t="shared" si="2"/>
        <v>2062.5</v>
      </c>
      <c r="G74" s="128">
        <f t="shared" si="3"/>
        <v>1980</v>
      </c>
      <c r="H74" s="128">
        <f>'Ozone-Energy'!P64*10^6/86400 * 24</f>
        <v>46611.561904761889</v>
      </c>
      <c r="I74" s="129">
        <f>IF( J73+G74-H74*(1/$E$11) &lt; 0, 0, H74*(1/$E$11))</f>
        <v>0</v>
      </c>
      <c r="J74" s="129">
        <f t="shared" si="4"/>
        <v>2000</v>
      </c>
      <c r="K74">
        <f>IF(J74&lt;=0, 1, 0)</f>
        <v>0</v>
      </c>
    </row>
    <row r="75" spans="1:11">
      <c r="A75" s="87">
        <v>55</v>
      </c>
      <c r="B75" s="87" t="s">
        <v>262</v>
      </c>
      <c r="C75" s="87">
        <v>24</v>
      </c>
      <c r="D75" s="99">
        <v>10</v>
      </c>
      <c r="E75" s="128">
        <f t="shared" si="1"/>
        <v>13750</v>
      </c>
      <c r="F75" s="128">
        <f t="shared" si="2"/>
        <v>2062.5</v>
      </c>
      <c r="G75" s="128">
        <f t="shared" si="3"/>
        <v>1980</v>
      </c>
      <c r="H75" s="128">
        <f>'Ozone-Energy'!P65*10^6/86400 * 24</f>
        <v>22350.590476190468</v>
      </c>
      <c r="I75" s="129">
        <f>IF( J74+G75-H75*(1/$E$11) &lt; 0, 0, H75*(1/$E$11))</f>
        <v>0</v>
      </c>
      <c r="J75" s="129">
        <f t="shared" si="4"/>
        <v>2000</v>
      </c>
      <c r="K75">
        <f>IF(J75&lt;=0, 1, 0)</f>
        <v>0</v>
      </c>
    </row>
    <row r="76" spans="1:11">
      <c r="A76" s="87">
        <v>56</v>
      </c>
      <c r="B76" s="87" t="s">
        <v>262</v>
      </c>
      <c r="C76" s="87">
        <v>25</v>
      </c>
      <c r="D76" s="99">
        <v>10</v>
      </c>
      <c r="E76" s="128">
        <f t="shared" si="1"/>
        <v>13750</v>
      </c>
      <c r="F76" s="128">
        <f t="shared" si="2"/>
        <v>2062.5</v>
      </c>
      <c r="G76" s="128">
        <f t="shared" si="3"/>
        <v>1980</v>
      </c>
      <c r="H76" s="128">
        <f>'Ozone-Energy'!P66*10^6/86400 * 24</f>
        <v>1200</v>
      </c>
      <c r="I76" s="129">
        <f>IF( J75+G76-H76*(1/$E$11) &lt; 0, 0, H76*(1/$E$11))</f>
        <v>1250</v>
      </c>
      <c r="J76" s="129">
        <f t="shared" si="4"/>
        <v>2000</v>
      </c>
      <c r="K76">
        <f>IF(J76&lt;=0, 1, 0)</f>
        <v>0</v>
      </c>
    </row>
    <row r="77" spans="1:11">
      <c r="A77" s="87">
        <v>57</v>
      </c>
      <c r="B77" s="87" t="s">
        <v>262</v>
      </c>
      <c r="C77" s="87">
        <v>26</v>
      </c>
      <c r="D77" s="99">
        <v>10</v>
      </c>
      <c r="E77" s="128">
        <f t="shared" si="1"/>
        <v>13750</v>
      </c>
      <c r="F77" s="128">
        <f t="shared" si="2"/>
        <v>2062.5</v>
      </c>
      <c r="G77" s="128">
        <f t="shared" si="3"/>
        <v>1980</v>
      </c>
      <c r="H77" s="128">
        <f>'Ozone-Energy'!P67*10^6/86400 * 24</f>
        <v>3688.304761904762</v>
      </c>
      <c r="I77" s="129">
        <f>IF( J76+G77-H77*(1/$E$11) &lt; 0, 0, H77*(1/$E$11))</f>
        <v>3841.9841269841272</v>
      </c>
      <c r="J77" s="129">
        <f t="shared" si="4"/>
        <v>2000</v>
      </c>
      <c r="K77">
        <f>IF(J77&lt;=0, 1, 0)</f>
        <v>0</v>
      </c>
    </row>
    <row r="78" spans="1:11">
      <c r="A78" s="87">
        <v>58</v>
      </c>
      <c r="B78" s="87" t="s">
        <v>262</v>
      </c>
      <c r="C78" s="87">
        <v>27</v>
      </c>
      <c r="D78" s="99">
        <v>10</v>
      </c>
      <c r="E78" s="128">
        <f t="shared" si="1"/>
        <v>13750</v>
      </c>
      <c r="F78" s="128">
        <f t="shared" si="2"/>
        <v>2062.5</v>
      </c>
      <c r="G78" s="128">
        <f t="shared" si="3"/>
        <v>1980</v>
      </c>
      <c r="H78" s="128">
        <f>'Ozone-Energy'!P68*10^6/86400 * 24</f>
        <v>1200</v>
      </c>
      <c r="I78" s="129">
        <f>IF( J77+G78-H78*(1/$E$11) &lt; 0, 0, H78*(1/$E$11))</f>
        <v>1250</v>
      </c>
      <c r="J78" s="129">
        <f>MAX(MIN(J77 + G77 - I77, $E$9), 0)</f>
        <v>138.01587301587278</v>
      </c>
      <c r="K78">
        <f>IF(J78&lt;=0, 1, 0)</f>
        <v>0</v>
      </c>
    </row>
    <row r="79" spans="1:11">
      <c r="A79" s="87">
        <v>59</v>
      </c>
      <c r="B79" s="87" t="s">
        <v>262</v>
      </c>
      <c r="C79" s="87">
        <v>28</v>
      </c>
      <c r="D79" s="99">
        <v>10</v>
      </c>
      <c r="E79" s="128">
        <f t="shared" si="1"/>
        <v>13750</v>
      </c>
      <c r="F79" s="128">
        <f t="shared" si="2"/>
        <v>2062.5</v>
      </c>
      <c r="G79" s="128">
        <f t="shared" si="3"/>
        <v>1980</v>
      </c>
      <c r="H79" s="128">
        <f>'Ozone-Energy'!P69*10^6/86400 * 24</f>
        <v>2444.1523809523806</v>
      </c>
      <c r="I79" s="129">
        <f>IF( J78+G79-H79*(1/$E$11) &lt; 0, 0, H79*(1/$E$11))</f>
        <v>0</v>
      </c>
      <c r="J79" s="129">
        <f t="shared" si="4"/>
        <v>868.01587301587278</v>
      </c>
      <c r="K79">
        <f>IF(J79&lt;=0, 1, 0)</f>
        <v>0</v>
      </c>
    </row>
    <row r="80" spans="1:11">
      <c r="A80" s="87">
        <v>60</v>
      </c>
      <c r="B80" s="87" t="s">
        <v>263</v>
      </c>
      <c r="C80" s="87">
        <v>1</v>
      </c>
      <c r="D80" s="99">
        <v>11.8</v>
      </c>
      <c r="E80" s="128">
        <f t="shared" si="1"/>
        <v>16225.000000000002</v>
      </c>
      <c r="F80" s="128">
        <f t="shared" si="2"/>
        <v>2433.75</v>
      </c>
      <c r="G80" s="128">
        <f t="shared" si="3"/>
        <v>2336.4</v>
      </c>
      <c r="H80" s="128">
        <f>'Ozone-Energy'!P70*10^6/86400 * 24</f>
        <v>7420.7619047619046</v>
      </c>
      <c r="I80" s="129">
        <f>IF( J79+G80-H80*(1/$E$11) &lt; 0, 0, H80*(1/$E$11))</f>
        <v>0</v>
      </c>
      <c r="J80" s="129">
        <f t="shared" si="4"/>
        <v>2000</v>
      </c>
      <c r="K80">
        <f>IF(J80&lt;=0, 1, 0)</f>
        <v>0</v>
      </c>
    </row>
    <row r="81" spans="1:11">
      <c r="A81" s="87">
        <v>61</v>
      </c>
      <c r="B81" s="87" t="s">
        <v>263</v>
      </c>
      <c r="C81" s="87">
        <v>2</v>
      </c>
      <c r="D81" s="99">
        <v>11.8</v>
      </c>
      <c r="E81" s="128">
        <f t="shared" si="1"/>
        <v>16225.000000000002</v>
      </c>
      <c r="F81" s="128">
        <f t="shared" si="2"/>
        <v>2433.75</v>
      </c>
      <c r="G81" s="128">
        <f t="shared" si="3"/>
        <v>2336.4</v>
      </c>
      <c r="H81" s="128">
        <f>'Ozone-Energy'!P71*10^6/86400 * 24</f>
        <v>60297.238095238092</v>
      </c>
      <c r="I81" s="129">
        <f>IF( J80+G81-H81*(1/$E$11) &lt; 0, 0, H81*(1/$E$11))</f>
        <v>0</v>
      </c>
      <c r="J81" s="129">
        <f t="shared" si="4"/>
        <v>2000</v>
      </c>
      <c r="K81">
        <f>IF(J81&lt;=0, 1, 0)</f>
        <v>0</v>
      </c>
    </row>
    <row r="82" spans="1:11">
      <c r="A82" s="87">
        <v>62</v>
      </c>
      <c r="B82" s="87" t="s">
        <v>263</v>
      </c>
      <c r="C82" s="87">
        <v>3</v>
      </c>
      <c r="D82" s="99">
        <v>11.8</v>
      </c>
      <c r="E82" s="128">
        <f t="shared" si="1"/>
        <v>16225.000000000002</v>
      </c>
      <c r="F82" s="128">
        <f t="shared" si="2"/>
        <v>2433.75</v>
      </c>
      <c r="G82" s="128">
        <f t="shared" si="3"/>
        <v>2336.4</v>
      </c>
      <c r="H82" s="128">
        <f>'Ozone-Energy'!P72*10^6/86400 * 24</f>
        <v>4310.3809523809523</v>
      </c>
      <c r="I82" s="129">
        <f>IF( J81+G82-H82*(1/$E$11) &lt; 0, 0, H82*(1/$E$11))</f>
        <v>0</v>
      </c>
      <c r="J82" s="129">
        <f t="shared" si="4"/>
        <v>2000</v>
      </c>
      <c r="K82">
        <f>IF(J82&lt;=0, 1, 0)</f>
        <v>0</v>
      </c>
    </row>
    <row r="83" spans="1:11">
      <c r="A83" s="87">
        <v>63</v>
      </c>
      <c r="B83" s="87" t="s">
        <v>263</v>
      </c>
      <c r="C83" s="87">
        <v>4</v>
      </c>
      <c r="D83" s="99">
        <v>11.8</v>
      </c>
      <c r="E83" s="128">
        <f t="shared" si="1"/>
        <v>16225.000000000002</v>
      </c>
      <c r="F83" s="128">
        <f t="shared" si="2"/>
        <v>2433.75</v>
      </c>
      <c r="G83" s="128">
        <f t="shared" si="3"/>
        <v>2336.4</v>
      </c>
      <c r="H83" s="128">
        <f>'Ozone-Energy'!P73*10^6/86400 * 24</f>
        <v>8664.9142857142833</v>
      </c>
      <c r="I83" s="129">
        <f>IF( J82+G83-H83*(1/$E$11) &lt; 0, 0, H83*(1/$E$11))</f>
        <v>0</v>
      </c>
      <c r="J83" s="129">
        <f t="shared" si="4"/>
        <v>2000</v>
      </c>
      <c r="K83">
        <f>IF(J83&lt;=0, 1, 0)</f>
        <v>0</v>
      </c>
    </row>
    <row r="84" spans="1:11">
      <c r="A84" s="87">
        <v>64</v>
      </c>
      <c r="B84" s="87" t="s">
        <v>263</v>
      </c>
      <c r="C84" s="87">
        <v>5</v>
      </c>
      <c r="D84" s="99">
        <v>11.8</v>
      </c>
      <c r="E84" s="128">
        <f t="shared" si="1"/>
        <v>16225.000000000002</v>
      </c>
      <c r="F84" s="128">
        <f t="shared" si="2"/>
        <v>2433.75</v>
      </c>
      <c r="G84" s="128">
        <f t="shared" si="3"/>
        <v>2336.4</v>
      </c>
      <c r="H84" s="128">
        <f>'Ozone-Energy'!P74*10^6/86400 * 24</f>
        <v>75227.066666666709</v>
      </c>
      <c r="I84" s="129">
        <f>IF( J83+G84-H84*(1/$E$11) &lt; 0, 0, H84*(1/$E$11))</f>
        <v>0</v>
      </c>
      <c r="J84" s="129">
        <f t="shared" si="4"/>
        <v>2000</v>
      </c>
      <c r="K84">
        <f>IF(J84&lt;=0, 1, 0)</f>
        <v>0</v>
      </c>
    </row>
    <row r="85" spans="1:11">
      <c r="A85" s="87">
        <v>65</v>
      </c>
      <c r="B85" s="87" t="s">
        <v>263</v>
      </c>
      <c r="C85" s="87">
        <v>6</v>
      </c>
      <c r="D85" s="99">
        <v>11.8</v>
      </c>
      <c r="E85" s="128">
        <f t="shared" ref="E85:E148" si="5">$E$4 * ($E$6)*D85</f>
        <v>16225.000000000002</v>
      </c>
      <c r="F85" s="128">
        <f t="shared" ref="F85:F148" si="6">E85*$E$7</f>
        <v>2433.75</v>
      </c>
      <c r="G85" s="128">
        <f t="shared" ref="G85:G148" si="7">F85*$E$11</f>
        <v>2336.4</v>
      </c>
      <c r="H85" s="128">
        <f>'Ozone-Energy'!P75*10^6/86400 * 24</f>
        <v>27949.276190476186</v>
      </c>
      <c r="I85" s="129">
        <f>IF( J84+G85-H85*(1/$E$11) &lt; 0, 0, H85*(1/$E$11))</f>
        <v>0</v>
      </c>
      <c r="J85" s="129">
        <f t="shared" si="4"/>
        <v>2000</v>
      </c>
      <c r="K85">
        <f>IF(J85&lt;=0, 1, 0)</f>
        <v>0</v>
      </c>
    </row>
    <row r="86" spans="1:11">
      <c r="A86" s="87">
        <v>66</v>
      </c>
      <c r="B86" s="87" t="s">
        <v>263</v>
      </c>
      <c r="C86" s="87">
        <v>7</v>
      </c>
      <c r="D86" s="99">
        <v>11.8</v>
      </c>
      <c r="E86" s="128">
        <f t="shared" si="5"/>
        <v>16225.000000000002</v>
      </c>
      <c r="F86" s="128">
        <f t="shared" si="6"/>
        <v>2433.75</v>
      </c>
      <c r="G86" s="128">
        <f t="shared" si="7"/>
        <v>2336.4</v>
      </c>
      <c r="H86" s="128">
        <f>'Ozone-Energy'!P76*10^6/86400 * 24</f>
        <v>106952.9523809524</v>
      </c>
      <c r="I86" s="129">
        <f>IF( J85+G86-H86*(1/$E$11) &lt; 0, 0, H86*(1/$E$11))</f>
        <v>0</v>
      </c>
      <c r="J86" s="129">
        <f t="shared" si="4"/>
        <v>2000</v>
      </c>
      <c r="K86">
        <f>IF(J86&lt;=0, 1, 0)</f>
        <v>0</v>
      </c>
    </row>
    <row r="87" spans="1:11">
      <c r="A87" s="87">
        <v>67</v>
      </c>
      <c r="B87" s="87" t="s">
        <v>263</v>
      </c>
      <c r="C87" s="87">
        <v>8</v>
      </c>
      <c r="D87" s="99">
        <v>11.8</v>
      </c>
      <c r="E87" s="128">
        <f t="shared" si="5"/>
        <v>16225.000000000002</v>
      </c>
      <c r="F87" s="128">
        <f t="shared" si="6"/>
        <v>2433.75</v>
      </c>
      <c r="G87" s="128">
        <f t="shared" si="7"/>
        <v>2336.4</v>
      </c>
      <c r="H87" s="128">
        <f>'Ozone-Energy'!P77*10^6/86400 * 24</f>
        <v>164183.96190476185</v>
      </c>
      <c r="I87" s="129">
        <f>IF( J86+G87-H87*(1/$E$11) &lt; 0, 0, H87*(1/$E$11))</f>
        <v>0</v>
      </c>
      <c r="J87" s="129">
        <f t="shared" ref="J87:J150" si="8">MAX(MIN(J86 + G86 - I86, $E$9), 0)</f>
        <v>2000</v>
      </c>
      <c r="K87">
        <f>IF(J87&lt;=0, 1, 0)</f>
        <v>0</v>
      </c>
    </row>
    <row r="88" spans="1:11">
      <c r="A88" s="87">
        <v>68</v>
      </c>
      <c r="B88" s="87" t="s">
        <v>263</v>
      </c>
      <c r="C88" s="87">
        <v>9</v>
      </c>
      <c r="D88" s="99">
        <v>11.8</v>
      </c>
      <c r="E88" s="128">
        <f t="shared" si="5"/>
        <v>16225.000000000002</v>
      </c>
      <c r="F88" s="128">
        <f t="shared" si="6"/>
        <v>2433.75</v>
      </c>
      <c r="G88" s="128">
        <f t="shared" si="7"/>
        <v>2336.4</v>
      </c>
      <c r="H88" s="128">
        <f>'Ozone-Energy'!P78*10^6/86400 * 24</f>
        <v>34170.038095238095</v>
      </c>
      <c r="I88" s="129">
        <f>IF( J87+G88-H88*(1/$E$11) &lt; 0, 0, H88*(1/$E$11))</f>
        <v>0</v>
      </c>
      <c r="J88" s="129">
        <f t="shared" si="8"/>
        <v>2000</v>
      </c>
      <c r="K88">
        <f>IF(J88&lt;=0, 1, 0)</f>
        <v>0</v>
      </c>
    </row>
    <row r="89" spans="1:11">
      <c r="A89" s="87">
        <v>69</v>
      </c>
      <c r="B89" s="87" t="s">
        <v>263</v>
      </c>
      <c r="C89" s="87">
        <v>10</v>
      </c>
      <c r="D89" s="99">
        <v>11.8</v>
      </c>
      <c r="E89" s="128">
        <f t="shared" si="5"/>
        <v>16225.000000000002</v>
      </c>
      <c r="F89" s="128">
        <f t="shared" si="6"/>
        <v>2433.75</v>
      </c>
      <c r="G89" s="128">
        <f t="shared" si="7"/>
        <v>2336.4</v>
      </c>
      <c r="H89" s="128">
        <f>'Ozone-Energy'!P79*10^6/86400 * 24</f>
        <v>8664.9142857142833</v>
      </c>
      <c r="I89" s="129">
        <f>IF( J88+G89-H89*(1/$E$11) &lt; 0, 0, H89*(1/$E$11))</f>
        <v>0</v>
      </c>
      <c r="J89" s="129">
        <f t="shared" si="8"/>
        <v>2000</v>
      </c>
      <c r="K89">
        <f>IF(J89&lt;=0, 1, 0)</f>
        <v>0</v>
      </c>
    </row>
    <row r="90" spans="1:11">
      <c r="A90" s="87">
        <v>70</v>
      </c>
      <c r="B90" s="87" t="s">
        <v>263</v>
      </c>
      <c r="C90" s="87">
        <v>11</v>
      </c>
      <c r="D90" s="99">
        <v>11.8</v>
      </c>
      <c r="E90" s="128">
        <f t="shared" si="5"/>
        <v>16225.000000000002</v>
      </c>
      <c r="F90" s="128">
        <f t="shared" si="6"/>
        <v>2433.75</v>
      </c>
      <c r="G90" s="128">
        <f t="shared" si="7"/>
        <v>2336.4</v>
      </c>
      <c r="H90" s="128">
        <f>'Ozone-Energy'!P80*10^6/86400 * 24</f>
        <v>1200</v>
      </c>
      <c r="I90" s="129">
        <f>IF( J89+G90-H90*(1/$E$11) &lt; 0, 0, H90*(1/$E$11))</f>
        <v>1250</v>
      </c>
      <c r="J90" s="129">
        <f t="shared" si="8"/>
        <v>2000</v>
      </c>
      <c r="K90">
        <f>IF(J90&lt;=0, 1, 0)</f>
        <v>0</v>
      </c>
    </row>
    <row r="91" spans="1:11">
      <c r="A91" s="87">
        <v>71</v>
      </c>
      <c r="B91" s="87" t="s">
        <v>263</v>
      </c>
      <c r="C91" s="87">
        <v>12</v>
      </c>
      <c r="D91" s="99">
        <v>11.8</v>
      </c>
      <c r="E91" s="128">
        <f t="shared" si="5"/>
        <v>16225.000000000002</v>
      </c>
      <c r="F91" s="128">
        <f t="shared" si="6"/>
        <v>2433.75</v>
      </c>
      <c r="G91" s="128">
        <f t="shared" si="7"/>
        <v>2336.4</v>
      </c>
      <c r="H91" s="128">
        <f>'Ozone-Energy'!P81*10^6/86400 * 24</f>
        <v>9909.0666666666675</v>
      </c>
      <c r="I91" s="129">
        <f>IF( J90+G91-H91*(1/$E$11) &lt; 0, 0, H91*(1/$E$11))</f>
        <v>0</v>
      </c>
      <c r="J91" s="129">
        <f t="shared" si="8"/>
        <v>2000</v>
      </c>
      <c r="K91">
        <f>IF(J91&lt;=0, 1, 0)</f>
        <v>0</v>
      </c>
    </row>
    <row r="92" spans="1:11">
      <c r="A92" s="87">
        <v>72</v>
      </c>
      <c r="B92" s="87" t="s">
        <v>263</v>
      </c>
      <c r="C92" s="87">
        <v>13</v>
      </c>
      <c r="D92" s="99">
        <v>11.8</v>
      </c>
      <c r="E92" s="128">
        <f t="shared" si="5"/>
        <v>16225.000000000002</v>
      </c>
      <c r="F92" s="128">
        <f t="shared" si="6"/>
        <v>2433.75</v>
      </c>
      <c r="G92" s="128">
        <f t="shared" si="7"/>
        <v>2336.4</v>
      </c>
      <c r="H92" s="128">
        <f>'Ozone-Energy'!P82*10^6/86400 * 24</f>
        <v>64029.695238095228</v>
      </c>
      <c r="I92" s="129">
        <f>IF( J91+G92-H92*(1/$E$11) &lt; 0, 0, H92*(1/$E$11))</f>
        <v>0</v>
      </c>
      <c r="J92" s="129">
        <f t="shared" si="8"/>
        <v>2000</v>
      </c>
      <c r="K92">
        <f>IF(J92&lt;=0, 1, 0)</f>
        <v>0</v>
      </c>
    </row>
    <row r="93" spans="1:11">
      <c r="A93" s="87">
        <v>73</v>
      </c>
      <c r="B93" s="87" t="s">
        <v>263</v>
      </c>
      <c r="C93" s="87">
        <v>14</v>
      </c>
      <c r="D93" s="99">
        <v>11.8</v>
      </c>
      <c r="E93" s="128">
        <f t="shared" si="5"/>
        <v>16225.000000000002</v>
      </c>
      <c r="F93" s="128">
        <f t="shared" si="6"/>
        <v>2433.75</v>
      </c>
      <c r="G93" s="128">
        <f t="shared" si="7"/>
        <v>2336.4</v>
      </c>
      <c r="H93" s="128">
        <f>'Ozone-Energy'!P83*10^6/86400 * 24</f>
        <v>44123.257142857146</v>
      </c>
      <c r="I93" s="129">
        <f>IF( J92+G93-H93*(1/$E$11) &lt; 0, 0, H93*(1/$E$11))</f>
        <v>0</v>
      </c>
      <c r="J93" s="129">
        <f t="shared" si="8"/>
        <v>2000</v>
      </c>
      <c r="K93">
        <f>IF(J93&lt;=0, 1, 0)</f>
        <v>0</v>
      </c>
    </row>
    <row r="94" spans="1:11">
      <c r="A94" s="87">
        <v>74</v>
      </c>
      <c r="B94" s="87" t="s">
        <v>263</v>
      </c>
      <c r="C94" s="87">
        <v>15</v>
      </c>
      <c r="D94" s="99">
        <v>11.8</v>
      </c>
      <c r="E94" s="128">
        <f t="shared" si="5"/>
        <v>16225.000000000002</v>
      </c>
      <c r="F94" s="128">
        <f t="shared" si="6"/>
        <v>2433.75</v>
      </c>
      <c r="G94" s="128">
        <f t="shared" si="7"/>
        <v>2336.4</v>
      </c>
      <c r="H94" s="128">
        <f>'Ozone-Energy'!P84*10^6/86400 * 24</f>
        <v>72116.685714285733</v>
      </c>
      <c r="I94" s="129">
        <f>IF( J93+G94-H94*(1/$E$11) &lt; 0, 0, H94*(1/$E$11))</f>
        <v>0</v>
      </c>
      <c r="J94" s="129">
        <f t="shared" si="8"/>
        <v>2000</v>
      </c>
      <c r="K94">
        <f>IF(J94&lt;=0, 1, 0)</f>
        <v>0</v>
      </c>
    </row>
    <row r="95" spans="1:11">
      <c r="A95" s="87">
        <v>75</v>
      </c>
      <c r="B95" s="87" t="s">
        <v>263</v>
      </c>
      <c r="C95" s="87">
        <v>16</v>
      </c>
      <c r="D95" s="99">
        <v>11.8</v>
      </c>
      <c r="E95" s="128">
        <f t="shared" si="5"/>
        <v>16225.000000000002</v>
      </c>
      <c r="F95" s="128">
        <f t="shared" si="6"/>
        <v>2433.75</v>
      </c>
      <c r="G95" s="128">
        <f t="shared" si="7"/>
        <v>2336.4</v>
      </c>
      <c r="H95" s="128">
        <f>'Ozone-Energy'!P85*10^6/86400 * 24</f>
        <v>17996.057142857142</v>
      </c>
      <c r="I95" s="129">
        <f>IF( J94+G95-H95*(1/$E$11) &lt; 0, 0, H95*(1/$E$11))</f>
        <v>0</v>
      </c>
      <c r="J95" s="129">
        <f t="shared" si="8"/>
        <v>2000</v>
      </c>
      <c r="K95">
        <f>IF(J95&lt;=0, 1, 0)</f>
        <v>0</v>
      </c>
    </row>
    <row r="96" spans="1:11">
      <c r="A96" s="87">
        <v>76</v>
      </c>
      <c r="B96" s="87" t="s">
        <v>263</v>
      </c>
      <c r="C96" s="87">
        <v>17</v>
      </c>
      <c r="D96" s="99">
        <v>11.8</v>
      </c>
      <c r="E96" s="128">
        <f t="shared" si="5"/>
        <v>16225.000000000002</v>
      </c>
      <c r="F96" s="128">
        <f t="shared" si="6"/>
        <v>2433.75</v>
      </c>
      <c r="G96" s="128">
        <f t="shared" si="7"/>
        <v>2336.4</v>
      </c>
      <c r="H96" s="128">
        <f>'Ozone-Energy'!P86*10^6/86400 * 24</f>
        <v>2444.1523809523806</v>
      </c>
      <c r="I96" s="129">
        <f>IF( J95+G96-H96*(1/$E$11) &lt; 0, 0, H96*(1/$E$11))</f>
        <v>2545.9920634920632</v>
      </c>
      <c r="J96" s="129">
        <f t="shared" si="8"/>
        <v>2000</v>
      </c>
      <c r="K96">
        <f>IF(J96&lt;=0, 1, 0)</f>
        <v>0</v>
      </c>
    </row>
    <row r="97" spans="1:11">
      <c r="A97" s="87">
        <v>77</v>
      </c>
      <c r="B97" s="87" t="s">
        <v>263</v>
      </c>
      <c r="C97" s="87">
        <v>18</v>
      </c>
      <c r="D97" s="99">
        <v>11.8</v>
      </c>
      <c r="E97" s="128">
        <f t="shared" si="5"/>
        <v>16225.000000000002</v>
      </c>
      <c r="F97" s="128">
        <f t="shared" si="6"/>
        <v>2433.75</v>
      </c>
      <c r="G97" s="128">
        <f t="shared" si="7"/>
        <v>2336.4</v>
      </c>
      <c r="H97" s="128">
        <f>'Ozone-Energy'!P87*10^6/86400 * 24</f>
        <v>97621.809523809527</v>
      </c>
      <c r="I97" s="129">
        <f>IF( J96+G97-H97*(1/$E$11) &lt; 0, 0, H97*(1/$E$11))</f>
        <v>0</v>
      </c>
      <c r="J97" s="129">
        <f t="shared" si="8"/>
        <v>1790.4079365079365</v>
      </c>
      <c r="K97">
        <f>IF(J97&lt;=0, 1, 0)</f>
        <v>0</v>
      </c>
    </row>
    <row r="98" spans="1:11">
      <c r="A98" s="87">
        <v>78</v>
      </c>
      <c r="B98" s="87" t="s">
        <v>263</v>
      </c>
      <c r="C98" s="87">
        <v>19</v>
      </c>
      <c r="D98" s="99">
        <v>11.8</v>
      </c>
      <c r="E98" s="128">
        <f t="shared" si="5"/>
        <v>16225.000000000002</v>
      </c>
      <c r="F98" s="128">
        <f t="shared" si="6"/>
        <v>2433.75</v>
      </c>
      <c r="G98" s="128">
        <f t="shared" si="7"/>
        <v>2336.4</v>
      </c>
      <c r="H98" s="128">
        <f>'Ozone-Energy'!P88*10^6/86400 * 24</f>
        <v>6176.609523809524</v>
      </c>
      <c r="I98" s="129">
        <f>IF( J97+G98-H98*(1/$E$11) &lt; 0, 0, H98*(1/$E$11))</f>
        <v>0</v>
      </c>
      <c r="J98" s="129">
        <f t="shared" si="8"/>
        <v>2000</v>
      </c>
      <c r="K98">
        <f>IF(J98&lt;=0, 1, 0)</f>
        <v>0</v>
      </c>
    </row>
    <row r="99" spans="1:11">
      <c r="A99" s="87">
        <v>79</v>
      </c>
      <c r="B99" s="87" t="s">
        <v>263</v>
      </c>
      <c r="C99" s="87">
        <v>20</v>
      </c>
      <c r="D99" s="99">
        <v>11.8</v>
      </c>
      <c r="E99" s="128">
        <f t="shared" si="5"/>
        <v>16225.000000000002</v>
      </c>
      <c r="F99" s="128">
        <f t="shared" si="6"/>
        <v>2433.75</v>
      </c>
      <c r="G99" s="128">
        <f t="shared" si="7"/>
        <v>2336.4</v>
      </c>
      <c r="H99" s="128">
        <f>'Ozone-Energy'!P89*10^6/86400 * 24</f>
        <v>6176.609523809524</v>
      </c>
      <c r="I99" s="129">
        <f>IF( J98+G99-H99*(1/$E$11) &lt; 0, 0, H99*(1/$E$11))</f>
        <v>0</v>
      </c>
      <c r="J99" s="129">
        <f t="shared" si="8"/>
        <v>2000</v>
      </c>
      <c r="K99">
        <f>IF(J99&lt;=0, 1, 0)</f>
        <v>0</v>
      </c>
    </row>
    <row r="100" spans="1:11">
      <c r="A100" s="87">
        <v>80</v>
      </c>
      <c r="B100" s="87" t="s">
        <v>263</v>
      </c>
      <c r="C100" s="87">
        <v>21</v>
      </c>
      <c r="D100" s="99">
        <v>11.8</v>
      </c>
      <c r="E100" s="128">
        <f t="shared" si="5"/>
        <v>16225.000000000002</v>
      </c>
      <c r="F100" s="128">
        <f t="shared" si="6"/>
        <v>2433.75</v>
      </c>
      <c r="G100" s="128">
        <f t="shared" si="7"/>
        <v>2336.4</v>
      </c>
      <c r="H100" s="128">
        <f>'Ozone-Energy'!P90*10^6/86400 * 24</f>
        <v>24838.895238095232</v>
      </c>
      <c r="I100" s="129">
        <f>IF( J99+G100-H100*(1/$E$11) &lt; 0, 0, H100*(1/$E$11))</f>
        <v>0</v>
      </c>
      <c r="J100" s="129">
        <f t="shared" si="8"/>
        <v>2000</v>
      </c>
      <c r="K100">
        <f>IF(J100&lt;=0, 1, 0)</f>
        <v>0</v>
      </c>
    </row>
    <row r="101" spans="1:11">
      <c r="A101" s="87">
        <v>81</v>
      </c>
      <c r="B101" s="87" t="s">
        <v>263</v>
      </c>
      <c r="C101" s="87">
        <v>22</v>
      </c>
      <c r="D101" s="99">
        <v>11.8</v>
      </c>
      <c r="E101" s="128">
        <f t="shared" si="5"/>
        <v>16225.000000000002</v>
      </c>
      <c r="F101" s="128">
        <f t="shared" si="6"/>
        <v>2433.75</v>
      </c>
      <c r="G101" s="128">
        <f t="shared" si="7"/>
        <v>2336.4</v>
      </c>
      <c r="H101" s="128">
        <f>'Ozone-Energy'!P91*10^6/86400 * 24</f>
        <v>9286.9904761904763</v>
      </c>
      <c r="I101" s="129">
        <f>IF( J100+G101-H101*(1/$E$11) &lt; 0, 0, H101*(1/$E$11))</f>
        <v>0</v>
      </c>
      <c r="J101" s="129">
        <f t="shared" si="8"/>
        <v>2000</v>
      </c>
      <c r="K101">
        <f>IF(J101&lt;=0, 1, 0)</f>
        <v>0</v>
      </c>
    </row>
    <row r="102" spans="1:11">
      <c r="A102" s="87">
        <v>82</v>
      </c>
      <c r="B102" s="87" t="s">
        <v>263</v>
      </c>
      <c r="C102" s="87">
        <v>23</v>
      </c>
      <c r="D102" s="99">
        <v>11.8</v>
      </c>
      <c r="E102" s="128">
        <f t="shared" si="5"/>
        <v>16225.000000000002</v>
      </c>
      <c r="F102" s="128">
        <f t="shared" si="6"/>
        <v>2433.75</v>
      </c>
      <c r="G102" s="128">
        <f t="shared" si="7"/>
        <v>2336.4</v>
      </c>
      <c r="H102" s="128">
        <f>'Ozone-Energy'!P92*10^6/86400 * 24</f>
        <v>1200</v>
      </c>
      <c r="I102" s="129">
        <f>IF( J101+G102-H102*(1/$E$11) &lt; 0, 0, H102*(1/$E$11))</f>
        <v>1250</v>
      </c>
      <c r="J102" s="129">
        <f t="shared" si="8"/>
        <v>2000</v>
      </c>
      <c r="K102">
        <f>IF(J102&lt;=0, 1, 0)</f>
        <v>0</v>
      </c>
    </row>
    <row r="103" spans="1:11">
      <c r="A103" s="87">
        <v>83</v>
      </c>
      <c r="B103" s="87" t="s">
        <v>263</v>
      </c>
      <c r="C103" s="87">
        <v>24</v>
      </c>
      <c r="D103" s="99">
        <v>11.8</v>
      </c>
      <c r="E103" s="128">
        <f t="shared" si="5"/>
        <v>16225.000000000002</v>
      </c>
      <c r="F103" s="128">
        <f t="shared" si="6"/>
        <v>2433.75</v>
      </c>
      <c r="G103" s="128">
        <f t="shared" si="7"/>
        <v>2336.4</v>
      </c>
      <c r="H103" s="128">
        <f>'Ozone-Energy'!P93*10^6/86400 * 24</f>
        <v>13641.523809523809</v>
      </c>
      <c r="I103" s="129">
        <f>IF( J102+G103-H103*(1/$E$11) &lt; 0, 0, H103*(1/$E$11))</f>
        <v>0</v>
      </c>
      <c r="J103" s="129">
        <f t="shared" si="8"/>
        <v>2000</v>
      </c>
      <c r="K103">
        <f>IF(J103&lt;=0, 1, 0)</f>
        <v>0</v>
      </c>
    </row>
    <row r="104" spans="1:11">
      <c r="A104" s="87">
        <v>84</v>
      </c>
      <c r="B104" s="87" t="s">
        <v>263</v>
      </c>
      <c r="C104" s="87">
        <v>25</v>
      </c>
      <c r="D104" s="99">
        <v>11.8</v>
      </c>
      <c r="E104" s="128">
        <f t="shared" si="5"/>
        <v>16225.000000000002</v>
      </c>
      <c r="F104" s="128">
        <f t="shared" si="6"/>
        <v>2433.75</v>
      </c>
      <c r="G104" s="128">
        <f t="shared" si="7"/>
        <v>2336.4</v>
      </c>
      <c r="H104" s="128">
        <f>'Ozone-Energy'!P94*10^6/86400 * 24</f>
        <v>97621.809523809527</v>
      </c>
      <c r="I104" s="129">
        <f>IF( J103+G104-H104*(1/$E$11) &lt; 0, 0, H104*(1/$E$11))</f>
        <v>0</v>
      </c>
      <c r="J104" s="129">
        <f t="shared" si="8"/>
        <v>2000</v>
      </c>
      <c r="K104">
        <f>IF(J104&lt;=0, 1, 0)</f>
        <v>0</v>
      </c>
    </row>
    <row r="105" spans="1:11">
      <c r="A105" s="87">
        <v>85</v>
      </c>
      <c r="B105" s="87" t="s">
        <v>263</v>
      </c>
      <c r="C105" s="87">
        <v>26</v>
      </c>
      <c r="D105" s="99">
        <v>11.8</v>
      </c>
      <c r="E105" s="128">
        <f t="shared" si="5"/>
        <v>16225.000000000002</v>
      </c>
      <c r="F105" s="128">
        <f t="shared" si="6"/>
        <v>2433.75</v>
      </c>
      <c r="G105" s="128">
        <f t="shared" si="7"/>
        <v>2336.4</v>
      </c>
      <c r="H105" s="128">
        <f>'Ozone-Energy'!P95*10^6/86400 * 24</f>
        <v>1822.0761904761905</v>
      </c>
      <c r="I105" s="129">
        <f>IF( J104+G105-H105*(1/$E$11) &lt; 0, 0, H105*(1/$E$11))</f>
        <v>1897.9960317460318</v>
      </c>
      <c r="J105" s="129">
        <f t="shared" si="8"/>
        <v>2000</v>
      </c>
      <c r="K105">
        <f>IF(J105&lt;=0, 1, 0)</f>
        <v>0</v>
      </c>
    </row>
    <row r="106" spans="1:11">
      <c r="A106" s="87">
        <v>86</v>
      </c>
      <c r="B106" s="87" t="s">
        <v>263</v>
      </c>
      <c r="C106" s="87">
        <v>27</v>
      </c>
      <c r="D106" s="99">
        <v>11.8</v>
      </c>
      <c r="E106" s="128">
        <f t="shared" si="5"/>
        <v>16225.000000000002</v>
      </c>
      <c r="F106" s="128">
        <f t="shared" si="6"/>
        <v>2433.75</v>
      </c>
      <c r="G106" s="128">
        <f t="shared" si="7"/>
        <v>2336.4</v>
      </c>
      <c r="H106" s="128">
        <f>'Ozone-Energy'!P96*10^6/86400 * 24</f>
        <v>14885.67619047619</v>
      </c>
      <c r="I106" s="129">
        <f>IF( J105+G106-H106*(1/$E$11) &lt; 0, 0, H106*(1/$E$11))</f>
        <v>0</v>
      </c>
      <c r="J106" s="129">
        <f t="shared" si="8"/>
        <v>2000</v>
      </c>
      <c r="K106">
        <f>IF(J106&lt;=0, 1, 0)</f>
        <v>0</v>
      </c>
    </row>
    <row r="107" spans="1:11">
      <c r="A107" s="87">
        <v>87</v>
      </c>
      <c r="B107" s="87" t="s">
        <v>263</v>
      </c>
      <c r="C107" s="87">
        <v>28</v>
      </c>
      <c r="D107" s="99">
        <v>11.8</v>
      </c>
      <c r="E107" s="128">
        <f t="shared" si="5"/>
        <v>16225.000000000002</v>
      </c>
      <c r="F107" s="128">
        <f t="shared" si="6"/>
        <v>2433.75</v>
      </c>
      <c r="G107" s="128">
        <f t="shared" si="7"/>
        <v>2336.4</v>
      </c>
      <c r="H107" s="128">
        <f>'Ozone-Energy'!P97*10^6/86400 * 24</f>
        <v>74604.990476190491</v>
      </c>
      <c r="I107" s="129">
        <f>IF( J106+G107-H107*(1/$E$11) &lt; 0, 0, H107*(1/$E$11))</f>
        <v>0</v>
      </c>
      <c r="J107" s="129">
        <f t="shared" si="8"/>
        <v>2000</v>
      </c>
      <c r="K107">
        <f>IF(J107&lt;=0, 1, 0)</f>
        <v>0</v>
      </c>
    </row>
    <row r="108" spans="1:11">
      <c r="A108" s="87">
        <v>88</v>
      </c>
      <c r="B108" s="87" t="s">
        <v>263</v>
      </c>
      <c r="C108" s="87">
        <v>29</v>
      </c>
      <c r="D108" s="99">
        <v>11.8</v>
      </c>
      <c r="E108" s="128">
        <f t="shared" si="5"/>
        <v>16225.000000000002</v>
      </c>
      <c r="F108" s="128">
        <f t="shared" si="6"/>
        <v>2433.75</v>
      </c>
      <c r="G108" s="128">
        <f t="shared" si="7"/>
        <v>2336.4</v>
      </c>
      <c r="H108" s="128">
        <f>'Ozone-Energy'!P98*10^6/86400 * 24</f>
        <v>130591.84761904764</v>
      </c>
      <c r="I108" s="129">
        <f>IF( J107+G108-H108*(1/$E$11) &lt; 0, 0, H108*(1/$E$11))</f>
        <v>0</v>
      </c>
      <c r="J108" s="129">
        <f t="shared" si="8"/>
        <v>2000</v>
      </c>
      <c r="K108">
        <f>IF(J108&lt;=0, 1, 0)</f>
        <v>0</v>
      </c>
    </row>
    <row r="109" spans="1:11">
      <c r="A109" s="87">
        <v>89</v>
      </c>
      <c r="B109" s="87" t="s">
        <v>263</v>
      </c>
      <c r="C109" s="87">
        <v>30</v>
      </c>
      <c r="D109" s="99">
        <v>11.8</v>
      </c>
      <c r="E109" s="128">
        <f t="shared" si="5"/>
        <v>16225.000000000002</v>
      </c>
      <c r="F109" s="128">
        <f t="shared" si="6"/>
        <v>2433.75</v>
      </c>
      <c r="G109" s="128">
        <f t="shared" si="7"/>
        <v>2336.4</v>
      </c>
      <c r="H109" s="128">
        <f>'Ozone-Energy'!P99*10^6/86400 * 24</f>
        <v>10531.142857142861</v>
      </c>
      <c r="I109" s="129">
        <f>IF( J108+G109-H109*(1/$E$11) &lt; 0, 0, H109*(1/$E$11))</f>
        <v>0</v>
      </c>
      <c r="J109" s="129">
        <f t="shared" si="8"/>
        <v>2000</v>
      </c>
      <c r="K109">
        <f>IF(J109&lt;=0, 1, 0)</f>
        <v>0</v>
      </c>
    </row>
    <row r="110" spans="1:11">
      <c r="A110" s="87">
        <v>90</v>
      </c>
      <c r="B110" s="87" t="s">
        <v>263</v>
      </c>
      <c r="C110" s="87">
        <v>31</v>
      </c>
      <c r="D110" s="99">
        <v>11.8</v>
      </c>
      <c r="E110" s="128">
        <f t="shared" si="5"/>
        <v>16225.000000000002</v>
      </c>
      <c r="F110" s="128">
        <f t="shared" si="6"/>
        <v>2433.75</v>
      </c>
      <c r="G110" s="128">
        <f t="shared" si="7"/>
        <v>2336.4</v>
      </c>
      <c r="H110" s="128">
        <f>'Ozone-Energy'!P100*10^6/86400 * 24</f>
        <v>1200</v>
      </c>
      <c r="I110" s="129">
        <f>IF( J109+G110-H110*(1/$E$11) &lt; 0, 0, H110*(1/$E$11))</f>
        <v>1250</v>
      </c>
      <c r="J110" s="129">
        <f t="shared" si="8"/>
        <v>2000</v>
      </c>
      <c r="K110">
        <f>IF(J110&lt;=0, 1, 0)</f>
        <v>0</v>
      </c>
    </row>
    <row r="111" spans="1:11">
      <c r="A111" s="87">
        <v>91</v>
      </c>
      <c r="B111" s="87" t="s">
        <v>264</v>
      </c>
      <c r="C111" s="87">
        <v>1</v>
      </c>
      <c r="D111" s="99">
        <v>13.6</v>
      </c>
      <c r="E111" s="128">
        <f t="shared" si="5"/>
        <v>18700</v>
      </c>
      <c r="F111" s="128">
        <f t="shared" si="6"/>
        <v>2805</v>
      </c>
      <c r="G111" s="128">
        <f t="shared" si="7"/>
        <v>2692.7999999999997</v>
      </c>
      <c r="H111" s="128">
        <f>'Ozone-Energy'!P101*10^6/86400 * 24</f>
        <v>1200</v>
      </c>
      <c r="I111" s="129">
        <f>IF( J110+G111-H111*(1/$E$11) &lt; 0, 0, H111*(1/$E$11))</f>
        <v>1250</v>
      </c>
      <c r="J111" s="129">
        <f t="shared" si="8"/>
        <v>2000</v>
      </c>
      <c r="K111">
        <f>IF(J111&lt;=0, 1, 0)</f>
        <v>0</v>
      </c>
    </row>
    <row r="112" spans="1:11">
      <c r="A112" s="87">
        <v>92</v>
      </c>
      <c r="B112" s="87" t="s">
        <v>264</v>
      </c>
      <c r="C112" s="87">
        <v>2</v>
      </c>
      <c r="D112" s="99">
        <v>13.6</v>
      </c>
      <c r="E112" s="128">
        <f t="shared" si="5"/>
        <v>18700</v>
      </c>
      <c r="F112" s="128">
        <f t="shared" si="6"/>
        <v>2805</v>
      </c>
      <c r="G112" s="128">
        <f t="shared" si="7"/>
        <v>2692.7999999999997</v>
      </c>
      <c r="H112" s="128">
        <f>'Ozone-Energy'!P102*10^6/86400 * 24</f>
        <v>18618.133333333335</v>
      </c>
      <c r="I112" s="129">
        <f>IF( J111+G112-H112*(1/$E$11) &lt; 0, 0, H112*(1/$E$11))</f>
        <v>0</v>
      </c>
      <c r="J112" s="129">
        <f t="shared" si="8"/>
        <v>2000</v>
      </c>
      <c r="K112">
        <f>IF(J112&lt;=0, 1, 0)</f>
        <v>0</v>
      </c>
    </row>
    <row r="113" spans="1:11">
      <c r="A113" s="87">
        <v>93</v>
      </c>
      <c r="B113" s="87" t="s">
        <v>264</v>
      </c>
      <c r="C113" s="87">
        <v>3</v>
      </c>
      <c r="D113" s="99">
        <v>13.6</v>
      </c>
      <c r="E113" s="128">
        <f t="shared" si="5"/>
        <v>18700</v>
      </c>
      <c r="F113" s="128">
        <f t="shared" si="6"/>
        <v>2805</v>
      </c>
      <c r="G113" s="128">
        <f t="shared" si="7"/>
        <v>2692.7999999999997</v>
      </c>
      <c r="H113" s="128">
        <f>'Ozone-Energy'!P103*10^6/86400 * 24</f>
        <v>64651.771428571417</v>
      </c>
      <c r="I113" s="129">
        <f>IF( J112+G113-H113*(1/$E$11) &lt; 0, 0, H113*(1/$E$11))</f>
        <v>0</v>
      </c>
      <c r="J113" s="129">
        <f t="shared" si="8"/>
        <v>2000</v>
      </c>
      <c r="K113">
        <f>IF(J113&lt;=0, 1, 0)</f>
        <v>0</v>
      </c>
    </row>
    <row r="114" spans="1:11">
      <c r="A114" s="87">
        <v>94</v>
      </c>
      <c r="B114" s="87" t="s">
        <v>264</v>
      </c>
      <c r="C114" s="87">
        <v>4</v>
      </c>
      <c r="D114" s="99">
        <v>13.6</v>
      </c>
      <c r="E114" s="128">
        <f t="shared" si="5"/>
        <v>18700</v>
      </c>
      <c r="F114" s="128">
        <f t="shared" si="6"/>
        <v>2805</v>
      </c>
      <c r="G114" s="128">
        <f t="shared" si="7"/>
        <v>2692.7999999999997</v>
      </c>
      <c r="H114" s="128">
        <f>'Ozone-Energy'!P104*10^6/86400 * 24</f>
        <v>9286.9904761904763</v>
      </c>
      <c r="I114" s="129">
        <f>IF( J113+G114-H114*(1/$E$11) &lt; 0, 0, H114*(1/$E$11))</f>
        <v>0</v>
      </c>
      <c r="J114" s="129">
        <f t="shared" si="8"/>
        <v>2000</v>
      </c>
      <c r="K114">
        <f>IF(J114&lt;=0, 1, 0)</f>
        <v>0</v>
      </c>
    </row>
    <row r="115" spans="1:11">
      <c r="A115" s="87">
        <v>95</v>
      </c>
      <c r="B115" s="87" t="s">
        <v>264</v>
      </c>
      <c r="C115" s="87">
        <v>5</v>
      </c>
      <c r="D115" s="99">
        <v>13.6</v>
      </c>
      <c r="E115" s="128">
        <f t="shared" si="5"/>
        <v>18700</v>
      </c>
      <c r="F115" s="128">
        <f t="shared" si="6"/>
        <v>2805</v>
      </c>
      <c r="G115" s="128">
        <f t="shared" si="7"/>
        <v>2692.7999999999997</v>
      </c>
      <c r="H115" s="128">
        <f>'Ozone-Energy'!P105*10^6/86400 * 24</f>
        <v>50655.057142857157</v>
      </c>
      <c r="I115" s="129">
        <f>IF( J114+G115-H115*(1/$E$11) &lt; 0, 0, H115*(1/$E$11))</f>
        <v>0</v>
      </c>
      <c r="J115" s="129">
        <f t="shared" si="8"/>
        <v>2000</v>
      </c>
      <c r="K115">
        <f>IF(J115&lt;=0, 1, 0)</f>
        <v>0</v>
      </c>
    </row>
    <row r="116" spans="1:11">
      <c r="A116" s="87">
        <v>96</v>
      </c>
      <c r="B116" s="87" t="s">
        <v>264</v>
      </c>
      <c r="C116" s="87">
        <v>6</v>
      </c>
      <c r="D116" s="99">
        <v>13.6</v>
      </c>
      <c r="E116" s="128">
        <f t="shared" si="5"/>
        <v>18700</v>
      </c>
      <c r="F116" s="128">
        <f t="shared" si="6"/>
        <v>2805</v>
      </c>
      <c r="G116" s="128">
        <f t="shared" si="7"/>
        <v>2692.7999999999997</v>
      </c>
      <c r="H116" s="128">
        <f>'Ozone-Energy'!P106*10^6/86400 * 24</f>
        <v>30437.580952380951</v>
      </c>
      <c r="I116" s="129">
        <f>IF( J115+G116-H116*(1/$E$11) &lt; 0, 0, H116*(1/$E$11))</f>
        <v>0</v>
      </c>
      <c r="J116" s="129">
        <f t="shared" si="8"/>
        <v>2000</v>
      </c>
      <c r="K116">
        <f>IF(J116&lt;=0, 1, 0)</f>
        <v>0</v>
      </c>
    </row>
    <row r="117" spans="1:11">
      <c r="A117" s="87">
        <v>97</v>
      </c>
      <c r="B117" s="87" t="s">
        <v>264</v>
      </c>
      <c r="C117" s="87">
        <v>7</v>
      </c>
      <c r="D117" s="99">
        <v>13.6</v>
      </c>
      <c r="E117" s="128">
        <f t="shared" si="5"/>
        <v>18700</v>
      </c>
      <c r="F117" s="128">
        <f t="shared" si="6"/>
        <v>2805</v>
      </c>
      <c r="G117" s="128">
        <f t="shared" si="7"/>
        <v>2692.7999999999997</v>
      </c>
      <c r="H117" s="128">
        <f>'Ozone-Energy'!P107*10^6/86400 * 24</f>
        <v>43501.180952380935</v>
      </c>
      <c r="I117" s="129">
        <f>IF( J116+G117-H117*(1/$E$11) &lt; 0, 0, H117*(1/$E$11))</f>
        <v>0</v>
      </c>
      <c r="J117" s="129">
        <f t="shared" si="8"/>
        <v>2000</v>
      </c>
      <c r="K117">
        <f>IF(J117&lt;=0, 1, 0)</f>
        <v>0</v>
      </c>
    </row>
    <row r="118" spans="1:11">
      <c r="A118" s="87">
        <v>98</v>
      </c>
      <c r="B118" s="87" t="s">
        <v>264</v>
      </c>
      <c r="C118" s="87">
        <v>8</v>
      </c>
      <c r="D118" s="99">
        <v>13.6</v>
      </c>
      <c r="E118" s="128">
        <f t="shared" si="5"/>
        <v>18700</v>
      </c>
      <c r="F118" s="128">
        <f t="shared" si="6"/>
        <v>2805</v>
      </c>
      <c r="G118" s="128">
        <f t="shared" si="7"/>
        <v>2692.7999999999997</v>
      </c>
      <c r="H118" s="128">
        <f>'Ozone-Energy'!P108*10^6/86400 * 24</f>
        <v>18618.133333333335</v>
      </c>
      <c r="I118" s="129">
        <f>IF( J117+G118-H118*(1/$E$11) &lt; 0, 0, H118*(1/$E$11))</f>
        <v>0</v>
      </c>
      <c r="J118" s="129">
        <f t="shared" si="8"/>
        <v>2000</v>
      </c>
      <c r="K118">
        <f>IF(J118&lt;=0, 1, 0)</f>
        <v>0</v>
      </c>
    </row>
    <row r="119" spans="1:11">
      <c r="A119" s="87">
        <v>99</v>
      </c>
      <c r="B119" s="87" t="s">
        <v>264</v>
      </c>
      <c r="C119" s="87">
        <v>9</v>
      </c>
      <c r="D119" s="99">
        <v>13.6</v>
      </c>
      <c r="E119" s="128">
        <f t="shared" si="5"/>
        <v>18700</v>
      </c>
      <c r="F119" s="128">
        <f t="shared" si="6"/>
        <v>2805</v>
      </c>
      <c r="G119" s="128">
        <f t="shared" si="7"/>
        <v>2692.7999999999997</v>
      </c>
      <c r="H119" s="128">
        <f>'Ozone-Energy'!P109*10^6/86400 * 24</f>
        <v>1200</v>
      </c>
      <c r="I119" s="129">
        <f>IF( J118+G119-H119*(1/$E$11) &lt; 0, 0, H119*(1/$E$11))</f>
        <v>1250</v>
      </c>
      <c r="J119" s="129">
        <f t="shared" si="8"/>
        <v>2000</v>
      </c>
      <c r="K119">
        <f>IF(J119&lt;=0, 1, 0)</f>
        <v>0</v>
      </c>
    </row>
    <row r="120" spans="1:11">
      <c r="A120" s="87">
        <v>100</v>
      </c>
      <c r="B120" s="87" t="s">
        <v>264</v>
      </c>
      <c r="C120" s="87">
        <v>10</v>
      </c>
      <c r="D120" s="99">
        <v>13.6</v>
      </c>
      <c r="E120" s="128">
        <f t="shared" si="5"/>
        <v>18700</v>
      </c>
      <c r="F120" s="128">
        <f t="shared" si="6"/>
        <v>2805</v>
      </c>
      <c r="G120" s="128">
        <f t="shared" si="7"/>
        <v>2692.7999999999997</v>
      </c>
      <c r="H120" s="128">
        <f>'Ozone-Energy'!P110*10^6/86400 * 24</f>
        <v>52832.323809523805</v>
      </c>
      <c r="I120" s="129">
        <f>IF( J119+G120-H120*(1/$E$11) &lt; 0, 0, H120*(1/$E$11))</f>
        <v>0</v>
      </c>
      <c r="J120" s="129">
        <f t="shared" si="8"/>
        <v>2000</v>
      </c>
      <c r="K120">
        <f>IF(J120&lt;=0, 1, 0)</f>
        <v>0</v>
      </c>
    </row>
    <row r="121" spans="1:11">
      <c r="A121" s="87">
        <v>101</v>
      </c>
      <c r="B121" s="87" t="s">
        <v>264</v>
      </c>
      <c r="C121" s="87">
        <v>11</v>
      </c>
      <c r="D121" s="99">
        <v>13.6</v>
      </c>
      <c r="E121" s="128">
        <f t="shared" si="5"/>
        <v>18700</v>
      </c>
      <c r="F121" s="128">
        <f t="shared" si="6"/>
        <v>2805</v>
      </c>
      <c r="G121" s="128">
        <f t="shared" si="7"/>
        <v>2692.7999999999997</v>
      </c>
      <c r="H121" s="128">
        <f>'Ozone-Energy'!P111*10^6/86400 * 24</f>
        <v>1200</v>
      </c>
      <c r="I121" s="129">
        <f>IF( J120+G121-H121*(1/$E$11) &lt; 0, 0, H121*(1/$E$11))</f>
        <v>1250</v>
      </c>
      <c r="J121" s="129">
        <f t="shared" si="8"/>
        <v>2000</v>
      </c>
      <c r="K121">
        <f>IF(J121&lt;=0, 1, 0)</f>
        <v>0</v>
      </c>
    </row>
    <row r="122" spans="1:11">
      <c r="A122" s="87">
        <v>102</v>
      </c>
      <c r="B122" s="87" t="s">
        <v>264</v>
      </c>
      <c r="C122" s="87">
        <v>12</v>
      </c>
      <c r="D122" s="99">
        <v>13.6</v>
      </c>
      <c r="E122" s="128">
        <f t="shared" si="5"/>
        <v>18700</v>
      </c>
      <c r="F122" s="128">
        <f t="shared" si="6"/>
        <v>2805</v>
      </c>
      <c r="G122" s="128">
        <f t="shared" si="7"/>
        <v>2692.7999999999997</v>
      </c>
      <c r="H122" s="128">
        <f>'Ozone-Energy'!P112*10^6/86400 * 24</f>
        <v>1200</v>
      </c>
      <c r="I122" s="129">
        <f>IF( J121+G122-H122*(1/$E$11) &lt; 0, 0, H122*(1/$E$11))</f>
        <v>1250</v>
      </c>
      <c r="J122" s="129">
        <f t="shared" si="8"/>
        <v>2000</v>
      </c>
      <c r="K122">
        <f>IF(J122&lt;=0, 1, 0)</f>
        <v>0</v>
      </c>
    </row>
    <row r="123" spans="1:11">
      <c r="A123" s="87">
        <v>103</v>
      </c>
      <c r="B123" s="87" t="s">
        <v>264</v>
      </c>
      <c r="C123" s="87">
        <v>13</v>
      </c>
      <c r="D123" s="99">
        <v>13.6</v>
      </c>
      <c r="E123" s="128">
        <f t="shared" si="5"/>
        <v>18700</v>
      </c>
      <c r="F123" s="128">
        <f t="shared" si="6"/>
        <v>2805</v>
      </c>
      <c r="G123" s="128">
        <f t="shared" si="7"/>
        <v>2692.7999999999997</v>
      </c>
      <c r="H123" s="128">
        <f>'Ozone-Energy'!P113*10^6/86400 * 24</f>
        <v>1200</v>
      </c>
      <c r="I123" s="129">
        <f>IF( J122+G123-H123*(1/$E$11) &lt; 0, 0, H123*(1/$E$11))</f>
        <v>1250</v>
      </c>
      <c r="J123" s="129">
        <f t="shared" si="8"/>
        <v>2000</v>
      </c>
      <c r="K123">
        <f>IF(J123&lt;=0, 1, 0)</f>
        <v>0</v>
      </c>
    </row>
    <row r="124" spans="1:11">
      <c r="A124" s="87">
        <v>104</v>
      </c>
      <c r="B124" s="87" t="s">
        <v>264</v>
      </c>
      <c r="C124" s="87">
        <v>14</v>
      </c>
      <c r="D124" s="99">
        <v>13.6</v>
      </c>
      <c r="E124" s="128">
        <f t="shared" si="5"/>
        <v>18700</v>
      </c>
      <c r="F124" s="128">
        <f t="shared" si="6"/>
        <v>2805</v>
      </c>
      <c r="G124" s="128">
        <f t="shared" si="7"/>
        <v>2692.7999999999997</v>
      </c>
      <c r="H124" s="128">
        <f>'Ozone-Energy'!P114*10^6/86400 * 24</f>
        <v>47233.638095238108</v>
      </c>
      <c r="I124" s="129">
        <f>IF( J123+G124-H124*(1/$E$11) &lt; 0, 0, H124*(1/$E$11))</f>
        <v>0</v>
      </c>
      <c r="J124" s="129">
        <f t="shared" si="8"/>
        <v>2000</v>
      </c>
      <c r="K124">
        <f>IF(J124&lt;=0, 1, 0)</f>
        <v>0</v>
      </c>
    </row>
    <row r="125" spans="1:11">
      <c r="A125" s="87">
        <v>105</v>
      </c>
      <c r="B125" s="87" t="s">
        <v>264</v>
      </c>
      <c r="C125" s="87">
        <v>15</v>
      </c>
      <c r="D125" s="99">
        <v>13.6</v>
      </c>
      <c r="E125" s="128">
        <f t="shared" si="5"/>
        <v>18700</v>
      </c>
      <c r="F125" s="128">
        <f t="shared" si="6"/>
        <v>2805</v>
      </c>
      <c r="G125" s="128">
        <f t="shared" si="7"/>
        <v>2692.7999999999997</v>
      </c>
      <c r="H125" s="128">
        <f>'Ozone-Energy'!P115*10^6/86400 * 24</f>
        <v>65895.923809523811</v>
      </c>
      <c r="I125" s="129">
        <f>IF( J124+G125-H125*(1/$E$11) &lt; 0, 0, H125*(1/$E$11))</f>
        <v>0</v>
      </c>
      <c r="J125" s="129">
        <f t="shared" si="8"/>
        <v>2000</v>
      </c>
      <c r="K125">
        <f>IF(J125&lt;=0, 1, 0)</f>
        <v>0</v>
      </c>
    </row>
    <row r="126" spans="1:11">
      <c r="A126" s="87">
        <v>106</v>
      </c>
      <c r="B126" s="87" t="s">
        <v>264</v>
      </c>
      <c r="C126" s="87">
        <v>16</v>
      </c>
      <c r="D126" s="99">
        <v>13.6</v>
      </c>
      <c r="E126" s="128">
        <f t="shared" si="5"/>
        <v>18700</v>
      </c>
      <c r="F126" s="128">
        <f t="shared" si="6"/>
        <v>2805</v>
      </c>
      <c r="G126" s="128">
        <f t="shared" si="7"/>
        <v>2692.7999999999997</v>
      </c>
      <c r="H126" s="128">
        <f>'Ozone-Energy'!P116*10^6/86400 * 24</f>
        <v>117528.24761904757</v>
      </c>
      <c r="I126" s="129">
        <f>IF( J125+G126-H126*(1/$E$11) &lt; 0, 0, H126*(1/$E$11))</f>
        <v>0</v>
      </c>
      <c r="J126" s="129">
        <f t="shared" si="8"/>
        <v>2000</v>
      </c>
      <c r="K126">
        <f>IF(J126&lt;=0, 1, 0)</f>
        <v>0</v>
      </c>
    </row>
    <row r="127" spans="1:11">
      <c r="A127" s="87">
        <v>107</v>
      </c>
      <c r="B127" s="87" t="s">
        <v>264</v>
      </c>
      <c r="C127" s="87">
        <v>17</v>
      </c>
      <c r="D127" s="99">
        <v>13.6</v>
      </c>
      <c r="E127" s="128">
        <f t="shared" si="5"/>
        <v>18700</v>
      </c>
      <c r="F127" s="128">
        <f t="shared" si="6"/>
        <v>2805</v>
      </c>
      <c r="G127" s="128">
        <f t="shared" si="7"/>
        <v>2692.7999999999997</v>
      </c>
      <c r="H127" s="128">
        <f>'Ozone-Energy'!P117*10^6/86400 * 24</f>
        <v>31681.733333333337</v>
      </c>
      <c r="I127" s="129">
        <f>IF( J126+G127-H127*(1/$E$11) &lt; 0, 0, H127*(1/$E$11))</f>
        <v>0</v>
      </c>
      <c r="J127" s="129">
        <f t="shared" si="8"/>
        <v>2000</v>
      </c>
      <c r="K127">
        <f>IF(J127&lt;=0, 1, 0)</f>
        <v>0</v>
      </c>
    </row>
    <row r="128" spans="1:11">
      <c r="A128" s="87">
        <v>108</v>
      </c>
      <c r="B128" s="87" t="s">
        <v>264</v>
      </c>
      <c r="C128" s="87">
        <v>18</v>
      </c>
      <c r="D128" s="99">
        <v>13.6</v>
      </c>
      <c r="E128" s="128">
        <f t="shared" si="5"/>
        <v>18700</v>
      </c>
      <c r="F128" s="128">
        <f t="shared" si="6"/>
        <v>2805</v>
      </c>
      <c r="G128" s="128">
        <f t="shared" si="7"/>
        <v>2692.7999999999997</v>
      </c>
      <c r="H128" s="128">
        <f>'Ozone-Energy'!P118*10^6/86400 * 24</f>
        <v>7109.7238095238099</v>
      </c>
      <c r="I128" s="129">
        <f>IF( J127+G128-H128*(1/$E$11) &lt; 0, 0, H128*(1/$E$11))</f>
        <v>0</v>
      </c>
      <c r="J128" s="129">
        <f t="shared" si="8"/>
        <v>2000</v>
      </c>
      <c r="K128">
        <f>IF(J128&lt;=0, 1, 0)</f>
        <v>0</v>
      </c>
    </row>
    <row r="129" spans="1:11">
      <c r="A129" s="87">
        <v>109</v>
      </c>
      <c r="B129" s="87" t="s">
        <v>264</v>
      </c>
      <c r="C129" s="87">
        <v>19</v>
      </c>
      <c r="D129" s="99">
        <v>13.6</v>
      </c>
      <c r="E129" s="128">
        <f t="shared" si="5"/>
        <v>18700</v>
      </c>
      <c r="F129" s="128">
        <f t="shared" si="6"/>
        <v>2805</v>
      </c>
      <c r="G129" s="128">
        <f t="shared" si="7"/>
        <v>2692.7999999999997</v>
      </c>
      <c r="H129" s="128">
        <f>'Ozone-Energy'!P119*10^6/86400 * 24</f>
        <v>66518</v>
      </c>
      <c r="I129" s="129">
        <f>IF( J128+G129-H129*(1/$E$11) &lt; 0, 0, H129*(1/$E$11))</f>
        <v>0</v>
      </c>
      <c r="J129" s="129">
        <f t="shared" si="8"/>
        <v>2000</v>
      </c>
      <c r="K129">
        <f>IF(J129&lt;=0, 1, 0)</f>
        <v>0</v>
      </c>
    </row>
    <row r="130" spans="1:11">
      <c r="A130" s="87">
        <v>110</v>
      </c>
      <c r="B130" s="87" t="s">
        <v>264</v>
      </c>
      <c r="C130" s="87">
        <v>20</v>
      </c>
      <c r="D130" s="99">
        <v>13.6</v>
      </c>
      <c r="E130" s="128">
        <f t="shared" si="5"/>
        <v>18700</v>
      </c>
      <c r="F130" s="128">
        <f t="shared" si="6"/>
        <v>2805</v>
      </c>
      <c r="G130" s="128">
        <f t="shared" si="7"/>
        <v>2692.7999999999997</v>
      </c>
      <c r="H130" s="128">
        <f>'Ozone-Energy'!P120*10^6/86400 * 24</f>
        <v>94511.428571428565</v>
      </c>
      <c r="I130" s="129">
        <f>IF( J129+G130-H130*(1/$E$11) &lt; 0, 0, H130*(1/$E$11))</f>
        <v>0</v>
      </c>
      <c r="J130" s="129">
        <f t="shared" si="8"/>
        <v>2000</v>
      </c>
      <c r="K130">
        <f>IF(J130&lt;=0, 1, 0)</f>
        <v>0</v>
      </c>
    </row>
    <row r="131" spans="1:11">
      <c r="A131" s="87">
        <v>111</v>
      </c>
      <c r="B131" s="87" t="s">
        <v>264</v>
      </c>
      <c r="C131" s="87">
        <v>21</v>
      </c>
      <c r="D131" s="99">
        <v>13.6</v>
      </c>
      <c r="E131" s="128">
        <f t="shared" si="5"/>
        <v>18700</v>
      </c>
      <c r="F131" s="128">
        <f t="shared" si="6"/>
        <v>2805</v>
      </c>
      <c r="G131" s="128">
        <f t="shared" si="7"/>
        <v>2692.7999999999997</v>
      </c>
      <c r="H131" s="128">
        <f>'Ozone-Energy'!P121*10^6/86400 * 24</f>
        <v>1200</v>
      </c>
      <c r="I131" s="129">
        <f>IF( J130+G131-H131*(1/$E$11) &lt; 0, 0, H131*(1/$E$11))</f>
        <v>1250</v>
      </c>
      <c r="J131" s="129">
        <f t="shared" si="8"/>
        <v>2000</v>
      </c>
      <c r="K131">
        <f>IF(J131&lt;=0, 1, 0)</f>
        <v>0</v>
      </c>
    </row>
    <row r="132" spans="1:11">
      <c r="A132" s="87">
        <v>112</v>
      </c>
      <c r="B132" s="87" t="s">
        <v>264</v>
      </c>
      <c r="C132" s="87">
        <v>22</v>
      </c>
      <c r="D132" s="99">
        <v>13.6</v>
      </c>
      <c r="E132" s="128">
        <f t="shared" si="5"/>
        <v>18700</v>
      </c>
      <c r="F132" s="128">
        <f t="shared" si="6"/>
        <v>2805</v>
      </c>
      <c r="G132" s="128">
        <f t="shared" si="7"/>
        <v>2692.7999999999997</v>
      </c>
      <c r="H132" s="128">
        <f>'Ozone-Energy'!P122*10^6/86400 * 24</f>
        <v>14885.67619047619</v>
      </c>
      <c r="I132" s="129">
        <f>IF( J131+G132-H132*(1/$E$11) &lt; 0, 0, H132*(1/$E$11))</f>
        <v>0</v>
      </c>
      <c r="J132" s="129">
        <f t="shared" si="8"/>
        <v>2000</v>
      </c>
      <c r="K132">
        <f>IF(J132&lt;=0, 1, 0)</f>
        <v>0</v>
      </c>
    </row>
    <row r="133" spans="1:11">
      <c r="A133" s="87">
        <v>113</v>
      </c>
      <c r="B133" s="87" t="s">
        <v>264</v>
      </c>
      <c r="C133" s="87">
        <v>23</v>
      </c>
      <c r="D133" s="99">
        <v>13.6</v>
      </c>
      <c r="E133" s="128">
        <f t="shared" si="5"/>
        <v>18700</v>
      </c>
      <c r="F133" s="128">
        <f t="shared" si="6"/>
        <v>2805</v>
      </c>
      <c r="G133" s="128">
        <f t="shared" si="7"/>
        <v>2692.7999999999997</v>
      </c>
      <c r="H133" s="128">
        <f>'Ozone-Energy'!P123*10^6/86400 * 24</f>
        <v>41012.876190476192</v>
      </c>
      <c r="I133" s="129">
        <f>IF( J132+G133-H133*(1/$E$11) &lt; 0, 0, H133*(1/$E$11))</f>
        <v>0</v>
      </c>
      <c r="J133" s="129">
        <f t="shared" si="8"/>
        <v>2000</v>
      </c>
      <c r="K133">
        <f>IF(J133&lt;=0, 1, 0)</f>
        <v>0</v>
      </c>
    </row>
    <row r="134" spans="1:11">
      <c r="A134" s="87">
        <v>114</v>
      </c>
      <c r="B134" s="87" t="s">
        <v>264</v>
      </c>
      <c r="C134" s="87">
        <v>24</v>
      </c>
      <c r="D134" s="99">
        <v>13.6</v>
      </c>
      <c r="E134" s="128">
        <f t="shared" si="5"/>
        <v>18700</v>
      </c>
      <c r="F134" s="128">
        <f t="shared" si="6"/>
        <v>2805</v>
      </c>
      <c r="G134" s="128">
        <f t="shared" si="7"/>
        <v>2692.7999999999997</v>
      </c>
      <c r="H134" s="128">
        <f>'Ozone-Energy'!P124*10^6/86400 * 24</f>
        <v>82069.904761904749</v>
      </c>
      <c r="I134" s="129">
        <f>IF( J133+G134-H134*(1/$E$11) &lt; 0, 0, H134*(1/$E$11))</f>
        <v>0</v>
      </c>
      <c r="J134" s="129">
        <f t="shared" si="8"/>
        <v>2000</v>
      </c>
      <c r="K134">
        <f>IF(J134&lt;=0, 1, 0)</f>
        <v>0</v>
      </c>
    </row>
    <row r="135" spans="1:11">
      <c r="A135" s="87">
        <v>115</v>
      </c>
      <c r="B135" s="87" t="s">
        <v>264</v>
      </c>
      <c r="C135" s="87">
        <v>25</v>
      </c>
      <c r="D135" s="99">
        <v>13.6</v>
      </c>
      <c r="E135" s="128">
        <f t="shared" si="5"/>
        <v>18700</v>
      </c>
      <c r="F135" s="128">
        <f t="shared" si="6"/>
        <v>2805</v>
      </c>
      <c r="G135" s="128">
        <f t="shared" si="7"/>
        <v>2692.7999999999997</v>
      </c>
      <c r="H135" s="128">
        <f>'Ozone-Energy'!P125*10^6/86400 * 24</f>
        <v>6798.6857142857134</v>
      </c>
      <c r="I135" s="129">
        <f>IF( J134+G135-H135*(1/$E$11) &lt; 0, 0, H135*(1/$E$11))</f>
        <v>0</v>
      </c>
      <c r="J135" s="129">
        <f t="shared" si="8"/>
        <v>2000</v>
      </c>
      <c r="K135">
        <f>IF(J135&lt;=0, 1, 0)</f>
        <v>0</v>
      </c>
    </row>
    <row r="136" spans="1:11">
      <c r="A136" s="87">
        <v>116</v>
      </c>
      <c r="B136" s="87" t="s">
        <v>264</v>
      </c>
      <c r="C136" s="87">
        <v>26</v>
      </c>
      <c r="D136" s="99">
        <v>13.6</v>
      </c>
      <c r="E136" s="128">
        <f t="shared" si="5"/>
        <v>18700</v>
      </c>
      <c r="F136" s="128">
        <f t="shared" si="6"/>
        <v>2805</v>
      </c>
      <c r="G136" s="128">
        <f t="shared" si="7"/>
        <v>2692.7999999999997</v>
      </c>
      <c r="H136" s="128">
        <f>'Ozone-Energy'!P126*10^6/86400 * 24</f>
        <v>110063.33333333337</v>
      </c>
      <c r="I136" s="129">
        <f>IF( J135+G136-H136*(1/$E$11) &lt; 0, 0, H136*(1/$E$11))</f>
        <v>0</v>
      </c>
      <c r="J136" s="129">
        <f t="shared" si="8"/>
        <v>2000</v>
      </c>
      <c r="K136">
        <f>IF(J136&lt;=0, 1, 0)</f>
        <v>0</v>
      </c>
    </row>
    <row r="137" spans="1:11">
      <c r="A137" s="87">
        <v>117</v>
      </c>
      <c r="B137" s="87" t="s">
        <v>264</v>
      </c>
      <c r="C137" s="87">
        <v>27</v>
      </c>
      <c r="D137" s="99">
        <v>13.6</v>
      </c>
      <c r="E137" s="128">
        <f t="shared" si="5"/>
        <v>18700</v>
      </c>
      <c r="F137" s="128">
        <f t="shared" si="6"/>
        <v>2805</v>
      </c>
      <c r="G137" s="128">
        <f t="shared" si="7"/>
        <v>2692.7999999999997</v>
      </c>
      <c r="H137" s="128">
        <f>'Ozone-Energy'!P127*10^6/86400 * 24</f>
        <v>23594.742857142854</v>
      </c>
      <c r="I137" s="129">
        <f>IF( J136+G137-H137*(1/$E$11) &lt; 0, 0, H137*(1/$E$11))</f>
        <v>0</v>
      </c>
      <c r="J137" s="129">
        <f t="shared" si="8"/>
        <v>2000</v>
      </c>
      <c r="K137">
        <f>IF(J137&lt;=0, 1, 0)</f>
        <v>0</v>
      </c>
    </row>
    <row r="138" spans="1:11">
      <c r="A138" s="87">
        <v>118</v>
      </c>
      <c r="B138" s="87" t="s">
        <v>264</v>
      </c>
      <c r="C138" s="87">
        <v>28</v>
      </c>
      <c r="D138" s="99">
        <v>13.6</v>
      </c>
      <c r="E138" s="128">
        <f t="shared" si="5"/>
        <v>18700</v>
      </c>
      <c r="F138" s="128">
        <f t="shared" si="6"/>
        <v>2805</v>
      </c>
      <c r="G138" s="128">
        <f t="shared" si="7"/>
        <v>2692.7999999999997</v>
      </c>
      <c r="H138" s="128">
        <f>'Ozone-Energy'!P128*10^6/86400 * 24</f>
        <v>3688.304761904762</v>
      </c>
      <c r="I138" s="129">
        <f>IF( J137+G138-H138*(1/$E$11) &lt; 0, 0, H138*(1/$E$11))</f>
        <v>3841.9841269841272</v>
      </c>
      <c r="J138" s="129">
        <f t="shared" si="8"/>
        <v>2000</v>
      </c>
      <c r="K138">
        <f>IF(J138&lt;=0, 1, 0)</f>
        <v>0</v>
      </c>
    </row>
    <row r="139" spans="1:11">
      <c r="A139" s="87">
        <v>119</v>
      </c>
      <c r="B139" s="87" t="s">
        <v>264</v>
      </c>
      <c r="C139" s="87">
        <v>29</v>
      </c>
      <c r="D139" s="99">
        <v>13.6</v>
      </c>
      <c r="E139" s="128">
        <f t="shared" si="5"/>
        <v>18700</v>
      </c>
      <c r="F139" s="128">
        <f t="shared" si="6"/>
        <v>2805</v>
      </c>
      <c r="G139" s="128">
        <f t="shared" si="7"/>
        <v>2692.7999999999997</v>
      </c>
      <c r="H139" s="128">
        <f>'Ozone-Energy'!P129*10^6/86400 * 24</f>
        <v>1511.0380952380951</v>
      </c>
      <c r="I139" s="129">
        <f>IF( J138+G139-H139*(1/$E$11) &lt; 0, 0, H139*(1/$E$11))</f>
        <v>1573.9980158730159</v>
      </c>
      <c r="J139" s="129">
        <f t="shared" si="8"/>
        <v>850.81587301587206</v>
      </c>
      <c r="K139">
        <f>IF(J139&lt;=0, 1, 0)</f>
        <v>0</v>
      </c>
    </row>
    <row r="140" spans="1:11">
      <c r="A140" s="87">
        <v>120</v>
      </c>
      <c r="B140" s="87" t="s">
        <v>264</v>
      </c>
      <c r="C140" s="87">
        <v>30</v>
      </c>
      <c r="D140" s="99">
        <v>13.6</v>
      </c>
      <c r="E140" s="128">
        <f t="shared" si="5"/>
        <v>18700</v>
      </c>
      <c r="F140" s="128">
        <f t="shared" si="6"/>
        <v>2805</v>
      </c>
      <c r="G140" s="128">
        <f t="shared" si="7"/>
        <v>2692.7999999999997</v>
      </c>
      <c r="H140" s="128">
        <f>'Ozone-Energy'!P130*10^6/86400 * 24</f>
        <v>1200</v>
      </c>
      <c r="I140" s="129">
        <f>IF( J139+G140-H140*(1/$E$11) &lt; 0, 0, H140*(1/$E$11))</f>
        <v>1250</v>
      </c>
      <c r="J140" s="129">
        <f t="shared" si="8"/>
        <v>1969.6178571428559</v>
      </c>
      <c r="K140">
        <f>IF(J140&lt;=0, 1, 0)</f>
        <v>0</v>
      </c>
    </row>
    <row r="141" spans="1:11">
      <c r="A141" s="87">
        <v>121</v>
      </c>
      <c r="B141" s="87" t="s">
        <v>267</v>
      </c>
      <c r="C141" s="87">
        <v>1</v>
      </c>
      <c r="D141" s="99">
        <v>15.3</v>
      </c>
      <c r="E141" s="128">
        <f t="shared" si="5"/>
        <v>21037.5</v>
      </c>
      <c r="F141" s="128">
        <f t="shared" si="6"/>
        <v>3155.625</v>
      </c>
      <c r="G141" s="128">
        <f t="shared" si="7"/>
        <v>3029.4</v>
      </c>
      <c r="H141" s="128">
        <f>'Ozone-Energy'!P131*10^6/86400 * 24</f>
        <v>1200</v>
      </c>
      <c r="I141" s="129">
        <f>IF( J140+G141-H141*(1/$E$11) &lt; 0, 0, H141*(1/$E$11))</f>
        <v>1250</v>
      </c>
      <c r="J141" s="129">
        <f t="shared" si="8"/>
        <v>2000</v>
      </c>
      <c r="K141">
        <f>IF(J141&lt;=0, 1, 0)</f>
        <v>0</v>
      </c>
    </row>
    <row r="142" spans="1:11">
      <c r="A142" s="87">
        <v>122</v>
      </c>
      <c r="B142" s="87" t="s">
        <v>267</v>
      </c>
      <c r="C142" s="87">
        <v>2</v>
      </c>
      <c r="D142" s="99">
        <v>15.3</v>
      </c>
      <c r="E142" s="128">
        <f t="shared" si="5"/>
        <v>21037.5</v>
      </c>
      <c r="F142" s="128">
        <f t="shared" si="6"/>
        <v>3155.625</v>
      </c>
      <c r="G142" s="128">
        <f t="shared" si="7"/>
        <v>3029.4</v>
      </c>
      <c r="H142" s="128">
        <f>'Ozone-Energy'!P132*10^6/86400 * 24</f>
        <v>7420.7619047619046</v>
      </c>
      <c r="I142" s="129">
        <f>IF( J141+G142-H142*(1/$E$11) &lt; 0, 0, H142*(1/$E$11))</f>
        <v>0</v>
      </c>
      <c r="J142" s="129">
        <f t="shared" si="8"/>
        <v>2000</v>
      </c>
      <c r="K142">
        <f>IF(J142&lt;=0, 1, 0)</f>
        <v>0</v>
      </c>
    </row>
    <row r="143" spans="1:11">
      <c r="A143" s="87">
        <v>123</v>
      </c>
      <c r="B143" s="87" t="s">
        <v>267</v>
      </c>
      <c r="C143" s="87">
        <v>3</v>
      </c>
      <c r="D143" s="99">
        <v>15.3</v>
      </c>
      <c r="E143" s="128">
        <f t="shared" si="5"/>
        <v>21037.5</v>
      </c>
      <c r="F143" s="128">
        <f t="shared" si="6"/>
        <v>3155.625</v>
      </c>
      <c r="G143" s="128">
        <f t="shared" si="7"/>
        <v>3029.4</v>
      </c>
      <c r="H143" s="128">
        <f>'Ozone-Energy'!P133*10^6/86400 * 24</f>
        <v>15507.752380952381</v>
      </c>
      <c r="I143" s="129">
        <f>IF( J142+G143-H143*(1/$E$11) &lt; 0, 0, H143*(1/$E$11))</f>
        <v>0</v>
      </c>
      <c r="J143" s="129">
        <f t="shared" si="8"/>
        <v>2000</v>
      </c>
      <c r="K143">
        <f>IF(J143&lt;=0, 1, 0)</f>
        <v>0</v>
      </c>
    </row>
    <row r="144" spans="1:11">
      <c r="A144" s="87">
        <v>124</v>
      </c>
      <c r="B144" s="87" t="s">
        <v>267</v>
      </c>
      <c r="C144" s="87">
        <v>4</v>
      </c>
      <c r="D144" s="99">
        <v>15.3</v>
      </c>
      <c r="E144" s="128">
        <f t="shared" si="5"/>
        <v>21037.5</v>
      </c>
      <c r="F144" s="128">
        <f t="shared" si="6"/>
        <v>3155.625</v>
      </c>
      <c r="G144" s="128">
        <f t="shared" si="7"/>
        <v>3029.4</v>
      </c>
      <c r="H144" s="128">
        <f>'Ozone-Energy'!P134*10^6/86400 * 24</f>
        <v>13019.44761904762</v>
      </c>
      <c r="I144" s="129">
        <f>IF( J143+G144-H144*(1/$E$11) &lt; 0, 0, H144*(1/$E$11))</f>
        <v>0</v>
      </c>
      <c r="J144" s="129">
        <f t="shared" si="8"/>
        <v>2000</v>
      </c>
      <c r="K144">
        <f>IF(J144&lt;=0, 1, 0)</f>
        <v>0</v>
      </c>
    </row>
    <row r="145" spans="1:11">
      <c r="A145" s="87">
        <v>125</v>
      </c>
      <c r="B145" s="87" t="s">
        <v>267</v>
      </c>
      <c r="C145" s="87">
        <v>5</v>
      </c>
      <c r="D145" s="99">
        <v>15.3</v>
      </c>
      <c r="E145" s="128">
        <f t="shared" si="5"/>
        <v>21037.5</v>
      </c>
      <c r="F145" s="128">
        <f t="shared" si="6"/>
        <v>3155.625</v>
      </c>
      <c r="G145" s="128">
        <f t="shared" si="7"/>
        <v>3029.4</v>
      </c>
      <c r="H145" s="128">
        <f>'Ozone-Energy'!P135*10^6/86400 * 24</f>
        <v>1200</v>
      </c>
      <c r="I145" s="129">
        <f>IF( J144+G145-H145*(1/$E$11) &lt; 0, 0, H145*(1/$E$11))</f>
        <v>1250</v>
      </c>
      <c r="J145" s="129">
        <f t="shared" si="8"/>
        <v>2000</v>
      </c>
      <c r="K145">
        <f>IF(J145&lt;=0, 1, 0)</f>
        <v>0</v>
      </c>
    </row>
    <row r="146" spans="1:11">
      <c r="A146" s="87">
        <v>126</v>
      </c>
      <c r="B146" s="87" t="s">
        <v>267</v>
      </c>
      <c r="C146" s="87">
        <v>6</v>
      </c>
      <c r="D146" s="99">
        <v>15.3</v>
      </c>
      <c r="E146" s="128">
        <f t="shared" si="5"/>
        <v>21037.5</v>
      </c>
      <c r="F146" s="128">
        <f t="shared" si="6"/>
        <v>3155.625</v>
      </c>
      <c r="G146" s="128">
        <f t="shared" si="7"/>
        <v>3029.4</v>
      </c>
      <c r="H146" s="128">
        <f>'Ozone-Energy'!P136*10^6/86400 * 24</f>
        <v>1200</v>
      </c>
      <c r="I146" s="129">
        <f>IF( J145+G146-H146*(1/$E$11) &lt; 0, 0, H146*(1/$E$11))</f>
        <v>1250</v>
      </c>
      <c r="J146" s="129">
        <f t="shared" si="8"/>
        <v>2000</v>
      </c>
      <c r="K146">
        <f>IF(J146&lt;=0, 1, 0)</f>
        <v>0</v>
      </c>
    </row>
    <row r="147" spans="1:11">
      <c r="A147" s="87">
        <v>127</v>
      </c>
      <c r="B147" s="87" t="s">
        <v>267</v>
      </c>
      <c r="C147" s="87">
        <v>7</v>
      </c>
      <c r="D147" s="99">
        <v>15.3</v>
      </c>
      <c r="E147" s="128">
        <f t="shared" si="5"/>
        <v>21037.5</v>
      </c>
      <c r="F147" s="128">
        <f t="shared" si="6"/>
        <v>3155.625</v>
      </c>
      <c r="G147" s="128">
        <f t="shared" si="7"/>
        <v>3029.4</v>
      </c>
      <c r="H147" s="128">
        <f>'Ozone-Energy'!P137*10^6/86400 * 24</f>
        <v>1200</v>
      </c>
      <c r="I147" s="129">
        <f>IF( J146+G147-H147*(1/$E$11) &lt; 0, 0, H147*(1/$E$11))</f>
        <v>1250</v>
      </c>
      <c r="J147" s="129">
        <f t="shared" si="8"/>
        <v>2000</v>
      </c>
      <c r="K147">
        <f>IF(J147&lt;=0, 1, 0)</f>
        <v>0</v>
      </c>
    </row>
    <row r="148" spans="1:11">
      <c r="A148" s="87">
        <v>128</v>
      </c>
      <c r="B148" s="87" t="s">
        <v>267</v>
      </c>
      <c r="C148" s="87">
        <v>8</v>
      </c>
      <c r="D148" s="99">
        <v>15.3</v>
      </c>
      <c r="E148" s="128">
        <f t="shared" si="5"/>
        <v>21037.5</v>
      </c>
      <c r="F148" s="128">
        <f t="shared" si="6"/>
        <v>3155.625</v>
      </c>
      <c r="G148" s="128">
        <f t="shared" si="7"/>
        <v>3029.4</v>
      </c>
      <c r="H148" s="128">
        <f>'Ozone-Energy'!P138*10^6/86400 * 24</f>
        <v>1200</v>
      </c>
      <c r="I148" s="129">
        <f>IF( J147+G148-H148*(1/$E$11) &lt; 0, 0, H148*(1/$E$11))</f>
        <v>1250</v>
      </c>
      <c r="J148" s="129">
        <f t="shared" si="8"/>
        <v>2000</v>
      </c>
      <c r="K148">
        <f>IF(J148&lt;=0, 1, 0)</f>
        <v>0</v>
      </c>
    </row>
    <row r="149" spans="1:11">
      <c r="A149" s="87">
        <v>129</v>
      </c>
      <c r="B149" s="87" t="s">
        <v>267</v>
      </c>
      <c r="C149" s="87">
        <v>9</v>
      </c>
      <c r="D149" s="99">
        <v>15.3</v>
      </c>
      <c r="E149" s="128">
        <f t="shared" ref="E149:E212" si="9">$E$4 * ($E$6)*D149</f>
        <v>21037.5</v>
      </c>
      <c r="F149" s="128">
        <f t="shared" ref="F149:F212" si="10">E149*$E$7</f>
        <v>3155.625</v>
      </c>
      <c r="G149" s="128">
        <f t="shared" ref="G149:G212" si="11">F149*$E$11</f>
        <v>3029.4</v>
      </c>
      <c r="H149" s="128">
        <f>'Ozone-Energy'!P139*10^6/86400 * 24</f>
        <v>1200</v>
      </c>
      <c r="I149" s="129">
        <f>IF( J148+G149-H149*(1/$E$11) &lt; 0, 0, H149*(1/$E$11))</f>
        <v>1250</v>
      </c>
      <c r="J149" s="129">
        <f t="shared" si="8"/>
        <v>2000</v>
      </c>
      <c r="K149">
        <f>IF(J149&lt;=0, 1, 0)</f>
        <v>0</v>
      </c>
    </row>
    <row r="150" spans="1:11">
      <c r="A150" s="87">
        <v>130</v>
      </c>
      <c r="B150" s="87" t="s">
        <v>267</v>
      </c>
      <c r="C150" s="87">
        <v>10</v>
      </c>
      <c r="D150" s="99">
        <v>15.3</v>
      </c>
      <c r="E150" s="128">
        <f t="shared" si="9"/>
        <v>21037.5</v>
      </c>
      <c r="F150" s="128">
        <f t="shared" si="10"/>
        <v>3155.625</v>
      </c>
      <c r="G150" s="128">
        <f t="shared" si="11"/>
        <v>3029.4</v>
      </c>
      <c r="H150" s="128">
        <f>'Ozone-Energy'!P140*10^6/86400 * 24</f>
        <v>1822.0761904761905</v>
      </c>
      <c r="I150" s="129">
        <f>IF( J149+G150-H150*(1/$E$11) &lt; 0, 0, H150*(1/$E$11))</f>
        <v>1897.9960317460318</v>
      </c>
      <c r="J150" s="129">
        <f t="shared" si="8"/>
        <v>2000</v>
      </c>
      <c r="K150">
        <f>IF(J150&lt;=0, 1, 0)</f>
        <v>0</v>
      </c>
    </row>
    <row r="151" spans="1:11">
      <c r="A151" s="87">
        <v>131</v>
      </c>
      <c r="B151" s="87" t="s">
        <v>267</v>
      </c>
      <c r="C151" s="87">
        <v>11</v>
      </c>
      <c r="D151" s="99">
        <v>15.3</v>
      </c>
      <c r="E151" s="128">
        <f t="shared" si="9"/>
        <v>21037.5</v>
      </c>
      <c r="F151" s="128">
        <f t="shared" si="10"/>
        <v>3155.625</v>
      </c>
      <c r="G151" s="128">
        <f t="shared" si="11"/>
        <v>3029.4</v>
      </c>
      <c r="H151" s="128">
        <f>'Ozone-Energy'!P141*10^6/86400 * 24</f>
        <v>1200</v>
      </c>
      <c r="I151" s="129">
        <f>IF( J150+G151-H151*(1/$E$11) &lt; 0, 0, H151*(1/$E$11))</f>
        <v>1250</v>
      </c>
      <c r="J151" s="129">
        <f t="shared" ref="J151:J214" si="12">MAX(MIN(J150 + G150 - I150, $E$9), 0)</f>
        <v>2000</v>
      </c>
      <c r="K151">
        <f>IF(J151&lt;=0, 1, 0)</f>
        <v>0</v>
      </c>
    </row>
    <row r="152" spans="1:11">
      <c r="A152" s="87">
        <v>132</v>
      </c>
      <c r="B152" s="87" t="s">
        <v>267</v>
      </c>
      <c r="C152" s="87">
        <v>12</v>
      </c>
      <c r="D152" s="99">
        <v>15.3</v>
      </c>
      <c r="E152" s="128">
        <f t="shared" si="9"/>
        <v>21037.5</v>
      </c>
      <c r="F152" s="128">
        <f t="shared" si="10"/>
        <v>3155.625</v>
      </c>
      <c r="G152" s="128">
        <f t="shared" si="11"/>
        <v>3029.4</v>
      </c>
      <c r="H152" s="128">
        <f>'Ozone-Energy'!P142*10^6/86400 * 24</f>
        <v>1822.0761904761905</v>
      </c>
      <c r="I152" s="129">
        <f>IF( J151+G152-H152*(1/$E$11) &lt; 0, 0, H152*(1/$E$11))</f>
        <v>1897.9960317460318</v>
      </c>
      <c r="J152" s="129">
        <f t="shared" si="12"/>
        <v>2000</v>
      </c>
      <c r="K152">
        <f>IF(J152&lt;=0, 1, 0)</f>
        <v>0</v>
      </c>
    </row>
    <row r="153" spans="1:11">
      <c r="A153" s="87">
        <v>133</v>
      </c>
      <c r="B153" s="87" t="s">
        <v>267</v>
      </c>
      <c r="C153" s="87">
        <v>13</v>
      </c>
      <c r="D153" s="99">
        <v>15.3</v>
      </c>
      <c r="E153" s="128">
        <f t="shared" si="9"/>
        <v>21037.5</v>
      </c>
      <c r="F153" s="128">
        <f t="shared" si="10"/>
        <v>3155.625</v>
      </c>
      <c r="G153" s="128">
        <f t="shared" si="11"/>
        <v>3029.4</v>
      </c>
      <c r="H153" s="128">
        <f>'Ozone-Energy'!P143*10^6/86400 * 24</f>
        <v>1200</v>
      </c>
      <c r="I153" s="129">
        <f>IF( J152+G153-H153*(1/$E$11) &lt; 0, 0, H153*(1/$E$11))</f>
        <v>1250</v>
      </c>
      <c r="J153" s="129">
        <f t="shared" si="12"/>
        <v>2000</v>
      </c>
      <c r="K153">
        <f>IF(J153&lt;=0, 1, 0)</f>
        <v>0</v>
      </c>
    </row>
    <row r="154" spans="1:11">
      <c r="A154" s="87">
        <v>134</v>
      </c>
      <c r="B154" s="87" t="s">
        <v>267</v>
      </c>
      <c r="C154" s="87">
        <v>14</v>
      </c>
      <c r="D154" s="99">
        <v>15.3</v>
      </c>
      <c r="E154" s="128">
        <f t="shared" si="9"/>
        <v>21037.5</v>
      </c>
      <c r="F154" s="128">
        <f t="shared" si="10"/>
        <v>3155.625</v>
      </c>
      <c r="G154" s="128">
        <f t="shared" si="11"/>
        <v>3029.4</v>
      </c>
      <c r="H154" s="128">
        <f>'Ozone-Energy'!P144*10^6/86400 * 24</f>
        <v>1200</v>
      </c>
      <c r="I154" s="129">
        <f>IF( J153+G154-H154*(1/$E$11) &lt; 0, 0, H154*(1/$E$11))</f>
        <v>1250</v>
      </c>
      <c r="J154" s="129">
        <f t="shared" si="12"/>
        <v>2000</v>
      </c>
      <c r="K154">
        <f>IF(J154&lt;=0, 1, 0)</f>
        <v>0</v>
      </c>
    </row>
    <row r="155" spans="1:11">
      <c r="A155" s="87">
        <v>135</v>
      </c>
      <c r="B155" s="87" t="s">
        <v>267</v>
      </c>
      <c r="C155" s="87">
        <v>15</v>
      </c>
      <c r="D155" s="99">
        <v>15.3</v>
      </c>
      <c r="E155" s="128">
        <f t="shared" si="9"/>
        <v>21037.5</v>
      </c>
      <c r="F155" s="128">
        <f t="shared" si="10"/>
        <v>3155.625</v>
      </c>
      <c r="G155" s="128">
        <f t="shared" si="11"/>
        <v>3029.4</v>
      </c>
      <c r="H155" s="128">
        <f>'Ozone-Energy'!P145*10^6/86400 * 24</f>
        <v>1200</v>
      </c>
      <c r="I155" s="129">
        <f>IF( J154+G155-H155*(1/$E$11) &lt; 0, 0, H155*(1/$E$11))</f>
        <v>1250</v>
      </c>
      <c r="J155" s="129">
        <f t="shared" si="12"/>
        <v>2000</v>
      </c>
      <c r="K155">
        <f>IF(J155&lt;=0, 1, 0)</f>
        <v>0</v>
      </c>
    </row>
    <row r="156" spans="1:11">
      <c r="A156" s="87">
        <v>136</v>
      </c>
      <c r="B156" s="87" t="s">
        <v>267</v>
      </c>
      <c r="C156" s="87">
        <v>16</v>
      </c>
      <c r="D156" s="99">
        <v>15.3</v>
      </c>
      <c r="E156" s="128">
        <f t="shared" si="9"/>
        <v>21037.5</v>
      </c>
      <c r="F156" s="128">
        <f t="shared" si="10"/>
        <v>3155.625</v>
      </c>
      <c r="G156" s="128">
        <f t="shared" si="11"/>
        <v>3029.4</v>
      </c>
      <c r="H156" s="128">
        <f>'Ozone-Energy'!P146*10^6/86400 * 24</f>
        <v>9909.0666666666675</v>
      </c>
      <c r="I156" s="129">
        <f>IF( J155+G156-H156*(1/$E$11) &lt; 0, 0, H156*(1/$E$11))</f>
        <v>0</v>
      </c>
      <c r="J156" s="129">
        <f t="shared" si="12"/>
        <v>2000</v>
      </c>
      <c r="K156">
        <f>IF(J156&lt;=0, 1, 0)</f>
        <v>0</v>
      </c>
    </row>
    <row r="157" spans="1:11">
      <c r="A157" s="87">
        <v>137</v>
      </c>
      <c r="B157" s="87" t="s">
        <v>267</v>
      </c>
      <c r="C157" s="87">
        <v>17</v>
      </c>
      <c r="D157" s="99">
        <v>15.3</v>
      </c>
      <c r="E157" s="128">
        <f t="shared" si="9"/>
        <v>21037.5</v>
      </c>
      <c r="F157" s="128">
        <f t="shared" si="10"/>
        <v>3155.625</v>
      </c>
      <c r="G157" s="128">
        <f t="shared" si="11"/>
        <v>3029.4</v>
      </c>
      <c r="H157" s="128">
        <f>'Ozone-Energy'!P147*10^6/86400 * 24</f>
        <v>1200</v>
      </c>
      <c r="I157" s="129">
        <f>IF( J156+G157-H157*(1/$E$11) &lt; 0, 0, H157*(1/$E$11))</f>
        <v>1250</v>
      </c>
      <c r="J157" s="129">
        <f t="shared" si="12"/>
        <v>2000</v>
      </c>
      <c r="K157">
        <f>IF(J157&lt;=0, 1, 0)</f>
        <v>0</v>
      </c>
    </row>
    <row r="158" spans="1:11">
      <c r="A158" s="87">
        <v>138</v>
      </c>
      <c r="B158" s="87" t="s">
        <v>267</v>
      </c>
      <c r="C158" s="87">
        <v>18</v>
      </c>
      <c r="D158" s="99">
        <v>15.3</v>
      </c>
      <c r="E158" s="128">
        <f t="shared" si="9"/>
        <v>21037.5</v>
      </c>
      <c r="F158" s="128">
        <f t="shared" si="10"/>
        <v>3155.625</v>
      </c>
      <c r="G158" s="128">
        <f t="shared" si="11"/>
        <v>3029.4</v>
      </c>
      <c r="H158" s="128">
        <f>'Ozone-Energy'!P148*10^6/86400 * 24</f>
        <v>1200</v>
      </c>
      <c r="I158" s="129">
        <f>IF( J157+G158-H158*(1/$E$11) &lt; 0, 0, H158*(1/$E$11))</f>
        <v>1250</v>
      </c>
      <c r="J158" s="129">
        <f t="shared" si="12"/>
        <v>2000</v>
      </c>
      <c r="K158">
        <f>IF(J158&lt;=0, 1, 0)</f>
        <v>0</v>
      </c>
    </row>
    <row r="159" spans="1:11">
      <c r="A159" s="87">
        <v>139</v>
      </c>
      <c r="B159" s="87" t="s">
        <v>267</v>
      </c>
      <c r="C159" s="87">
        <v>19</v>
      </c>
      <c r="D159" s="99">
        <v>15.3</v>
      </c>
      <c r="E159" s="128">
        <f t="shared" si="9"/>
        <v>21037.5</v>
      </c>
      <c r="F159" s="128">
        <f t="shared" si="10"/>
        <v>3155.625</v>
      </c>
      <c r="G159" s="128">
        <f t="shared" si="11"/>
        <v>3029.4</v>
      </c>
      <c r="H159" s="128">
        <f>'Ozone-Energy'!P149*10^6/86400 * 24</f>
        <v>1200</v>
      </c>
      <c r="I159" s="129">
        <f>IF( J158+G159-H159*(1/$E$11) &lt; 0, 0, H159*(1/$E$11))</f>
        <v>1250</v>
      </c>
      <c r="J159" s="129">
        <f t="shared" si="12"/>
        <v>2000</v>
      </c>
      <c r="K159">
        <f>IF(J159&lt;=0, 1, 0)</f>
        <v>0</v>
      </c>
    </row>
    <row r="160" spans="1:11">
      <c r="A160" s="87">
        <v>140</v>
      </c>
      <c r="B160" s="87" t="s">
        <v>267</v>
      </c>
      <c r="C160" s="87">
        <v>20</v>
      </c>
      <c r="D160" s="99">
        <v>15.3</v>
      </c>
      <c r="E160" s="128">
        <f t="shared" si="9"/>
        <v>21037.5</v>
      </c>
      <c r="F160" s="128">
        <f t="shared" si="10"/>
        <v>3155.625</v>
      </c>
      <c r="G160" s="128">
        <f t="shared" si="11"/>
        <v>3029.4</v>
      </c>
      <c r="H160" s="128">
        <f>'Ozone-Energy'!P150*10^6/86400 * 24</f>
        <v>1200</v>
      </c>
      <c r="I160" s="129">
        <f>IF( J159+G160-H160*(1/$E$11) &lt; 0, 0, H160*(1/$E$11))</f>
        <v>1250</v>
      </c>
      <c r="J160" s="129">
        <f t="shared" si="12"/>
        <v>2000</v>
      </c>
      <c r="K160">
        <f>IF(J160&lt;=0, 1, 0)</f>
        <v>0</v>
      </c>
    </row>
    <row r="161" spans="1:11">
      <c r="A161" s="87">
        <v>141</v>
      </c>
      <c r="B161" s="87" t="s">
        <v>267</v>
      </c>
      <c r="C161" s="87">
        <v>21</v>
      </c>
      <c r="D161" s="99">
        <v>15.3</v>
      </c>
      <c r="E161" s="128">
        <f t="shared" si="9"/>
        <v>21037.5</v>
      </c>
      <c r="F161" s="128">
        <f t="shared" si="10"/>
        <v>3155.625</v>
      </c>
      <c r="G161" s="128">
        <f t="shared" si="11"/>
        <v>3029.4</v>
      </c>
      <c r="H161" s="128">
        <f>'Ozone-Energy'!P151*10^6/86400 * 24</f>
        <v>26705.123809523811</v>
      </c>
      <c r="I161" s="129">
        <f>IF( J160+G161-H161*(1/$E$11) &lt; 0, 0, H161*(1/$E$11))</f>
        <v>0</v>
      </c>
      <c r="J161" s="129">
        <f t="shared" si="12"/>
        <v>2000</v>
      </c>
      <c r="K161">
        <f>IF(J161&lt;=0, 1, 0)</f>
        <v>0</v>
      </c>
    </row>
    <row r="162" spans="1:11">
      <c r="A162" s="87">
        <v>142</v>
      </c>
      <c r="B162" s="87" t="s">
        <v>267</v>
      </c>
      <c r="C162" s="87">
        <v>22</v>
      </c>
      <c r="D162" s="99">
        <v>15.3</v>
      </c>
      <c r="E162" s="128">
        <f t="shared" si="9"/>
        <v>21037.5</v>
      </c>
      <c r="F162" s="128">
        <f t="shared" si="10"/>
        <v>3155.625</v>
      </c>
      <c r="G162" s="128">
        <f t="shared" si="11"/>
        <v>3029.4</v>
      </c>
      <c r="H162" s="128">
        <f>'Ozone-Energy'!P152*10^6/86400 * 24</f>
        <v>93267.276190476216</v>
      </c>
      <c r="I162" s="129">
        <f>IF( J161+G162-H162*(1/$E$11) &lt; 0, 0, H162*(1/$E$11))</f>
        <v>0</v>
      </c>
      <c r="J162" s="129">
        <f t="shared" si="12"/>
        <v>2000</v>
      </c>
      <c r="K162">
        <f>IF(J162&lt;=0, 1, 0)</f>
        <v>0</v>
      </c>
    </row>
    <row r="163" spans="1:11">
      <c r="A163" s="87">
        <v>143</v>
      </c>
      <c r="B163" s="87" t="s">
        <v>267</v>
      </c>
      <c r="C163" s="87">
        <v>23</v>
      </c>
      <c r="D163" s="99">
        <v>15.3</v>
      </c>
      <c r="E163" s="128">
        <f t="shared" si="9"/>
        <v>21037.5</v>
      </c>
      <c r="F163" s="128">
        <f t="shared" si="10"/>
        <v>3155.625</v>
      </c>
      <c r="G163" s="128">
        <f t="shared" si="11"/>
        <v>3029.4</v>
      </c>
      <c r="H163" s="128">
        <f>'Ozone-Energy'!P153*10^6/86400 * 24</f>
        <v>3688.304761904762</v>
      </c>
      <c r="I163" s="129">
        <f>IF( J162+G163-H163*(1/$E$11) &lt; 0, 0, H163*(1/$E$11))</f>
        <v>3841.9841269841272</v>
      </c>
      <c r="J163" s="129">
        <f t="shared" si="12"/>
        <v>2000</v>
      </c>
      <c r="K163">
        <f>IF(J163&lt;=0, 1, 0)</f>
        <v>0</v>
      </c>
    </row>
    <row r="164" spans="1:11">
      <c r="A164" s="87">
        <v>144</v>
      </c>
      <c r="B164" s="87" t="s">
        <v>267</v>
      </c>
      <c r="C164" s="87">
        <v>24</v>
      </c>
      <c r="D164" s="99">
        <v>15.3</v>
      </c>
      <c r="E164" s="128">
        <f t="shared" si="9"/>
        <v>21037.5</v>
      </c>
      <c r="F164" s="128">
        <f t="shared" si="10"/>
        <v>3155.625</v>
      </c>
      <c r="G164" s="128">
        <f t="shared" si="11"/>
        <v>3029.4</v>
      </c>
      <c r="H164" s="128">
        <f>'Ozone-Energy'!P154*10^6/86400 * 24</f>
        <v>17373.980952380953</v>
      </c>
      <c r="I164" s="129">
        <f>IF( J163+G164-H164*(1/$E$11) &lt; 0, 0, H164*(1/$E$11))</f>
        <v>0</v>
      </c>
      <c r="J164" s="129">
        <f t="shared" si="12"/>
        <v>1187.4158730158724</v>
      </c>
      <c r="K164">
        <f>IF(J164&lt;=0, 1, 0)</f>
        <v>0</v>
      </c>
    </row>
    <row r="165" spans="1:11">
      <c r="A165" s="87">
        <v>145</v>
      </c>
      <c r="B165" s="87" t="s">
        <v>267</v>
      </c>
      <c r="C165" s="87">
        <v>25</v>
      </c>
      <c r="D165" s="99">
        <v>15.3</v>
      </c>
      <c r="E165" s="128">
        <f t="shared" si="9"/>
        <v>21037.5</v>
      </c>
      <c r="F165" s="128">
        <f t="shared" si="10"/>
        <v>3155.625</v>
      </c>
      <c r="G165" s="128">
        <f t="shared" si="11"/>
        <v>3029.4</v>
      </c>
      <c r="H165" s="128">
        <f>'Ozone-Energy'!P155*10^6/86400 * 24</f>
        <v>73982.914285714272</v>
      </c>
      <c r="I165" s="129">
        <f>IF( J164+G165-H165*(1/$E$11) &lt; 0, 0, H165*(1/$E$11))</f>
        <v>0</v>
      </c>
      <c r="J165" s="129">
        <f t="shared" si="12"/>
        <v>2000</v>
      </c>
      <c r="K165">
        <f>IF(J165&lt;=0, 1, 0)</f>
        <v>0</v>
      </c>
    </row>
    <row r="166" spans="1:11">
      <c r="A166" s="87">
        <v>146</v>
      </c>
      <c r="B166" s="87" t="s">
        <v>267</v>
      </c>
      <c r="C166" s="87">
        <v>26</v>
      </c>
      <c r="D166" s="99">
        <v>15.3</v>
      </c>
      <c r="E166" s="128">
        <f t="shared" si="9"/>
        <v>21037.5</v>
      </c>
      <c r="F166" s="128">
        <f t="shared" si="10"/>
        <v>3155.625</v>
      </c>
      <c r="G166" s="128">
        <f t="shared" si="11"/>
        <v>3029.4</v>
      </c>
      <c r="H166" s="128">
        <f>'Ozone-Energy'!P156*10^6/86400 * 24</f>
        <v>1200</v>
      </c>
      <c r="I166" s="129">
        <f>IF( J165+G166-H166*(1/$E$11) &lt; 0, 0, H166*(1/$E$11))</f>
        <v>1250</v>
      </c>
      <c r="J166" s="129">
        <f t="shared" si="12"/>
        <v>2000</v>
      </c>
      <c r="K166">
        <f>IF(J166&lt;=0, 1, 0)</f>
        <v>0</v>
      </c>
    </row>
    <row r="167" spans="1:11">
      <c r="A167" s="87">
        <v>147</v>
      </c>
      <c r="B167" s="87" t="s">
        <v>267</v>
      </c>
      <c r="C167" s="87">
        <v>27</v>
      </c>
      <c r="D167" s="99">
        <v>15.3</v>
      </c>
      <c r="E167" s="128">
        <f t="shared" si="9"/>
        <v>21037.5</v>
      </c>
      <c r="F167" s="128">
        <f t="shared" si="10"/>
        <v>3155.625</v>
      </c>
      <c r="G167" s="128">
        <f t="shared" si="11"/>
        <v>3029.4</v>
      </c>
      <c r="H167" s="128">
        <f>'Ozone-Energy'!P157*10^6/86400 * 24</f>
        <v>14885.67619047619</v>
      </c>
      <c r="I167" s="129">
        <f>IF( J166+G167-H167*(1/$E$11) &lt; 0, 0, H167*(1/$E$11))</f>
        <v>0</v>
      </c>
      <c r="J167" s="129">
        <f t="shared" si="12"/>
        <v>2000</v>
      </c>
      <c r="K167">
        <f>IF(J167&lt;=0, 1, 0)</f>
        <v>0</v>
      </c>
    </row>
    <row r="168" spans="1:11">
      <c r="A168" s="87">
        <v>148</v>
      </c>
      <c r="B168" s="87" t="s">
        <v>267</v>
      </c>
      <c r="C168" s="87">
        <v>28</v>
      </c>
      <c r="D168" s="99">
        <v>15.3</v>
      </c>
      <c r="E168" s="128">
        <f t="shared" si="9"/>
        <v>21037.5</v>
      </c>
      <c r="F168" s="128">
        <f t="shared" si="10"/>
        <v>3155.625</v>
      </c>
      <c r="G168" s="128">
        <f t="shared" si="11"/>
        <v>3029.4</v>
      </c>
      <c r="H168" s="128">
        <f>'Ozone-Energy'!P158*10^6/86400 * 24</f>
        <v>1200</v>
      </c>
      <c r="I168" s="129">
        <f>IF( J167+G168-H168*(1/$E$11) &lt; 0, 0, H168*(1/$E$11))</f>
        <v>1250</v>
      </c>
      <c r="J168" s="129">
        <f t="shared" si="12"/>
        <v>2000</v>
      </c>
      <c r="K168">
        <f>IF(J168&lt;=0, 1, 0)</f>
        <v>0</v>
      </c>
    </row>
    <row r="169" spans="1:11">
      <c r="A169" s="87">
        <v>149</v>
      </c>
      <c r="B169" s="87" t="s">
        <v>267</v>
      </c>
      <c r="C169" s="87">
        <v>29</v>
      </c>
      <c r="D169" s="99">
        <v>15.3</v>
      </c>
      <c r="E169" s="128">
        <f t="shared" si="9"/>
        <v>21037.5</v>
      </c>
      <c r="F169" s="128">
        <f t="shared" si="10"/>
        <v>3155.625</v>
      </c>
      <c r="G169" s="128">
        <f t="shared" si="11"/>
        <v>3029.4</v>
      </c>
      <c r="H169" s="128">
        <f>'Ozone-Energy'!P159*10^6/86400 * 24</f>
        <v>1200</v>
      </c>
      <c r="I169" s="129">
        <f>IF( J168+G169-H169*(1/$E$11) &lt; 0, 0, H169*(1/$E$11))</f>
        <v>1250</v>
      </c>
      <c r="J169" s="129">
        <f t="shared" si="12"/>
        <v>2000</v>
      </c>
      <c r="K169">
        <f>IF(J169&lt;=0, 1, 0)</f>
        <v>0</v>
      </c>
    </row>
    <row r="170" spans="1:11">
      <c r="A170" s="87">
        <v>150</v>
      </c>
      <c r="B170" s="87" t="s">
        <v>267</v>
      </c>
      <c r="C170" s="87">
        <v>30</v>
      </c>
      <c r="D170" s="99">
        <v>15.3</v>
      </c>
      <c r="E170" s="128">
        <f t="shared" si="9"/>
        <v>21037.5</v>
      </c>
      <c r="F170" s="128">
        <f t="shared" si="10"/>
        <v>3155.625</v>
      </c>
      <c r="G170" s="128">
        <f t="shared" si="11"/>
        <v>3029.4</v>
      </c>
      <c r="H170" s="128">
        <f>'Ozone-Energy'!P160*10^6/86400 * 24</f>
        <v>1200</v>
      </c>
      <c r="I170" s="129">
        <f>IF( J169+G170-H170*(1/$E$11) &lt; 0, 0, H170*(1/$E$11))</f>
        <v>1250</v>
      </c>
      <c r="J170" s="129">
        <f t="shared" si="12"/>
        <v>2000</v>
      </c>
      <c r="K170">
        <f>IF(J170&lt;=0, 1, 0)</f>
        <v>0</v>
      </c>
    </row>
    <row r="171" spans="1:11">
      <c r="A171" s="87">
        <v>151</v>
      </c>
      <c r="B171" s="87" t="s">
        <v>267</v>
      </c>
      <c r="C171" s="87">
        <v>31</v>
      </c>
      <c r="D171" s="99">
        <v>15.3</v>
      </c>
      <c r="E171" s="128">
        <f t="shared" si="9"/>
        <v>21037.5</v>
      </c>
      <c r="F171" s="128">
        <f t="shared" si="10"/>
        <v>3155.625</v>
      </c>
      <c r="G171" s="128">
        <f t="shared" si="11"/>
        <v>3029.4</v>
      </c>
      <c r="H171" s="128">
        <f>'Ozone-Energy'!P161*10^6/86400 * 24</f>
        <v>1200</v>
      </c>
      <c r="I171" s="129">
        <f>IF( J170+G171-H171*(1/$E$11) &lt; 0, 0, H171*(1/$E$11))</f>
        <v>1250</v>
      </c>
      <c r="J171" s="129">
        <f t="shared" si="12"/>
        <v>2000</v>
      </c>
      <c r="K171">
        <f>IF(J171&lt;=0, 1, 0)</f>
        <v>0</v>
      </c>
    </row>
    <row r="172" spans="1:11">
      <c r="A172" s="87">
        <v>152</v>
      </c>
      <c r="B172" s="87" t="s">
        <v>269</v>
      </c>
      <c r="C172" s="87">
        <v>1</v>
      </c>
      <c r="D172" s="99">
        <v>16</v>
      </c>
      <c r="E172" s="128">
        <f t="shared" si="9"/>
        <v>22000</v>
      </c>
      <c r="F172" s="128">
        <f t="shared" si="10"/>
        <v>3300</v>
      </c>
      <c r="G172" s="128">
        <f t="shared" si="11"/>
        <v>3168</v>
      </c>
      <c r="H172" s="128">
        <f>'Ozone-Energy'!P162*10^6/86400 * 24</f>
        <v>1200</v>
      </c>
      <c r="I172" s="129">
        <f>IF( J171+G172-H172*(1/$E$11) &lt; 0, 0, H172*(1/$E$11))</f>
        <v>1250</v>
      </c>
      <c r="J172" s="129">
        <f t="shared" si="12"/>
        <v>2000</v>
      </c>
      <c r="K172">
        <f>IF(J172&lt;=0, 1, 0)</f>
        <v>0</v>
      </c>
    </row>
    <row r="173" spans="1:11">
      <c r="A173" s="87">
        <v>153</v>
      </c>
      <c r="B173" s="87" t="s">
        <v>269</v>
      </c>
      <c r="C173" s="87">
        <v>2</v>
      </c>
      <c r="D173" s="99">
        <v>16</v>
      </c>
      <c r="E173" s="128">
        <f t="shared" si="9"/>
        <v>22000</v>
      </c>
      <c r="F173" s="128">
        <f t="shared" si="10"/>
        <v>3300</v>
      </c>
      <c r="G173" s="128">
        <f t="shared" si="11"/>
        <v>3168</v>
      </c>
      <c r="H173" s="128">
        <f>'Ozone-Energy'!P163*10^6/86400 * 24</f>
        <v>1200</v>
      </c>
      <c r="I173" s="129">
        <f>IF( J172+G173-H173*(1/$E$11) &lt; 0, 0, H173*(1/$E$11))</f>
        <v>1250</v>
      </c>
      <c r="J173" s="129">
        <f t="shared" si="12"/>
        <v>2000</v>
      </c>
      <c r="K173">
        <f>IF(J173&lt;=0, 1, 0)</f>
        <v>0</v>
      </c>
    </row>
    <row r="174" spans="1:11">
      <c r="A174" s="87">
        <v>154</v>
      </c>
      <c r="B174" s="87" t="s">
        <v>269</v>
      </c>
      <c r="C174" s="87">
        <v>3</v>
      </c>
      <c r="D174" s="99">
        <v>16</v>
      </c>
      <c r="E174" s="128">
        <f t="shared" si="9"/>
        <v>22000</v>
      </c>
      <c r="F174" s="128">
        <f t="shared" si="10"/>
        <v>3300</v>
      </c>
      <c r="G174" s="128">
        <f t="shared" si="11"/>
        <v>3168</v>
      </c>
      <c r="H174" s="128">
        <f>'Ozone-Energy'!P164*10^6/86400 * 24</f>
        <v>1200</v>
      </c>
      <c r="I174" s="129">
        <f>IF( J173+G174-H174*(1/$E$11) &lt; 0, 0, H174*(1/$E$11))</f>
        <v>1250</v>
      </c>
      <c r="J174" s="129">
        <f t="shared" si="12"/>
        <v>2000</v>
      </c>
      <c r="K174">
        <f>IF(J174&lt;=0, 1, 0)</f>
        <v>0</v>
      </c>
    </row>
    <row r="175" spans="1:11">
      <c r="A175" s="87">
        <v>155</v>
      </c>
      <c r="B175" s="87" t="s">
        <v>269</v>
      </c>
      <c r="C175" s="87">
        <v>4</v>
      </c>
      <c r="D175" s="99">
        <v>16</v>
      </c>
      <c r="E175" s="128">
        <f t="shared" si="9"/>
        <v>22000</v>
      </c>
      <c r="F175" s="128">
        <f t="shared" si="10"/>
        <v>3300</v>
      </c>
      <c r="G175" s="128">
        <f t="shared" si="11"/>
        <v>3168</v>
      </c>
      <c r="H175" s="128">
        <f>'Ozone-Energy'!P165*10^6/86400 * 24</f>
        <v>1200</v>
      </c>
      <c r="I175" s="129">
        <f>IF( J174+G175-H175*(1/$E$11) &lt; 0, 0, H175*(1/$E$11))</f>
        <v>1250</v>
      </c>
      <c r="J175" s="129">
        <f t="shared" si="12"/>
        <v>2000</v>
      </c>
      <c r="K175">
        <f>IF(J175&lt;=0, 1, 0)</f>
        <v>0</v>
      </c>
    </row>
    <row r="176" spans="1:11">
      <c r="A176" s="87">
        <v>156</v>
      </c>
      <c r="B176" s="87" t="s">
        <v>269</v>
      </c>
      <c r="C176" s="87">
        <v>5</v>
      </c>
      <c r="D176" s="99">
        <v>16</v>
      </c>
      <c r="E176" s="128">
        <f t="shared" si="9"/>
        <v>22000</v>
      </c>
      <c r="F176" s="128">
        <f t="shared" si="10"/>
        <v>3300</v>
      </c>
      <c r="G176" s="128">
        <f t="shared" si="11"/>
        <v>3168</v>
      </c>
      <c r="H176" s="128">
        <f>'Ozone-Energy'!P166*10^6/86400 * 24</f>
        <v>1200</v>
      </c>
      <c r="I176" s="129">
        <f>IF( J175+G176-H176*(1/$E$11) &lt; 0, 0, H176*(1/$E$11))</f>
        <v>1250</v>
      </c>
      <c r="J176" s="129">
        <f t="shared" si="12"/>
        <v>2000</v>
      </c>
      <c r="K176">
        <f>IF(J176&lt;=0, 1, 0)</f>
        <v>0</v>
      </c>
    </row>
    <row r="177" spans="1:11">
      <c r="A177" s="87">
        <v>157</v>
      </c>
      <c r="B177" s="87" t="s">
        <v>269</v>
      </c>
      <c r="C177" s="87">
        <v>6</v>
      </c>
      <c r="D177" s="99">
        <v>16</v>
      </c>
      <c r="E177" s="128">
        <f t="shared" si="9"/>
        <v>22000</v>
      </c>
      <c r="F177" s="128">
        <f t="shared" si="10"/>
        <v>3300</v>
      </c>
      <c r="G177" s="128">
        <f t="shared" si="11"/>
        <v>3168</v>
      </c>
      <c r="H177" s="128">
        <f>'Ozone-Energy'!P167*10^6/86400 * 24</f>
        <v>1200</v>
      </c>
      <c r="I177" s="129">
        <f>IF( J176+G177-H177*(1/$E$11) &lt; 0, 0, H177*(1/$E$11))</f>
        <v>1250</v>
      </c>
      <c r="J177" s="129">
        <f t="shared" si="12"/>
        <v>2000</v>
      </c>
      <c r="K177">
        <f>IF(J177&lt;=0, 1, 0)</f>
        <v>0</v>
      </c>
    </row>
    <row r="178" spans="1:11">
      <c r="A178" s="87">
        <v>158</v>
      </c>
      <c r="B178" s="87" t="s">
        <v>269</v>
      </c>
      <c r="C178" s="87">
        <v>7</v>
      </c>
      <c r="D178" s="99">
        <v>16</v>
      </c>
      <c r="E178" s="128">
        <f t="shared" si="9"/>
        <v>22000</v>
      </c>
      <c r="F178" s="128">
        <f t="shared" si="10"/>
        <v>3300</v>
      </c>
      <c r="G178" s="128">
        <f t="shared" si="11"/>
        <v>3168</v>
      </c>
      <c r="H178" s="128">
        <f>'Ozone-Energy'!P168*10^6/86400 * 24</f>
        <v>1200</v>
      </c>
      <c r="I178" s="129">
        <f>IF( J177+G178-H178*(1/$E$11) &lt; 0, 0, H178*(1/$E$11))</f>
        <v>1250</v>
      </c>
      <c r="J178" s="129">
        <f t="shared" si="12"/>
        <v>2000</v>
      </c>
      <c r="K178">
        <f>IF(J178&lt;=0, 1, 0)</f>
        <v>0</v>
      </c>
    </row>
    <row r="179" spans="1:11">
      <c r="A179" s="87">
        <v>159</v>
      </c>
      <c r="B179" s="87" t="s">
        <v>269</v>
      </c>
      <c r="C179" s="87">
        <v>8</v>
      </c>
      <c r="D179" s="99">
        <v>16</v>
      </c>
      <c r="E179" s="128">
        <f t="shared" si="9"/>
        <v>22000</v>
      </c>
      <c r="F179" s="128">
        <f t="shared" si="10"/>
        <v>3300</v>
      </c>
      <c r="G179" s="128">
        <f t="shared" si="11"/>
        <v>3168</v>
      </c>
      <c r="H179" s="128">
        <f>'Ozone-Energy'!P169*10^6/86400 * 24</f>
        <v>1822.0761904761905</v>
      </c>
      <c r="I179" s="129">
        <f>IF( J178+G179-H179*(1/$E$11) &lt; 0, 0, H179*(1/$E$11))</f>
        <v>1897.9960317460318</v>
      </c>
      <c r="J179" s="129">
        <f t="shared" si="12"/>
        <v>2000</v>
      </c>
      <c r="K179">
        <f>IF(J179&lt;=0, 1, 0)</f>
        <v>0</v>
      </c>
    </row>
    <row r="180" spans="1:11">
      <c r="A180" s="87">
        <v>160</v>
      </c>
      <c r="B180" s="87" t="s">
        <v>269</v>
      </c>
      <c r="C180" s="87">
        <v>9</v>
      </c>
      <c r="D180" s="99">
        <v>16</v>
      </c>
      <c r="E180" s="128">
        <f t="shared" si="9"/>
        <v>22000</v>
      </c>
      <c r="F180" s="128">
        <f t="shared" si="10"/>
        <v>3300</v>
      </c>
      <c r="G180" s="128">
        <f t="shared" si="11"/>
        <v>3168</v>
      </c>
      <c r="H180" s="128">
        <f>'Ozone-Energy'!P170*10^6/86400 * 24</f>
        <v>1200</v>
      </c>
      <c r="I180" s="129">
        <f>IF( J179+G180-H180*(1/$E$11) &lt; 0, 0, H180*(1/$E$11))</f>
        <v>1250</v>
      </c>
      <c r="J180" s="129">
        <f t="shared" si="12"/>
        <v>2000</v>
      </c>
      <c r="K180">
        <f>IF(J180&lt;=0, 1, 0)</f>
        <v>0</v>
      </c>
    </row>
    <row r="181" spans="1:11">
      <c r="A181" s="87">
        <v>161</v>
      </c>
      <c r="B181" s="87" t="s">
        <v>269</v>
      </c>
      <c r="C181" s="87">
        <v>10</v>
      </c>
      <c r="D181" s="99">
        <v>16</v>
      </c>
      <c r="E181" s="128">
        <f t="shared" si="9"/>
        <v>22000</v>
      </c>
      <c r="F181" s="128">
        <f t="shared" si="10"/>
        <v>3300</v>
      </c>
      <c r="G181" s="128">
        <f t="shared" si="11"/>
        <v>3168</v>
      </c>
      <c r="H181" s="128">
        <f>'Ozone-Energy'!P171*10^6/86400 * 24</f>
        <v>1200</v>
      </c>
      <c r="I181" s="129">
        <f>IF( J180+G181-H181*(1/$E$11) &lt; 0, 0, H181*(1/$E$11))</f>
        <v>1250</v>
      </c>
      <c r="J181" s="129">
        <f t="shared" si="12"/>
        <v>2000</v>
      </c>
      <c r="K181">
        <f>IF(J181&lt;=0, 1, 0)</f>
        <v>0</v>
      </c>
    </row>
    <row r="182" spans="1:11">
      <c r="A182" s="87">
        <v>162</v>
      </c>
      <c r="B182" s="87" t="s">
        <v>269</v>
      </c>
      <c r="C182" s="87">
        <v>11</v>
      </c>
      <c r="D182" s="99">
        <v>16</v>
      </c>
      <c r="E182" s="128">
        <f t="shared" si="9"/>
        <v>22000</v>
      </c>
      <c r="F182" s="128">
        <f t="shared" si="10"/>
        <v>3300</v>
      </c>
      <c r="G182" s="128">
        <f t="shared" si="11"/>
        <v>3168</v>
      </c>
      <c r="H182" s="128">
        <f>'Ozone-Energy'!P172*10^6/86400 * 24</f>
        <v>1200</v>
      </c>
      <c r="I182" s="129">
        <f>IF( J181+G182-H182*(1/$E$11) &lt; 0, 0, H182*(1/$E$11))</f>
        <v>1250</v>
      </c>
      <c r="J182" s="129">
        <f t="shared" si="12"/>
        <v>2000</v>
      </c>
      <c r="K182">
        <f>IF(J182&lt;=0, 1, 0)</f>
        <v>0</v>
      </c>
    </row>
    <row r="183" spans="1:11">
      <c r="A183" s="87">
        <v>163</v>
      </c>
      <c r="B183" s="87" t="s">
        <v>269</v>
      </c>
      <c r="C183" s="87">
        <v>12</v>
      </c>
      <c r="D183" s="99">
        <v>16</v>
      </c>
      <c r="E183" s="128">
        <f t="shared" si="9"/>
        <v>22000</v>
      </c>
      <c r="F183" s="128">
        <f t="shared" si="10"/>
        <v>3300</v>
      </c>
      <c r="G183" s="128">
        <f t="shared" si="11"/>
        <v>3168</v>
      </c>
      <c r="H183" s="128">
        <f>'Ozone-Energy'!P173*10^6/86400 * 24</f>
        <v>1200</v>
      </c>
      <c r="I183" s="129">
        <f>IF( J182+G183-H183*(1/$E$11) &lt; 0, 0, H183*(1/$E$11))</f>
        <v>1250</v>
      </c>
      <c r="J183" s="129">
        <f t="shared" si="12"/>
        <v>2000</v>
      </c>
      <c r="K183">
        <f>IF(J183&lt;=0, 1, 0)</f>
        <v>0</v>
      </c>
    </row>
    <row r="184" spans="1:11">
      <c r="A184" s="87">
        <v>164</v>
      </c>
      <c r="B184" s="87" t="s">
        <v>269</v>
      </c>
      <c r="C184" s="87">
        <v>13</v>
      </c>
      <c r="D184" s="99">
        <v>16</v>
      </c>
      <c r="E184" s="128">
        <f t="shared" si="9"/>
        <v>22000</v>
      </c>
      <c r="F184" s="128">
        <f t="shared" si="10"/>
        <v>3300</v>
      </c>
      <c r="G184" s="128">
        <f t="shared" si="11"/>
        <v>3168</v>
      </c>
      <c r="H184" s="128">
        <f>'Ozone-Energy'!P174*10^6/86400 * 24</f>
        <v>1200</v>
      </c>
      <c r="I184" s="129">
        <f>IF( J183+G184-H184*(1/$E$11) &lt; 0, 0, H184*(1/$E$11))</f>
        <v>1250</v>
      </c>
      <c r="J184" s="129">
        <f t="shared" si="12"/>
        <v>2000</v>
      </c>
      <c r="K184">
        <f>IF(J184&lt;=0, 1, 0)</f>
        <v>0</v>
      </c>
    </row>
    <row r="185" spans="1:11">
      <c r="A185" s="87">
        <v>165</v>
      </c>
      <c r="B185" s="87" t="s">
        <v>269</v>
      </c>
      <c r="C185" s="87">
        <v>14</v>
      </c>
      <c r="D185" s="99">
        <v>16</v>
      </c>
      <c r="E185" s="128">
        <f t="shared" si="9"/>
        <v>22000</v>
      </c>
      <c r="F185" s="128">
        <f t="shared" si="10"/>
        <v>3300</v>
      </c>
      <c r="G185" s="128">
        <f t="shared" si="11"/>
        <v>3168</v>
      </c>
      <c r="H185" s="128">
        <f>'Ozone-Energy'!P175*10^6/86400 * 24</f>
        <v>12397.371428571427</v>
      </c>
      <c r="I185" s="129">
        <f>IF( J184+G185-H185*(1/$E$11) &lt; 0, 0, H185*(1/$E$11))</f>
        <v>0</v>
      </c>
      <c r="J185" s="129">
        <f t="shared" si="12"/>
        <v>2000</v>
      </c>
      <c r="K185">
        <f>IF(J185&lt;=0, 1, 0)</f>
        <v>0</v>
      </c>
    </row>
    <row r="186" spans="1:11">
      <c r="A186" s="87">
        <v>166</v>
      </c>
      <c r="B186" s="87" t="s">
        <v>269</v>
      </c>
      <c r="C186" s="87">
        <v>15</v>
      </c>
      <c r="D186" s="99">
        <v>16</v>
      </c>
      <c r="E186" s="128">
        <f t="shared" si="9"/>
        <v>22000</v>
      </c>
      <c r="F186" s="128">
        <f t="shared" si="10"/>
        <v>3300</v>
      </c>
      <c r="G186" s="128">
        <f t="shared" si="11"/>
        <v>3168</v>
      </c>
      <c r="H186" s="128">
        <f>'Ozone-Energy'!P176*10^6/86400 * 24</f>
        <v>1200</v>
      </c>
      <c r="I186" s="129">
        <f>IF( J185+G186-H186*(1/$E$11) &lt; 0, 0, H186*(1/$E$11))</f>
        <v>1250</v>
      </c>
      <c r="J186" s="129">
        <f t="shared" si="12"/>
        <v>2000</v>
      </c>
      <c r="K186">
        <f>IF(J186&lt;=0, 1, 0)</f>
        <v>0</v>
      </c>
    </row>
    <row r="187" spans="1:11">
      <c r="A187" s="87">
        <v>167</v>
      </c>
      <c r="B187" s="87" t="s">
        <v>269</v>
      </c>
      <c r="C187" s="87">
        <v>16</v>
      </c>
      <c r="D187" s="99">
        <v>16</v>
      </c>
      <c r="E187" s="128">
        <f t="shared" si="9"/>
        <v>22000</v>
      </c>
      <c r="F187" s="128">
        <f t="shared" si="10"/>
        <v>3300</v>
      </c>
      <c r="G187" s="128">
        <f t="shared" si="11"/>
        <v>3168</v>
      </c>
      <c r="H187" s="128">
        <f>'Ozone-Energy'!P177*10^6/86400 * 24</f>
        <v>1200</v>
      </c>
      <c r="I187" s="129">
        <f>IF( J186+G187-H187*(1/$E$11) &lt; 0, 0, H187*(1/$E$11))</f>
        <v>1250</v>
      </c>
      <c r="J187" s="129">
        <f t="shared" si="12"/>
        <v>2000</v>
      </c>
      <c r="K187">
        <f>IF(J187&lt;=0, 1, 0)</f>
        <v>0</v>
      </c>
    </row>
    <row r="188" spans="1:11">
      <c r="A188" s="87">
        <v>168</v>
      </c>
      <c r="B188" s="87" t="s">
        <v>269</v>
      </c>
      <c r="C188" s="87">
        <v>17</v>
      </c>
      <c r="D188" s="99">
        <v>16</v>
      </c>
      <c r="E188" s="128">
        <f t="shared" si="9"/>
        <v>22000</v>
      </c>
      <c r="F188" s="128">
        <f t="shared" si="10"/>
        <v>3300</v>
      </c>
      <c r="G188" s="128">
        <f t="shared" si="11"/>
        <v>3168</v>
      </c>
      <c r="H188" s="128">
        <f>'Ozone-Energy'!P178*10^6/86400 * 24</f>
        <v>1200</v>
      </c>
      <c r="I188" s="129">
        <f>IF( J187+G188-H188*(1/$E$11) &lt; 0, 0, H188*(1/$E$11))</f>
        <v>1250</v>
      </c>
      <c r="J188" s="129">
        <f t="shared" si="12"/>
        <v>2000</v>
      </c>
      <c r="K188">
        <f>IF(J188&lt;=0, 1, 0)</f>
        <v>0</v>
      </c>
    </row>
    <row r="189" spans="1:11">
      <c r="A189" s="87">
        <v>169</v>
      </c>
      <c r="B189" s="87" t="s">
        <v>269</v>
      </c>
      <c r="C189" s="87">
        <v>18</v>
      </c>
      <c r="D189" s="99">
        <v>16</v>
      </c>
      <c r="E189" s="128">
        <f t="shared" si="9"/>
        <v>22000</v>
      </c>
      <c r="F189" s="128">
        <f t="shared" si="10"/>
        <v>3300</v>
      </c>
      <c r="G189" s="128">
        <f t="shared" si="11"/>
        <v>3168</v>
      </c>
      <c r="H189" s="128">
        <f>'Ozone-Energy'!P179*10^6/86400 * 24</f>
        <v>6176.609523809524</v>
      </c>
      <c r="I189" s="129">
        <f>IF( J188+G189-H189*(1/$E$11) &lt; 0, 0, H189*(1/$E$11))</f>
        <v>0</v>
      </c>
      <c r="J189" s="129">
        <f>MAX(MIN(J188 + G188 - I188, $E$9), 0)</f>
        <v>2000</v>
      </c>
      <c r="K189">
        <f>IF(J189&lt;=0, 1, 0)</f>
        <v>0</v>
      </c>
    </row>
    <row r="190" spans="1:11">
      <c r="A190" s="87">
        <v>170</v>
      </c>
      <c r="B190" s="87" t="s">
        <v>269</v>
      </c>
      <c r="C190" s="87">
        <v>19</v>
      </c>
      <c r="D190" s="99">
        <v>16</v>
      </c>
      <c r="E190" s="128">
        <f t="shared" si="9"/>
        <v>22000</v>
      </c>
      <c r="F190" s="128">
        <f t="shared" si="10"/>
        <v>3300</v>
      </c>
      <c r="G190" s="128">
        <f t="shared" si="11"/>
        <v>3168</v>
      </c>
      <c r="H190" s="128">
        <f>'Ozone-Energy'!P180*10^6/86400 * 24</f>
        <v>65895.923809523811</v>
      </c>
      <c r="I190" s="129">
        <f>IF( J189+G190-H190*(1/$E$11) &lt; 0, 0, H190*(1/$E$11))</f>
        <v>0</v>
      </c>
      <c r="J190" s="129">
        <f t="shared" si="12"/>
        <v>2000</v>
      </c>
      <c r="K190">
        <f>IF(J190&lt;=0, 1, 0)</f>
        <v>0</v>
      </c>
    </row>
    <row r="191" spans="1:11">
      <c r="A191" s="87">
        <v>171</v>
      </c>
      <c r="B191" s="87" t="s">
        <v>269</v>
      </c>
      <c r="C191" s="87">
        <v>20</v>
      </c>
      <c r="D191" s="99">
        <v>16</v>
      </c>
      <c r="E191" s="128">
        <f t="shared" si="9"/>
        <v>22000</v>
      </c>
      <c r="F191" s="128">
        <f t="shared" si="10"/>
        <v>3300</v>
      </c>
      <c r="G191" s="128">
        <f t="shared" si="11"/>
        <v>3168</v>
      </c>
      <c r="H191" s="128">
        <f>'Ozone-Energy'!P181*10^6/86400 * 24</f>
        <v>11153.219047619048</v>
      </c>
      <c r="I191" s="129">
        <f>IF( J190+G191-H191*(1/$E$11) &lt; 0, 0, H191*(1/$E$11))</f>
        <v>0</v>
      </c>
      <c r="J191" s="129">
        <f t="shared" si="12"/>
        <v>2000</v>
      </c>
      <c r="K191">
        <f>IF(J191&lt;=0, 1, 0)</f>
        <v>0</v>
      </c>
    </row>
    <row r="192" spans="1:11">
      <c r="A192" s="87">
        <v>172</v>
      </c>
      <c r="B192" s="87" t="s">
        <v>269</v>
      </c>
      <c r="C192" s="87">
        <v>21</v>
      </c>
      <c r="D192" s="99">
        <v>16</v>
      </c>
      <c r="E192" s="128">
        <f t="shared" si="9"/>
        <v>22000</v>
      </c>
      <c r="F192" s="128">
        <f t="shared" si="10"/>
        <v>3300</v>
      </c>
      <c r="G192" s="128">
        <f t="shared" si="11"/>
        <v>3168</v>
      </c>
      <c r="H192" s="128">
        <f>'Ozone-Energy'!P182*10^6/86400 * 24</f>
        <v>4932.4571428571417</v>
      </c>
      <c r="I192" s="129">
        <f>IF( J191+G192-H192*(1/$E$11) &lt; 0, 0, H192*(1/$E$11))</f>
        <v>5137.9761904761899</v>
      </c>
      <c r="J192" s="129">
        <f t="shared" si="12"/>
        <v>2000</v>
      </c>
      <c r="K192">
        <f>IF(J192&lt;=0, 1, 0)</f>
        <v>0</v>
      </c>
    </row>
    <row r="193" spans="1:15">
      <c r="A193" s="87">
        <v>173</v>
      </c>
      <c r="B193" s="87" t="s">
        <v>269</v>
      </c>
      <c r="C193" s="87">
        <v>22</v>
      </c>
      <c r="D193" s="99">
        <v>16</v>
      </c>
      <c r="E193" s="128">
        <f t="shared" si="9"/>
        <v>22000</v>
      </c>
      <c r="F193" s="128">
        <f t="shared" si="10"/>
        <v>3300</v>
      </c>
      <c r="G193" s="128">
        <f t="shared" si="11"/>
        <v>3168</v>
      </c>
      <c r="H193" s="128">
        <f>'Ozone-Energy'!P183*10^6/86400 * 24</f>
        <v>1200</v>
      </c>
      <c r="I193" s="129">
        <f>IF( J192+G193-H193*(1/$E$11) &lt; 0, 0, H193*(1/$E$11))</f>
        <v>1250</v>
      </c>
      <c r="J193" s="129">
        <f t="shared" si="12"/>
        <v>30.023809523810087</v>
      </c>
      <c r="K193">
        <f>IF(J193&lt;=0, 1, 0)</f>
        <v>0</v>
      </c>
    </row>
    <row r="194" spans="1:15">
      <c r="A194" s="87">
        <v>174</v>
      </c>
      <c r="B194" s="87" t="s">
        <v>269</v>
      </c>
      <c r="C194" s="87">
        <v>23</v>
      </c>
      <c r="D194" s="99">
        <v>16</v>
      </c>
      <c r="E194" s="128">
        <f t="shared" si="9"/>
        <v>22000</v>
      </c>
      <c r="F194" s="128">
        <f t="shared" si="10"/>
        <v>3300</v>
      </c>
      <c r="G194" s="128">
        <f t="shared" si="11"/>
        <v>3168</v>
      </c>
      <c r="H194" s="128">
        <f>'Ozone-Energy'!P184*10^6/86400 * 24</f>
        <v>49099.866666666669</v>
      </c>
      <c r="I194" s="129">
        <f>IF( J193+G194-H194*(1/$E$11) &lt; 0, 0, H194*(1/$E$11))</f>
        <v>0</v>
      </c>
      <c r="J194" s="129">
        <f t="shared" si="12"/>
        <v>1948.0238095238101</v>
      </c>
      <c r="K194">
        <f>IF(J194&lt;=0, 1, 0)</f>
        <v>0</v>
      </c>
    </row>
    <row r="195" spans="1:15">
      <c r="A195" s="87">
        <v>175</v>
      </c>
      <c r="B195" s="87" t="s">
        <v>269</v>
      </c>
      <c r="C195" s="87">
        <v>24</v>
      </c>
      <c r="D195" s="99">
        <v>16</v>
      </c>
      <c r="E195" s="128">
        <f t="shared" si="9"/>
        <v>22000</v>
      </c>
      <c r="F195" s="128">
        <f t="shared" si="10"/>
        <v>3300</v>
      </c>
      <c r="G195" s="128">
        <f t="shared" si="11"/>
        <v>3168</v>
      </c>
      <c r="H195" s="128">
        <f>'Ozone-Energy'!P185*10^6/86400 * 24</f>
        <v>4932.4571428571417</v>
      </c>
      <c r="I195" s="129">
        <f>IF( J194+G195-H195*(1/$E$11) &lt; 0, 0, H195*(1/$E$11))</f>
        <v>0</v>
      </c>
      <c r="J195" s="129">
        <f t="shared" si="12"/>
        <v>2000</v>
      </c>
      <c r="K195">
        <f>IF(J195&lt;=0, 1, 0)</f>
        <v>0</v>
      </c>
    </row>
    <row r="196" spans="1:15">
      <c r="A196" s="87">
        <v>176</v>
      </c>
      <c r="B196" s="87" t="s">
        <v>269</v>
      </c>
      <c r="C196" s="87">
        <v>25</v>
      </c>
      <c r="D196" s="99">
        <v>16</v>
      </c>
      <c r="E196" s="128">
        <f t="shared" si="9"/>
        <v>22000</v>
      </c>
      <c r="F196" s="128">
        <f t="shared" si="10"/>
        <v>3300</v>
      </c>
      <c r="G196" s="128">
        <f t="shared" si="11"/>
        <v>3168</v>
      </c>
      <c r="H196" s="128">
        <f>'Ozone-Energy'!P186*10^6/86400 * 24</f>
        <v>1200</v>
      </c>
      <c r="I196" s="129">
        <f>IF( J195+G196-H196*(1/$E$11) &lt; 0, 0, H196*(1/$E$11))</f>
        <v>1250</v>
      </c>
      <c r="J196" s="129">
        <f t="shared" si="12"/>
        <v>2000</v>
      </c>
      <c r="K196">
        <f>IF(J196&lt;=0, 1, 0)</f>
        <v>0</v>
      </c>
    </row>
    <row r="197" spans="1:15">
      <c r="A197" s="87">
        <v>177</v>
      </c>
      <c r="B197" s="87" t="s">
        <v>269</v>
      </c>
      <c r="C197" s="87">
        <v>26</v>
      </c>
      <c r="D197" s="99">
        <v>16</v>
      </c>
      <c r="E197" s="128">
        <f t="shared" si="9"/>
        <v>22000</v>
      </c>
      <c r="F197" s="128">
        <f t="shared" si="10"/>
        <v>3300</v>
      </c>
      <c r="G197" s="128">
        <f t="shared" si="11"/>
        <v>3168</v>
      </c>
      <c r="H197" s="128">
        <f>'Ozone-Energy'!P187*10^6/86400 * 24</f>
        <v>19240.209523809521</v>
      </c>
      <c r="I197" s="129">
        <f>IF( J196+G197-H197*(1/$E$11) &lt; 0, 0, H197*(1/$E$11))</f>
        <v>0</v>
      </c>
      <c r="J197" s="129">
        <f t="shared" si="12"/>
        <v>2000</v>
      </c>
      <c r="K197">
        <f>IF(J197&lt;=0, 1, 0)</f>
        <v>0</v>
      </c>
    </row>
    <row r="198" spans="1:15">
      <c r="A198" s="87">
        <v>178</v>
      </c>
      <c r="B198" s="87" t="s">
        <v>269</v>
      </c>
      <c r="C198" s="87">
        <v>27</v>
      </c>
      <c r="D198" s="99">
        <v>16</v>
      </c>
      <c r="E198" s="128">
        <f t="shared" si="9"/>
        <v>22000</v>
      </c>
      <c r="F198" s="128">
        <f t="shared" si="10"/>
        <v>3300</v>
      </c>
      <c r="G198" s="128">
        <f t="shared" si="11"/>
        <v>3168</v>
      </c>
      <c r="H198" s="128">
        <f>'Ozone-Energy'!P188*10^6/86400 * 24</f>
        <v>64651.771428571417</v>
      </c>
      <c r="I198" s="129">
        <f>IF( J197+G198-H198*(1/$E$11) &lt; 0, 0, H198*(1/$E$11))</f>
        <v>0</v>
      </c>
      <c r="J198" s="129">
        <f t="shared" si="12"/>
        <v>2000</v>
      </c>
      <c r="K198">
        <f>IF(J198&lt;=0, 1, 0)</f>
        <v>0</v>
      </c>
    </row>
    <row r="199" spans="1:15">
      <c r="A199" s="87">
        <v>179</v>
      </c>
      <c r="B199" s="87" t="s">
        <v>269</v>
      </c>
      <c r="C199" s="87">
        <v>28</v>
      </c>
      <c r="D199" s="99">
        <v>16</v>
      </c>
      <c r="E199" s="128">
        <f t="shared" si="9"/>
        <v>22000</v>
      </c>
      <c r="F199" s="128">
        <f t="shared" si="10"/>
        <v>3300</v>
      </c>
      <c r="G199" s="128">
        <f t="shared" si="11"/>
        <v>3168</v>
      </c>
      <c r="H199" s="128">
        <f>'Ozone-Energy'!P189*10^6/86400 * 24</f>
        <v>64651.771428571417</v>
      </c>
      <c r="I199" s="129">
        <f>IF( J198+G199-H199*(1/$E$11) &lt; 0, 0, H199*(1/$E$11))</f>
        <v>0</v>
      </c>
      <c r="J199" s="129">
        <f t="shared" si="12"/>
        <v>2000</v>
      </c>
      <c r="K199">
        <f>IF(J199&lt;=0, 1, 0)</f>
        <v>0</v>
      </c>
    </row>
    <row r="200" spans="1:15">
      <c r="A200" s="87">
        <v>180</v>
      </c>
      <c r="B200" s="87" t="s">
        <v>269</v>
      </c>
      <c r="C200" s="87">
        <v>29</v>
      </c>
      <c r="D200" s="99">
        <v>16</v>
      </c>
      <c r="E200" s="128">
        <f t="shared" si="9"/>
        <v>22000</v>
      </c>
      <c r="F200" s="128">
        <f t="shared" si="10"/>
        <v>3300</v>
      </c>
      <c r="G200" s="128">
        <f t="shared" si="11"/>
        <v>3168</v>
      </c>
      <c r="H200" s="128">
        <f>'Ozone-Energy'!P190*10^6/86400 * 24</f>
        <v>3066.2285714285708</v>
      </c>
      <c r="I200" s="129">
        <f>IF( J199+G200-H200*(1/$E$11) &lt; 0, 0, H200*(1/$E$11))</f>
        <v>3193.988095238095</v>
      </c>
      <c r="J200" s="129">
        <f t="shared" si="12"/>
        <v>2000</v>
      </c>
      <c r="K200">
        <f>IF(J200&lt;=0, 1, 0)</f>
        <v>0</v>
      </c>
    </row>
    <row r="201" spans="1:15">
      <c r="A201" s="87">
        <v>181</v>
      </c>
      <c r="B201" s="87" t="s">
        <v>269</v>
      </c>
      <c r="C201" s="87">
        <v>30</v>
      </c>
      <c r="D201" s="99">
        <v>16</v>
      </c>
      <c r="E201" s="128">
        <f t="shared" si="9"/>
        <v>22000</v>
      </c>
      <c r="F201" s="128">
        <f t="shared" si="10"/>
        <v>3300</v>
      </c>
      <c r="G201" s="128">
        <f t="shared" si="11"/>
        <v>3168</v>
      </c>
      <c r="H201" s="128">
        <f>'Ozone-Energy'!P191*10^6/86400 * 24</f>
        <v>1200</v>
      </c>
      <c r="I201" s="129">
        <f>IF( J200+G201-H201*(1/$E$11) &lt; 0, 0, H201*(1/$E$11))</f>
        <v>1250</v>
      </c>
      <c r="J201" s="129">
        <f t="shared" si="12"/>
        <v>1974.011904761905</v>
      </c>
      <c r="K201">
        <f>IF(J201&lt;=0, 1, 0)</f>
        <v>0</v>
      </c>
    </row>
    <row r="202" spans="1:15">
      <c r="A202" s="87">
        <v>182</v>
      </c>
      <c r="B202" s="87" t="s">
        <v>270</v>
      </c>
      <c r="C202" s="87">
        <v>1</v>
      </c>
      <c r="D202" s="99">
        <v>15.75</v>
      </c>
      <c r="E202" s="128">
        <f t="shared" si="9"/>
        <v>21656.25</v>
      </c>
      <c r="F202" s="128">
        <f t="shared" si="10"/>
        <v>3248.4375</v>
      </c>
      <c r="G202" s="128">
        <f t="shared" si="11"/>
        <v>3118.5</v>
      </c>
      <c r="H202" s="128">
        <f>'Ozone-Energy'!P192*10^6/86400 * 24</f>
        <v>1200</v>
      </c>
      <c r="I202" s="129">
        <f>IF( J201+G202-H202*(1/$E$11) &lt; 0, 0, H202*(1/$E$11))</f>
        <v>1250</v>
      </c>
      <c r="J202" s="129">
        <f t="shared" si="12"/>
        <v>2000</v>
      </c>
      <c r="K202">
        <f>IF(J202&lt;=0, 1, 0)</f>
        <v>0</v>
      </c>
    </row>
    <row r="203" spans="1:15">
      <c r="A203" s="87">
        <v>183</v>
      </c>
      <c r="B203" s="87" t="s">
        <v>270</v>
      </c>
      <c r="C203" s="87">
        <v>2</v>
      </c>
      <c r="D203" s="99">
        <v>15.75</v>
      </c>
      <c r="E203" s="128">
        <f t="shared" si="9"/>
        <v>21656.25</v>
      </c>
      <c r="F203" s="128">
        <f t="shared" si="10"/>
        <v>3248.4375</v>
      </c>
      <c r="G203" s="128">
        <f t="shared" si="11"/>
        <v>3118.5</v>
      </c>
      <c r="H203" s="128">
        <f>'Ozone-Energy'!P193*10^6/86400 * 24</f>
        <v>6798.6857142857134</v>
      </c>
      <c r="I203" s="129">
        <f>IF( J202+G203-H203*(1/$E$11) &lt; 0, 0, H203*(1/$E$11))</f>
        <v>0</v>
      </c>
      <c r="J203" s="129">
        <f t="shared" si="12"/>
        <v>2000</v>
      </c>
      <c r="K203">
        <f>IF(J203&lt;=0, 1, 0)</f>
        <v>0</v>
      </c>
    </row>
    <row r="204" spans="1:15">
      <c r="A204" s="87">
        <v>184</v>
      </c>
      <c r="B204" s="87" t="s">
        <v>270</v>
      </c>
      <c r="C204" s="87">
        <v>3</v>
      </c>
      <c r="D204" s="99">
        <v>15.75</v>
      </c>
      <c r="E204" s="128">
        <f t="shared" si="9"/>
        <v>21656.25</v>
      </c>
      <c r="F204" s="128">
        <f t="shared" si="10"/>
        <v>3248.4375</v>
      </c>
      <c r="G204" s="128">
        <f t="shared" si="11"/>
        <v>3118.5</v>
      </c>
      <c r="H204" s="128">
        <f>'Ozone-Energy'!P194*10^6/86400 * 24</f>
        <v>20484.361904761899</v>
      </c>
      <c r="I204" s="129">
        <f>IF( J203+G204-H204*(1/$E$11) &lt; 0, 0, H204*(1/$E$11))</f>
        <v>0</v>
      </c>
      <c r="J204" s="129">
        <f t="shared" si="12"/>
        <v>2000</v>
      </c>
      <c r="K204">
        <f>IF(J204&lt;=0, 1, 0)</f>
        <v>0</v>
      </c>
    </row>
    <row r="205" spans="1:15" ht="15.75">
      <c r="A205" s="87">
        <v>185</v>
      </c>
      <c r="B205" s="87" t="s">
        <v>270</v>
      </c>
      <c r="C205" s="87">
        <v>4</v>
      </c>
      <c r="D205" s="99">
        <v>15.75</v>
      </c>
      <c r="E205" s="128">
        <f t="shared" si="9"/>
        <v>21656.25</v>
      </c>
      <c r="F205" s="128">
        <f t="shared" si="10"/>
        <v>3248.4375</v>
      </c>
      <c r="G205" s="128">
        <f t="shared" si="11"/>
        <v>3118.5</v>
      </c>
      <c r="H205" s="128">
        <f>'Ozone-Energy'!P195*10^6/86400 * 24</f>
        <v>30437.580952380951</v>
      </c>
      <c r="I205" s="129">
        <f>IF( J204+G205-H205*(1/$E$11) &lt; 0, 0, H205*(1/$E$11))</f>
        <v>0</v>
      </c>
      <c r="J205" s="129">
        <f t="shared" si="12"/>
        <v>2000</v>
      </c>
      <c r="K205">
        <f>IF(J205&lt;=0, 1, 0)</f>
        <v>0</v>
      </c>
      <c r="L205" s="87"/>
      <c r="M205" s="87"/>
      <c r="N205" s="87"/>
      <c r="O205" s="87"/>
    </row>
    <row r="206" spans="1:15" ht="15.75">
      <c r="A206" s="87">
        <v>186</v>
      </c>
      <c r="B206" s="87" t="s">
        <v>270</v>
      </c>
      <c r="C206" s="87">
        <v>5</v>
      </c>
      <c r="D206" s="99">
        <v>15.75</v>
      </c>
      <c r="E206" s="128">
        <f t="shared" si="9"/>
        <v>21656.25</v>
      </c>
      <c r="F206" s="128">
        <f t="shared" si="10"/>
        <v>3248.4375</v>
      </c>
      <c r="G206" s="128">
        <f t="shared" si="11"/>
        <v>3118.5</v>
      </c>
      <c r="H206" s="128">
        <f>'Ozone-Energy'!P196*10^6/86400 * 24</f>
        <v>83936.133333333346</v>
      </c>
      <c r="I206" s="129">
        <f>IF( J205+G206-H206*(1/$E$11) &lt; 0, 0, H206*(1/$E$11))</f>
        <v>0</v>
      </c>
      <c r="J206" s="129">
        <f t="shared" si="12"/>
        <v>2000</v>
      </c>
      <c r="K206">
        <f>IF(J206&lt;=0, 1, 0)</f>
        <v>0</v>
      </c>
      <c r="L206" s="87"/>
      <c r="M206" s="87"/>
      <c r="N206" s="87"/>
      <c r="O206" s="87"/>
    </row>
    <row r="207" spans="1:15" ht="15.75">
      <c r="A207" s="87">
        <v>187</v>
      </c>
      <c r="B207" s="87" t="s">
        <v>270</v>
      </c>
      <c r="C207" s="87">
        <v>6</v>
      </c>
      <c r="D207" s="99">
        <v>15.75</v>
      </c>
      <c r="E207" s="128">
        <f t="shared" si="9"/>
        <v>21656.25</v>
      </c>
      <c r="F207" s="128">
        <f t="shared" si="10"/>
        <v>3248.4375</v>
      </c>
      <c r="G207" s="128">
        <f t="shared" si="11"/>
        <v>3118.5</v>
      </c>
      <c r="H207" s="128">
        <f>'Ozone-Energy'!P197*10^6/86400 * 24</f>
        <v>43501.180952380935</v>
      </c>
      <c r="I207" s="129">
        <f>IF( J206+G207-H207*(1/$E$11) &lt; 0, 0, H207*(1/$E$11))</f>
        <v>0</v>
      </c>
      <c r="J207" s="129">
        <f t="shared" si="12"/>
        <v>2000</v>
      </c>
      <c r="K207">
        <f>IF(J207&lt;=0, 1, 0)</f>
        <v>0</v>
      </c>
      <c r="L207" s="87"/>
      <c r="M207" s="87"/>
      <c r="N207" s="87"/>
      <c r="O207" s="87"/>
    </row>
    <row r="208" spans="1:15" ht="15.75">
      <c r="A208" s="87">
        <v>188</v>
      </c>
      <c r="B208" s="87" t="s">
        <v>270</v>
      </c>
      <c r="C208" s="87">
        <v>7</v>
      </c>
      <c r="D208" s="99">
        <v>15.75</v>
      </c>
      <c r="E208" s="128">
        <f t="shared" si="9"/>
        <v>21656.25</v>
      </c>
      <c r="F208" s="128">
        <f t="shared" si="10"/>
        <v>3248.4375</v>
      </c>
      <c r="G208" s="128">
        <f t="shared" si="11"/>
        <v>3118.5</v>
      </c>
      <c r="H208" s="128">
        <f>'Ozone-Energy'!P198*10^6/86400 * 24</f>
        <v>1200</v>
      </c>
      <c r="I208" s="129">
        <f>IF( J207+G208-H208*(1/$E$11) &lt; 0, 0, H208*(1/$E$11))</f>
        <v>1250</v>
      </c>
      <c r="J208" s="129">
        <f t="shared" si="12"/>
        <v>2000</v>
      </c>
      <c r="K208">
        <f>IF(J208&lt;=0, 1, 0)</f>
        <v>0</v>
      </c>
      <c r="L208" s="87"/>
      <c r="M208" s="87"/>
      <c r="N208" s="87"/>
      <c r="O208" s="87"/>
    </row>
    <row r="209" spans="1:15" ht="15.75">
      <c r="A209" s="87">
        <v>189</v>
      </c>
      <c r="B209" s="87" t="s">
        <v>270</v>
      </c>
      <c r="C209" s="87">
        <v>8</v>
      </c>
      <c r="D209" s="99">
        <v>15.75</v>
      </c>
      <c r="E209" s="128">
        <f t="shared" si="9"/>
        <v>21656.25</v>
      </c>
      <c r="F209" s="128">
        <f t="shared" si="10"/>
        <v>3248.4375</v>
      </c>
      <c r="G209" s="128">
        <f t="shared" si="11"/>
        <v>3118.5</v>
      </c>
      <c r="H209" s="128">
        <f>'Ozone-Energy'!P199*10^6/86400 * 24</f>
        <v>1200</v>
      </c>
      <c r="I209" s="129">
        <f>IF( J208+G209-H209*(1/$E$11) &lt; 0, 0, H209*(1/$E$11))</f>
        <v>1250</v>
      </c>
      <c r="J209" s="129">
        <f t="shared" si="12"/>
        <v>2000</v>
      </c>
      <c r="K209">
        <f>IF(J209&lt;=0, 1, 0)</f>
        <v>0</v>
      </c>
      <c r="L209" s="87"/>
      <c r="M209" s="87"/>
      <c r="N209" s="87"/>
      <c r="O209" s="87"/>
    </row>
    <row r="210" spans="1:15" ht="15.75">
      <c r="A210" s="87">
        <v>190</v>
      </c>
      <c r="B210" s="87" t="s">
        <v>270</v>
      </c>
      <c r="C210" s="87">
        <v>9</v>
      </c>
      <c r="D210" s="99">
        <v>15.75</v>
      </c>
      <c r="E210" s="128">
        <f t="shared" si="9"/>
        <v>21656.25</v>
      </c>
      <c r="F210" s="128">
        <f t="shared" si="10"/>
        <v>3248.4375</v>
      </c>
      <c r="G210" s="128">
        <f t="shared" si="11"/>
        <v>3118.5</v>
      </c>
      <c r="H210" s="128">
        <f>'Ozone-Energy'!P200*10^6/86400 * 24</f>
        <v>1200</v>
      </c>
      <c r="I210" s="129">
        <f>IF( J209+G210-H210*(1/$E$11) &lt; 0, 0, H210*(1/$E$11))</f>
        <v>1250</v>
      </c>
      <c r="J210" s="129">
        <f t="shared" si="12"/>
        <v>2000</v>
      </c>
      <c r="K210">
        <f>IF(J210&lt;=0, 1, 0)</f>
        <v>0</v>
      </c>
      <c r="L210" s="87"/>
      <c r="M210" s="87"/>
      <c r="N210" s="87"/>
      <c r="O210" s="87"/>
    </row>
    <row r="211" spans="1:15" ht="15.75">
      <c r="A211" s="87">
        <v>191</v>
      </c>
      <c r="B211" s="87" t="s">
        <v>270</v>
      </c>
      <c r="C211" s="87">
        <v>10</v>
      </c>
      <c r="D211" s="99">
        <v>15.75</v>
      </c>
      <c r="E211" s="128">
        <f t="shared" si="9"/>
        <v>21656.25</v>
      </c>
      <c r="F211" s="128">
        <f t="shared" si="10"/>
        <v>3248.4375</v>
      </c>
      <c r="G211" s="128">
        <f t="shared" si="11"/>
        <v>3118.5</v>
      </c>
      <c r="H211" s="128">
        <f>'Ozone-Energy'!P201*10^6/86400 * 24</f>
        <v>1200</v>
      </c>
      <c r="I211" s="129">
        <f>IF( J210+G211-H211*(1/$E$11) &lt; 0, 0, H211*(1/$E$11))</f>
        <v>1250</v>
      </c>
      <c r="J211" s="129">
        <f t="shared" si="12"/>
        <v>2000</v>
      </c>
      <c r="K211">
        <f>IF(J211&lt;=0, 1, 0)</f>
        <v>0</v>
      </c>
      <c r="L211" s="87"/>
      <c r="M211" s="87"/>
      <c r="N211" s="87"/>
      <c r="O211" s="87"/>
    </row>
    <row r="212" spans="1:15" ht="15.75">
      <c r="A212" s="87">
        <v>192</v>
      </c>
      <c r="B212" s="87" t="s">
        <v>270</v>
      </c>
      <c r="C212" s="87">
        <v>11</v>
      </c>
      <c r="D212" s="99">
        <v>15.75</v>
      </c>
      <c r="E212" s="128">
        <f t="shared" si="9"/>
        <v>21656.25</v>
      </c>
      <c r="F212" s="128">
        <f t="shared" si="10"/>
        <v>3248.4375</v>
      </c>
      <c r="G212" s="128">
        <f t="shared" si="11"/>
        <v>3118.5</v>
      </c>
      <c r="H212" s="128">
        <f>'Ozone-Energy'!P202*10^6/86400 * 24</f>
        <v>1200</v>
      </c>
      <c r="I212" s="129">
        <f>IF( J211+G212-H212*(1/$E$11) &lt; 0, 0, H212*(1/$E$11))</f>
        <v>1250</v>
      </c>
      <c r="J212" s="129">
        <f t="shared" si="12"/>
        <v>2000</v>
      </c>
      <c r="K212">
        <f>IF(J212&lt;=0, 1, 0)</f>
        <v>0</v>
      </c>
      <c r="L212" s="87"/>
      <c r="M212" s="87"/>
      <c r="N212" s="87"/>
      <c r="O212" s="87"/>
    </row>
    <row r="213" spans="1:15" ht="15.75">
      <c r="A213" s="87">
        <v>193</v>
      </c>
      <c r="B213" s="87" t="s">
        <v>270</v>
      </c>
      <c r="C213" s="87">
        <v>12</v>
      </c>
      <c r="D213" s="99">
        <v>15.75</v>
      </c>
      <c r="E213" s="128">
        <f t="shared" ref="E213:E276" si="13">$E$4 * ($E$6)*D213</f>
        <v>21656.25</v>
      </c>
      <c r="F213" s="128">
        <f t="shared" ref="F213:F276" si="14">E213*$E$7</f>
        <v>3248.4375</v>
      </c>
      <c r="G213" s="128">
        <f t="shared" ref="G213:G276" si="15">F213*$E$11</f>
        <v>3118.5</v>
      </c>
      <c r="H213" s="128">
        <f>'Ozone-Energy'!P203*10^6/86400 * 24</f>
        <v>1200</v>
      </c>
      <c r="I213" s="129">
        <f>IF( J212+G213-H213*(1/$E$11) &lt; 0, 0, H213*(1/$E$11))</f>
        <v>1250</v>
      </c>
      <c r="J213" s="129">
        <f t="shared" si="12"/>
        <v>2000</v>
      </c>
      <c r="K213">
        <f>IF(J213&lt;=0, 1, 0)</f>
        <v>0</v>
      </c>
      <c r="L213" s="87"/>
      <c r="M213" s="87"/>
      <c r="N213" s="87"/>
      <c r="O213" s="87"/>
    </row>
    <row r="214" spans="1:15" ht="15.75">
      <c r="A214" s="87">
        <v>194</v>
      </c>
      <c r="B214" s="87" t="s">
        <v>270</v>
      </c>
      <c r="C214" s="87">
        <v>13</v>
      </c>
      <c r="D214" s="99">
        <v>15.75</v>
      </c>
      <c r="E214" s="128">
        <f t="shared" si="13"/>
        <v>21656.25</v>
      </c>
      <c r="F214" s="128">
        <f t="shared" si="14"/>
        <v>3248.4375</v>
      </c>
      <c r="G214" s="128">
        <f t="shared" si="15"/>
        <v>3118.5</v>
      </c>
      <c r="H214" s="128">
        <f>'Ozone-Energy'!P204*10^6/86400 * 24</f>
        <v>1200</v>
      </c>
      <c r="I214" s="129">
        <f>IF( J213+G214-H214*(1/$E$11) &lt; 0, 0, H214*(1/$E$11))</f>
        <v>1250</v>
      </c>
      <c r="J214" s="129">
        <f t="shared" si="12"/>
        <v>2000</v>
      </c>
      <c r="K214">
        <f>IF(J214&lt;=0, 1, 0)</f>
        <v>0</v>
      </c>
      <c r="L214" s="87"/>
      <c r="M214" s="87"/>
      <c r="N214" s="87"/>
      <c r="O214" s="87"/>
    </row>
    <row r="215" spans="1:15" ht="15.75">
      <c r="A215" s="87">
        <v>195</v>
      </c>
      <c r="B215" s="87" t="s">
        <v>270</v>
      </c>
      <c r="C215" s="87">
        <v>14</v>
      </c>
      <c r="D215" s="99">
        <v>15.75</v>
      </c>
      <c r="E215" s="128">
        <f t="shared" si="13"/>
        <v>21656.25</v>
      </c>
      <c r="F215" s="128">
        <f t="shared" si="14"/>
        <v>3248.4375</v>
      </c>
      <c r="G215" s="128">
        <f t="shared" si="15"/>
        <v>3118.5</v>
      </c>
      <c r="H215" s="128">
        <f>'Ozone-Energy'!P205*10^6/86400 * 24</f>
        <v>1200</v>
      </c>
      <c r="I215" s="129">
        <f>IF( J214+G215-H215*(1/$E$11) &lt; 0, 0, H215*(1/$E$11))</f>
        <v>1250</v>
      </c>
      <c r="J215" s="129">
        <f t="shared" ref="J215:J278" si="16">MAX(MIN(J214 + G214 - I214, $E$9), 0)</f>
        <v>2000</v>
      </c>
      <c r="K215">
        <f>IF(J215&lt;=0, 1, 0)</f>
        <v>0</v>
      </c>
      <c r="L215" s="87"/>
      <c r="M215" s="87"/>
      <c r="N215" s="87"/>
      <c r="O215" s="87"/>
    </row>
    <row r="216" spans="1:15" ht="15.75">
      <c r="A216" s="87">
        <v>196</v>
      </c>
      <c r="B216" s="87" t="s">
        <v>270</v>
      </c>
      <c r="C216" s="87">
        <v>15</v>
      </c>
      <c r="D216" s="99">
        <v>15.75</v>
      </c>
      <c r="E216" s="128">
        <f t="shared" si="13"/>
        <v>21656.25</v>
      </c>
      <c r="F216" s="128">
        <f t="shared" si="14"/>
        <v>3248.4375</v>
      </c>
      <c r="G216" s="128">
        <f t="shared" si="15"/>
        <v>3118.5</v>
      </c>
      <c r="H216" s="128">
        <f>'Ozone-Energy'!P206*10^6/86400 * 24</f>
        <v>1200</v>
      </c>
      <c r="I216" s="129">
        <f>IF( J215+G216-H216*(1/$E$11) &lt; 0, 0, H216*(1/$E$11))</f>
        <v>1250</v>
      </c>
      <c r="J216" s="129">
        <f t="shared" si="16"/>
        <v>2000</v>
      </c>
      <c r="K216">
        <f>IF(J216&lt;=0, 1, 0)</f>
        <v>0</v>
      </c>
      <c r="L216" s="87"/>
      <c r="M216" s="87"/>
      <c r="N216" s="87"/>
      <c r="O216" s="87"/>
    </row>
    <row r="217" spans="1:15" ht="15.75">
      <c r="A217" s="87">
        <v>197</v>
      </c>
      <c r="B217" s="87" t="s">
        <v>270</v>
      </c>
      <c r="C217" s="87">
        <v>16</v>
      </c>
      <c r="D217" s="99">
        <v>15.75</v>
      </c>
      <c r="E217" s="128">
        <f t="shared" si="13"/>
        <v>21656.25</v>
      </c>
      <c r="F217" s="128">
        <f t="shared" si="14"/>
        <v>3248.4375</v>
      </c>
      <c r="G217" s="128">
        <f t="shared" si="15"/>
        <v>3118.5</v>
      </c>
      <c r="H217" s="128">
        <f>'Ozone-Energy'!P207*10^6/86400 * 24</f>
        <v>1200</v>
      </c>
      <c r="I217" s="129">
        <f>IF( J216+G217-H217*(1/$E$11) &lt; 0, 0, H217*(1/$E$11))</f>
        <v>1250</v>
      </c>
      <c r="J217" s="129">
        <f t="shared" si="16"/>
        <v>2000</v>
      </c>
      <c r="K217">
        <f>IF(J217&lt;=0, 1, 0)</f>
        <v>0</v>
      </c>
      <c r="L217" s="87"/>
      <c r="M217" s="87"/>
      <c r="N217" s="87"/>
      <c r="O217" s="87"/>
    </row>
    <row r="218" spans="1:15" ht="15.75">
      <c r="A218" s="87">
        <v>198</v>
      </c>
      <c r="B218" s="87" t="s">
        <v>270</v>
      </c>
      <c r="C218" s="87">
        <v>17</v>
      </c>
      <c r="D218" s="99">
        <v>15.75</v>
      </c>
      <c r="E218" s="128">
        <f t="shared" si="13"/>
        <v>21656.25</v>
      </c>
      <c r="F218" s="128">
        <f t="shared" si="14"/>
        <v>3248.4375</v>
      </c>
      <c r="G218" s="128">
        <f t="shared" si="15"/>
        <v>3118.5</v>
      </c>
      <c r="H218" s="128">
        <f>'Ozone-Energy'!P208*10^6/86400 * 24</f>
        <v>1200</v>
      </c>
      <c r="I218" s="129">
        <f>IF( J217+G218-H218*(1/$E$11) &lt; 0, 0, H218*(1/$E$11))</f>
        <v>1250</v>
      </c>
      <c r="J218" s="129">
        <f t="shared" si="16"/>
        <v>2000</v>
      </c>
      <c r="K218">
        <f>IF(J218&lt;=0, 1, 0)</f>
        <v>0</v>
      </c>
      <c r="L218" s="87"/>
      <c r="M218" s="87"/>
      <c r="N218" s="87"/>
      <c r="O218" s="87"/>
    </row>
    <row r="219" spans="1:15" ht="15.75">
      <c r="A219" s="87">
        <v>199</v>
      </c>
      <c r="B219" s="87" t="s">
        <v>270</v>
      </c>
      <c r="C219" s="87">
        <v>18</v>
      </c>
      <c r="D219" s="99">
        <v>15.75</v>
      </c>
      <c r="E219" s="128">
        <f t="shared" si="13"/>
        <v>21656.25</v>
      </c>
      <c r="F219" s="128">
        <f t="shared" si="14"/>
        <v>3248.4375</v>
      </c>
      <c r="G219" s="128">
        <f t="shared" si="15"/>
        <v>3118.5</v>
      </c>
      <c r="H219" s="128">
        <f>'Ozone-Energy'!P209*10^6/86400 * 24</f>
        <v>116284.09523809521</v>
      </c>
      <c r="I219" s="129">
        <f>IF( J218+G219-H219*(1/$E$11) &lt; 0, 0, H219*(1/$E$11))</f>
        <v>0</v>
      </c>
      <c r="J219" s="129">
        <f t="shared" si="16"/>
        <v>2000</v>
      </c>
      <c r="K219">
        <f>IF(J219&lt;=0, 1, 0)</f>
        <v>0</v>
      </c>
      <c r="L219" s="87"/>
      <c r="M219" s="87"/>
      <c r="N219" s="87"/>
      <c r="O219" s="87"/>
    </row>
    <row r="220" spans="1:15" ht="15.75">
      <c r="A220" s="87">
        <v>200</v>
      </c>
      <c r="B220" s="87" t="s">
        <v>270</v>
      </c>
      <c r="C220" s="87">
        <v>19</v>
      </c>
      <c r="D220" s="99">
        <v>15.75</v>
      </c>
      <c r="E220" s="128">
        <f t="shared" si="13"/>
        <v>21656.25</v>
      </c>
      <c r="F220" s="128">
        <f t="shared" si="14"/>
        <v>3248.4375</v>
      </c>
      <c r="G220" s="128">
        <f t="shared" si="15"/>
        <v>3118.5</v>
      </c>
      <c r="H220" s="128">
        <f>'Ozone-Energy'!P210*10^6/86400 * 24</f>
        <v>6798.6857142857134</v>
      </c>
      <c r="I220" s="129">
        <f>IF( J219+G220-H220*(1/$E$11) &lt; 0, 0, H220*(1/$E$11))</f>
        <v>0</v>
      </c>
      <c r="J220" s="129">
        <f t="shared" si="16"/>
        <v>2000</v>
      </c>
      <c r="K220">
        <f>IF(J220&lt;=0, 1, 0)</f>
        <v>0</v>
      </c>
      <c r="L220" s="87"/>
      <c r="M220" s="87"/>
      <c r="N220" s="87"/>
      <c r="O220" s="87"/>
    </row>
    <row r="221" spans="1:15" ht="15.75">
      <c r="A221" s="87">
        <v>201</v>
      </c>
      <c r="B221" s="87" t="s">
        <v>270</v>
      </c>
      <c r="C221" s="87">
        <v>20</v>
      </c>
      <c r="D221" s="99">
        <v>15.75</v>
      </c>
      <c r="E221" s="128">
        <f t="shared" si="13"/>
        <v>21656.25</v>
      </c>
      <c r="F221" s="128">
        <f t="shared" si="14"/>
        <v>3248.4375</v>
      </c>
      <c r="G221" s="128">
        <f t="shared" si="15"/>
        <v>3118.5</v>
      </c>
      <c r="H221" s="128">
        <f>'Ozone-Energy'!P211*10^6/86400 * 24</f>
        <v>1200</v>
      </c>
      <c r="I221" s="129">
        <f>IF( J220+G221-H221*(1/$E$11) &lt; 0, 0, H221*(1/$E$11))</f>
        <v>1250</v>
      </c>
      <c r="J221" s="129">
        <f t="shared" si="16"/>
        <v>2000</v>
      </c>
      <c r="K221">
        <f>IF(J221&lt;=0, 1, 0)</f>
        <v>0</v>
      </c>
      <c r="L221" s="87"/>
      <c r="M221" s="87"/>
      <c r="N221" s="87"/>
      <c r="O221" s="87"/>
    </row>
    <row r="222" spans="1:15" ht="15.75">
      <c r="A222" s="87">
        <v>202</v>
      </c>
      <c r="B222" s="87" t="s">
        <v>270</v>
      </c>
      <c r="C222" s="87">
        <v>21</v>
      </c>
      <c r="D222" s="99">
        <v>15.75</v>
      </c>
      <c r="E222" s="128">
        <f t="shared" si="13"/>
        <v>21656.25</v>
      </c>
      <c r="F222" s="128">
        <f t="shared" si="14"/>
        <v>3248.4375</v>
      </c>
      <c r="G222" s="128">
        <f t="shared" si="15"/>
        <v>3118.5</v>
      </c>
      <c r="H222" s="128">
        <f>'Ozone-Energy'!P212*10^6/86400 * 24</f>
        <v>1200</v>
      </c>
      <c r="I222" s="129">
        <f>IF( J221+G222-H222*(1/$E$11) &lt; 0, 0, H222*(1/$E$11))</f>
        <v>1250</v>
      </c>
      <c r="J222" s="129">
        <f t="shared" si="16"/>
        <v>2000</v>
      </c>
      <c r="K222">
        <f>IF(J222&lt;=0, 1, 0)</f>
        <v>0</v>
      </c>
      <c r="L222" s="87"/>
      <c r="M222" s="87"/>
      <c r="N222" s="87"/>
      <c r="O222" s="87"/>
    </row>
    <row r="223" spans="1:15" ht="15.75">
      <c r="A223" s="87">
        <v>203</v>
      </c>
      <c r="B223" s="87" t="s">
        <v>270</v>
      </c>
      <c r="C223" s="87">
        <v>22</v>
      </c>
      <c r="D223" s="99">
        <v>15.75</v>
      </c>
      <c r="E223" s="128">
        <f t="shared" si="13"/>
        <v>21656.25</v>
      </c>
      <c r="F223" s="128">
        <f t="shared" si="14"/>
        <v>3248.4375</v>
      </c>
      <c r="G223" s="128">
        <f t="shared" si="15"/>
        <v>3118.5</v>
      </c>
      <c r="H223" s="128">
        <f>'Ozone-Energy'!P213*10^6/86400 * 24</f>
        <v>26083.047619047618</v>
      </c>
      <c r="I223" s="129">
        <f>IF( J222+G223-H223*(1/$E$11) &lt; 0, 0, H223*(1/$E$11))</f>
        <v>0</v>
      </c>
      <c r="J223" s="129">
        <f t="shared" si="16"/>
        <v>2000</v>
      </c>
      <c r="K223">
        <f>IF(J223&lt;=0, 1, 0)</f>
        <v>0</v>
      </c>
      <c r="L223" s="87"/>
      <c r="M223" s="87"/>
      <c r="N223" s="87"/>
      <c r="O223" s="87"/>
    </row>
    <row r="224" spans="1:15" ht="15.75">
      <c r="A224" s="87">
        <v>204</v>
      </c>
      <c r="B224" s="87" t="s">
        <v>270</v>
      </c>
      <c r="C224" s="87">
        <v>23</v>
      </c>
      <c r="D224" s="99">
        <v>15.75</v>
      </c>
      <c r="E224" s="128">
        <f t="shared" si="13"/>
        <v>21656.25</v>
      </c>
      <c r="F224" s="128">
        <f t="shared" si="14"/>
        <v>3248.4375</v>
      </c>
      <c r="G224" s="128">
        <f t="shared" si="15"/>
        <v>3118.5</v>
      </c>
      <c r="H224" s="128">
        <f>'Ozone-Energy'!P214*10^6/86400 * 24</f>
        <v>57808.933333333334</v>
      </c>
      <c r="I224" s="129">
        <f>IF( J223+G224-H224*(1/$E$11) &lt; 0, 0, H224*(1/$E$11))</f>
        <v>0</v>
      </c>
      <c r="J224" s="129">
        <f t="shared" si="16"/>
        <v>2000</v>
      </c>
      <c r="K224">
        <f>IF(J224&lt;=0, 1, 0)</f>
        <v>0</v>
      </c>
      <c r="L224" s="87"/>
      <c r="M224" s="87"/>
      <c r="N224" s="87"/>
      <c r="O224" s="87"/>
    </row>
    <row r="225" spans="1:15" ht="15.75">
      <c r="A225" s="87">
        <v>205</v>
      </c>
      <c r="B225" s="87" t="s">
        <v>270</v>
      </c>
      <c r="C225" s="87">
        <v>24</v>
      </c>
      <c r="D225" s="99">
        <v>15.75</v>
      </c>
      <c r="E225" s="128">
        <f t="shared" si="13"/>
        <v>21656.25</v>
      </c>
      <c r="F225" s="128">
        <f t="shared" si="14"/>
        <v>3248.4375</v>
      </c>
      <c r="G225" s="128">
        <f t="shared" si="15"/>
        <v>3118.5</v>
      </c>
      <c r="H225" s="128">
        <f>'Ozone-Energy'!P215*10^6/86400 * 24</f>
        <v>3066.2285714285708</v>
      </c>
      <c r="I225" s="129">
        <f>IF( J224+G225-H225*(1/$E$11) &lt; 0, 0, H225*(1/$E$11))</f>
        <v>3193.988095238095</v>
      </c>
      <c r="J225" s="129">
        <f t="shared" si="16"/>
        <v>2000</v>
      </c>
      <c r="K225">
        <f>IF(J225&lt;=0, 1, 0)</f>
        <v>0</v>
      </c>
      <c r="L225" s="87"/>
      <c r="M225" s="87"/>
      <c r="N225" s="87"/>
      <c r="O225" s="87"/>
    </row>
    <row r="226" spans="1:15" ht="15.75">
      <c r="A226" s="87">
        <v>206</v>
      </c>
      <c r="B226" s="87" t="s">
        <v>270</v>
      </c>
      <c r="C226" s="87">
        <v>25</v>
      </c>
      <c r="D226" s="99">
        <v>15.75</v>
      </c>
      <c r="E226" s="128">
        <f t="shared" si="13"/>
        <v>21656.25</v>
      </c>
      <c r="F226" s="128">
        <f t="shared" si="14"/>
        <v>3248.4375</v>
      </c>
      <c r="G226" s="128">
        <f t="shared" si="15"/>
        <v>3118.5</v>
      </c>
      <c r="H226" s="128">
        <f>'Ozone-Energy'!P216*10^6/86400 * 24</f>
        <v>1200</v>
      </c>
      <c r="I226" s="129">
        <f>IF( J225+G226-H226*(1/$E$11) &lt; 0, 0, H226*(1/$E$11))</f>
        <v>1250</v>
      </c>
      <c r="J226" s="129">
        <f t="shared" si="16"/>
        <v>1924.511904761905</v>
      </c>
      <c r="K226">
        <f>IF(J226&lt;=0, 1, 0)</f>
        <v>0</v>
      </c>
      <c r="L226" s="87"/>
      <c r="M226" s="87"/>
      <c r="N226" s="87"/>
      <c r="O226" s="87"/>
    </row>
    <row r="227" spans="1:15" ht="15.75">
      <c r="A227" s="87">
        <v>207</v>
      </c>
      <c r="B227" s="87" t="s">
        <v>270</v>
      </c>
      <c r="C227" s="87">
        <v>26</v>
      </c>
      <c r="D227" s="99">
        <v>15.75</v>
      </c>
      <c r="E227" s="128">
        <f t="shared" si="13"/>
        <v>21656.25</v>
      </c>
      <c r="F227" s="128">
        <f t="shared" si="14"/>
        <v>3248.4375</v>
      </c>
      <c r="G227" s="128">
        <f t="shared" si="15"/>
        <v>3118.5</v>
      </c>
      <c r="H227" s="128">
        <f>'Ozone-Energy'!P217*10^6/86400 * 24</f>
        <v>1200</v>
      </c>
      <c r="I227" s="129">
        <f>IF( J226+G227-H227*(1/$E$11) &lt; 0, 0, H227*(1/$E$11))</f>
        <v>1250</v>
      </c>
      <c r="J227" s="129">
        <f t="shared" si="16"/>
        <v>2000</v>
      </c>
      <c r="K227">
        <f>IF(J227&lt;=0, 1, 0)</f>
        <v>0</v>
      </c>
      <c r="L227" s="87"/>
      <c r="M227" s="87"/>
      <c r="N227" s="87"/>
      <c r="O227" s="87"/>
    </row>
    <row r="228" spans="1:15" ht="15.75">
      <c r="A228" s="87">
        <v>208</v>
      </c>
      <c r="B228" s="87" t="s">
        <v>270</v>
      </c>
      <c r="C228" s="87">
        <v>27</v>
      </c>
      <c r="D228" s="99">
        <v>15.75</v>
      </c>
      <c r="E228" s="128">
        <f t="shared" si="13"/>
        <v>21656.25</v>
      </c>
      <c r="F228" s="128">
        <f t="shared" si="14"/>
        <v>3248.4375</v>
      </c>
      <c r="G228" s="128">
        <f t="shared" si="15"/>
        <v>3118.5</v>
      </c>
      <c r="H228" s="128">
        <f>'Ozone-Energy'!P218*10^6/86400 * 24</f>
        <v>1200</v>
      </c>
      <c r="I228" s="129">
        <f>IF( J227+G228-H228*(1/$E$11) &lt; 0, 0, H228*(1/$E$11))</f>
        <v>1250</v>
      </c>
      <c r="J228" s="129">
        <f t="shared" si="16"/>
        <v>2000</v>
      </c>
      <c r="K228">
        <f>IF(J228&lt;=0, 1, 0)</f>
        <v>0</v>
      </c>
      <c r="L228" s="87"/>
      <c r="M228" s="87"/>
      <c r="N228" s="87"/>
      <c r="O228" s="87"/>
    </row>
    <row r="229" spans="1:15" ht="15.75">
      <c r="A229" s="87">
        <v>209</v>
      </c>
      <c r="B229" s="87" t="s">
        <v>270</v>
      </c>
      <c r="C229" s="87">
        <v>28</v>
      </c>
      <c r="D229" s="99">
        <v>15.75</v>
      </c>
      <c r="E229" s="128">
        <f t="shared" si="13"/>
        <v>21656.25</v>
      </c>
      <c r="F229" s="128">
        <f t="shared" si="14"/>
        <v>3248.4375</v>
      </c>
      <c r="G229" s="128">
        <f t="shared" si="15"/>
        <v>3118.5</v>
      </c>
      <c r="H229" s="128">
        <f>'Ozone-Energy'!P219*10^6/86400 * 24</f>
        <v>1200</v>
      </c>
      <c r="I229" s="129">
        <f>IF( J228+G229-H229*(1/$E$11) &lt; 0, 0, H229*(1/$E$11))</f>
        <v>1250</v>
      </c>
      <c r="J229" s="129">
        <f t="shared" si="16"/>
        <v>2000</v>
      </c>
      <c r="K229">
        <f>IF(J229&lt;=0, 1, 0)</f>
        <v>0</v>
      </c>
      <c r="L229" s="87"/>
      <c r="M229" s="87"/>
      <c r="N229" s="87"/>
      <c r="O229" s="87"/>
    </row>
    <row r="230" spans="1:15" ht="15.75">
      <c r="A230" s="87">
        <v>210</v>
      </c>
      <c r="B230" s="87" t="s">
        <v>270</v>
      </c>
      <c r="C230" s="87">
        <v>29</v>
      </c>
      <c r="D230" s="99">
        <v>15.75</v>
      </c>
      <c r="E230" s="128">
        <f t="shared" si="13"/>
        <v>21656.25</v>
      </c>
      <c r="F230" s="128">
        <f t="shared" si="14"/>
        <v>3248.4375</v>
      </c>
      <c r="G230" s="128">
        <f t="shared" si="15"/>
        <v>3118.5</v>
      </c>
      <c r="H230" s="128">
        <f>'Ozone-Energy'!P220*10^6/86400 * 24</f>
        <v>1200</v>
      </c>
      <c r="I230" s="129">
        <f>IF( J229+G230-H230*(1/$E$11) &lt; 0, 0, H230*(1/$E$11))</f>
        <v>1250</v>
      </c>
      <c r="J230" s="129">
        <f t="shared" si="16"/>
        <v>2000</v>
      </c>
      <c r="K230">
        <f>IF(J230&lt;=0, 1, 0)</f>
        <v>0</v>
      </c>
      <c r="L230" s="87"/>
      <c r="M230" s="87"/>
      <c r="N230" s="87"/>
      <c r="O230" s="87"/>
    </row>
    <row r="231" spans="1:15" ht="15.75">
      <c r="A231" s="87">
        <v>211</v>
      </c>
      <c r="B231" s="87" t="s">
        <v>270</v>
      </c>
      <c r="C231" s="87">
        <v>30</v>
      </c>
      <c r="D231" s="99">
        <v>15.75</v>
      </c>
      <c r="E231" s="128">
        <f t="shared" si="13"/>
        <v>21656.25</v>
      </c>
      <c r="F231" s="128">
        <f t="shared" si="14"/>
        <v>3248.4375</v>
      </c>
      <c r="G231" s="128">
        <f t="shared" si="15"/>
        <v>3118.5</v>
      </c>
      <c r="H231" s="128">
        <f>'Ozone-Energy'!P221*10^6/86400 * 24</f>
        <v>1200</v>
      </c>
      <c r="I231" s="129">
        <f>IF( J230+G231-H231*(1/$E$11) &lt; 0, 0, H231*(1/$E$11))</f>
        <v>1250</v>
      </c>
      <c r="J231" s="129">
        <f t="shared" si="16"/>
        <v>2000</v>
      </c>
      <c r="K231">
        <f>IF(J231&lt;=0, 1, 0)</f>
        <v>0</v>
      </c>
      <c r="L231" s="87"/>
      <c r="M231" s="87"/>
      <c r="N231" s="87"/>
      <c r="O231" s="87"/>
    </row>
    <row r="232" spans="1:15" ht="15.75">
      <c r="A232" s="87">
        <v>212</v>
      </c>
      <c r="B232" s="87" t="s">
        <v>270</v>
      </c>
      <c r="C232" s="87">
        <v>31</v>
      </c>
      <c r="D232" s="99">
        <v>15.75</v>
      </c>
      <c r="E232" s="128">
        <f t="shared" si="13"/>
        <v>21656.25</v>
      </c>
      <c r="F232" s="128">
        <f t="shared" si="14"/>
        <v>3248.4375</v>
      </c>
      <c r="G232" s="128">
        <f t="shared" si="15"/>
        <v>3118.5</v>
      </c>
      <c r="H232" s="128">
        <f>'Ozone-Energy'!P222*10^6/86400 * 24</f>
        <v>1200</v>
      </c>
      <c r="I232" s="129">
        <f>IF( J231+G232-H232*(1/$E$11) &lt; 0, 0, H232*(1/$E$11))</f>
        <v>1250</v>
      </c>
      <c r="J232" s="129">
        <f t="shared" si="16"/>
        <v>2000</v>
      </c>
      <c r="K232">
        <f>IF(J232&lt;=0, 1, 0)</f>
        <v>0</v>
      </c>
      <c r="L232" s="87"/>
      <c r="M232" s="87"/>
      <c r="N232" s="87"/>
      <c r="O232" s="87"/>
    </row>
    <row r="233" spans="1:15" ht="15.75">
      <c r="A233" s="87">
        <v>213</v>
      </c>
      <c r="B233" s="87" t="s">
        <v>272</v>
      </c>
      <c r="C233" s="87">
        <v>1</v>
      </c>
      <c r="D233" s="99">
        <v>14.2</v>
      </c>
      <c r="E233" s="128">
        <f t="shared" si="13"/>
        <v>19525</v>
      </c>
      <c r="F233" s="128">
        <f t="shared" si="14"/>
        <v>2928.75</v>
      </c>
      <c r="G233" s="128">
        <f t="shared" si="15"/>
        <v>2811.6</v>
      </c>
      <c r="H233" s="128">
        <f>'Ozone-Energy'!P223*10^6/86400 * 24</f>
        <v>1200</v>
      </c>
      <c r="I233" s="129">
        <f>IF( J232+G233-H233*(1/$E$11) &lt; 0, 0, H233*(1/$E$11))</f>
        <v>1250</v>
      </c>
      <c r="J233" s="129">
        <f t="shared" si="16"/>
        <v>2000</v>
      </c>
      <c r="K233">
        <f>IF(J233&lt;=0, 1, 0)</f>
        <v>0</v>
      </c>
      <c r="L233" s="87"/>
      <c r="M233" s="87"/>
      <c r="N233" s="87"/>
      <c r="O233" s="87"/>
    </row>
    <row r="234" spans="1:15" ht="15.75">
      <c r="A234" s="87">
        <v>214</v>
      </c>
      <c r="B234" s="87" t="s">
        <v>272</v>
      </c>
      <c r="C234" s="87">
        <v>2</v>
      </c>
      <c r="D234" s="99">
        <v>14.2</v>
      </c>
      <c r="E234" s="128">
        <f t="shared" si="13"/>
        <v>19525</v>
      </c>
      <c r="F234" s="128">
        <f t="shared" si="14"/>
        <v>2928.75</v>
      </c>
      <c r="G234" s="128">
        <f t="shared" si="15"/>
        <v>2811.6</v>
      </c>
      <c r="H234" s="128">
        <f>'Ozone-Energy'!P224*10^6/86400 * 24</f>
        <v>1200</v>
      </c>
      <c r="I234" s="129">
        <f>IF( J233+G234-H234*(1/$E$11) &lt; 0, 0, H234*(1/$E$11))</f>
        <v>1250</v>
      </c>
      <c r="J234" s="129">
        <f t="shared" si="16"/>
        <v>2000</v>
      </c>
      <c r="K234">
        <f>IF(J234&lt;=0, 1, 0)</f>
        <v>0</v>
      </c>
      <c r="L234" s="87"/>
      <c r="M234" s="87"/>
      <c r="N234" s="87"/>
      <c r="O234" s="87"/>
    </row>
    <row r="235" spans="1:15" ht="15.75">
      <c r="A235" s="87">
        <v>215</v>
      </c>
      <c r="B235" s="87" t="s">
        <v>272</v>
      </c>
      <c r="C235" s="87">
        <v>3</v>
      </c>
      <c r="D235" s="99">
        <v>14.2</v>
      </c>
      <c r="E235" s="128">
        <f t="shared" si="13"/>
        <v>19525</v>
      </c>
      <c r="F235" s="128">
        <f t="shared" si="14"/>
        <v>2928.75</v>
      </c>
      <c r="G235" s="128">
        <f t="shared" si="15"/>
        <v>2811.6</v>
      </c>
      <c r="H235" s="128">
        <f>'Ozone-Energy'!P225*10^6/86400 * 24</f>
        <v>1200</v>
      </c>
      <c r="I235" s="129">
        <f>IF( J234+G235-H235*(1/$E$11) &lt; 0, 0, H235*(1/$E$11))</f>
        <v>1250</v>
      </c>
      <c r="J235" s="129">
        <f t="shared" si="16"/>
        <v>2000</v>
      </c>
      <c r="K235">
        <f>IF(J235&lt;=0, 1, 0)</f>
        <v>0</v>
      </c>
      <c r="L235" s="87"/>
      <c r="M235" s="87"/>
      <c r="N235" s="87"/>
      <c r="O235" s="87"/>
    </row>
    <row r="236" spans="1:15" ht="15.75">
      <c r="A236" s="87">
        <v>216</v>
      </c>
      <c r="B236" s="87" t="s">
        <v>272</v>
      </c>
      <c r="C236" s="87">
        <v>4</v>
      </c>
      <c r="D236" s="99">
        <v>14.2</v>
      </c>
      <c r="E236" s="128">
        <f t="shared" si="13"/>
        <v>19525</v>
      </c>
      <c r="F236" s="128">
        <f t="shared" si="14"/>
        <v>2928.75</v>
      </c>
      <c r="G236" s="128">
        <f t="shared" si="15"/>
        <v>2811.6</v>
      </c>
      <c r="H236" s="128">
        <f>'Ozone-Energy'!P226*10^6/86400 * 24</f>
        <v>1200</v>
      </c>
      <c r="I236" s="129">
        <f>IF( J235+G236-H236*(1/$E$11) &lt; 0, 0, H236*(1/$E$11))</f>
        <v>1250</v>
      </c>
      <c r="J236" s="129">
        <f t="shared" si="16"/>
        <v>2000</v>
      </c>
      <c r="K236">
        <f>IF(J236&lt;=0, 1, 0)</f>
        <v>0</v>
      </c>
      <c r="L236" s="87"/>
      <c r="M236" s="87"/>
      <c r="N236" s="87"/>
      <c r="O236" s="87"/>
    </row>
    <row r="237" spans="1:15" ht="15.75">
      <c r="A237" s="87">
        <v>217</v>
      </c>
      <c r="B237" s="87" t="s">
        <v>272</v>
      </c>
      <c r="C237" s="87">
        <v>5</v>
      </c>
      <c r="D237" s="99">
        <v>14.2</v>
      </c>
      <c r="E237" s="128">
        <f t="shared" si="13"/>
        <v>19525</v>
      </c>
      <c r="F237" s="128">
        <f t="shared" si="14"/>
        <v>2928.75</v>
      </c>
      <c r="G237" s="128">
        <f t="shared" si="15"/>
        <v>2811.6</v>
      </c>
      <c r="H237" s="128">
        <f>'Ozone-Energy'!P227*10^6/86400 * 24</f>
        <v>1200</v>
      </c>
      <c r="I237" s="129">
        <f>IF( J236+G237-H237*(1/$E$11) &lt; 0, 0, H237*(1/$E$11))</f>
        <v>1250</v>
      </c>
      <c r="J237" s="129">
        <f t="shared" si="16"/>
        <v>2000</v>
      </c>
      <c r="K237">
        <f>IF(J237&lt;=0, 1, 0)</f>
        <v>0</v>
      </c>
      <c r="L237" s="87"/>
      <c r="M237" s="87"/>
      <c r="N237" s="87"/>
      <c r="O237" s="87"/>
    </row>
    <row r="238" spans="1:15" ht="15.75">
      <c r="A238" s="87">
        <v>218</v>
      </c>
      <c r="B238" s="87" t="s">
        <v>272</v>
      </c>
      <c r="C238" s="87">
        <v>6</v>
      </c>
      <c r="D238" s="99">
        <v>14.2</v>
      </c>
      <c r="E238" s="128">
        <f t="shared" si="13"/>
        <v>19525</v>
      </c>
      <c r="F238" s="128">
        <f t="shared" si="14"/>
        <v>2928.75</v>
      </c>
      <c r="G238" s="128">
        <f t="shared" si="15"/>
        <v>2811.6</v>
      </c>
      <c r="H238" s="128">
        <f>'Ozone-Energy'!P228*10^6/86400 * 24</f>
        <v>1200</v>
      </c>
      <c r="I238" s="129">
        <f>IF( J237+G238-H238*(1/$E$11) &lt; 0, 0, H238*(1/$E$11))</f>
        <v>1250</v>
      </c>
      <c r="J238" s="129">
        <f t="shared" si="16"/>
        <v>2000</v>
      </c>
      <c r="K238">
        <f>IF(J238&lt;=0, 1, 0)</f>
        <v>0</v>
      </c>
      <c r="L238" s="87"/>
      <c r="M238" s="87"/>
      <c r="N238" s="87"/>
      <c r="O238" s="87"/>
    </row>
    <row r="239" spans="1:15" ht="15.75">
      <c r="A239" s="87">
        <v>219</v>
      </c>
      <c r="B239" s="87" t="s">
        <v>272</v>
      </c>
      <c r="C239" s="87">
        <v>7</v>
      </c>
      <c r="D239" s="99">
        <v>14.2</v>
      </c>
      <c r="E239" s="128">
        <f t="shared" si="13"/>
        <v>19525</v>
      </c>
      <c r="F239" s="128">
        <f t="shared" si="14"/>
        <v>2928.75</v>
      </c>
      <c r="G239" s="128">
        <f t="shared" si="15"/>
        <v>2811.6</v>
      </c>
      <c r="H239" s="128">
        <f>'Ozone-Energy'!P229*10^6/86400 * 24</f>
        <v>1200</v>
      </c>
      <c r="I239" s="129">
        <f>IF( J238+G239-H239*(1/$E$11) &lt; 0, 0, H239*(1/$E$11))</f>
        <v>1250</v>
      </c>
      <c r="J239" s="129">
        <f t="shared" si="16"/>
        <v>2000</v>
      </c>
      <c r="K239">
        <f>IF(J239&lt;=0, 1, 0)</f>
        <v>0</v>
      </c>
      <c r="L239" s="87"/>
      <c r="M239" s="87"/>
      <c r="N239" s="87"/>
      <c r="O239" s="87"/>
    </row>
    <row r="240" spans="1:15" ht="15.75">
      <c r="A240" s="87">
        <v>220</v>
      </c>
      <c r="B240" s="87" t="s">
        <v>272</v>
      </c>
      <c r="C240" s="87">
        <v>8</v>
      </c>
      <c r="D240" s="99">
        <v>14.2</v>
      </c>
      <c r="E240" s="128">
        <f t="shared" si="13"/>
        <v>19525</v>
      </c>
      <c r="F240" s="128">
        <f t="shared" si="14"/>
        <v>2928.75</v>
      </c>
      <c r="G240" s="128">
        <f t="shared" si="15"/>
        <v>2811.6</v>
      </c>
      <c r="H240" s="128">
        <f>'Ozone-Energy'!P230*10^6/86400 * 24</f>
        <v>1200</v>
      </c>
      <c r="I240" s="129">
        <f>IF( J239+G240-H240*(1/$E$11) &lt; 0, 0, H240*(1/$E$11))</f>
        <v>1250</v>
      </c>
      <c r="J240" s="129">
        <f t="shared" si="16"/>
        <v>2000</v>
      </c>
      <c r="K240">
        <f>IF(J240&lt;=0, 1, 0)</f>
        <v>0</v>
      </c>
      <c r="L240" s="87"/>
      <c r="M240" s="87"/>
      <c r="N240" s="87"/>
      <c r="O240" s="87"/>
    </row>
    <row r="241" spans="1:15" ht="15.75">
      <c r="A241" s="87">
        <v>221</v>
      </c>
      <c r="B241" s="87" t="s">
        <v>272</v>
      </c>
      <c r="C241" s="87">
        <v>9</v>
      </c>
      <c r="D241" s="99">
        <v>14.2</v>
      </c>
      <c r="E241" s="128">
        <f t="shared" si="13"/>
        <v>19525</v>
      </c>
      <c r="F241" s="128">
        <f t="shared" si="14"/>
        <v>2928.75</v>
      </c>
      <c r="G241" s="128">
        <f t="shared" si="15"/>
        <v>2811.6</v>
      </c>
      <c r="H241" s="128">
        <f>'Ozone-Energy'!P231*10^6/86400 * 24</f>
        <v>1200</v>
      </c>
      <c r="I241" s="129">
        <f>IF( J240+G241-H241*(1/$E$11) &lt; 0, 0, H241*(1/$E$11))</f>
        <v>1250</v>
      </c>
      <c r="J241" s="129">
        <f t="shared" si="16"/>
        <v>2000</v>
      </c>
      <c r="K241">
        <f>IF(J241&lt;=0, 1, 0)</f>
        <v>0</v>
      </c>
      <c r="L241" s="87"/>
      <c r="M241" s="87"/>
      <c r="N241" s="87"/>
      <c r="O241" s="87"/>
    </row>
    <row r="242" spans="1:15" ht="15.75">
      <c r="A242" s="87">
        <v>222</v>
      </c>
      <c r="B242" s="87" t="s">
        <v>272</v>
      </c>
      <c r="C242" s="87">
        <v>10</v>
      </c>
      <c r="D242" s="99">
        <v>14.2</v>
      </c>
      <c r="E242" s="128">
        <f t="shared" si="13"/>
        <v>19525</v>
      </c>
      <c r="F242" s="128">
        <f t="shared" si="14"/>
        <v>2928.75</v>
      </c>
      <c r="G242" s="128">
        <f t="shared" si="15"/>
        <v>2811.6</v>
      </c>
      <c r="H242" s="128">
        <f>'Ozone-Energy'!P232*10^6/86400 * 24</f>
        <v>1200</v>
      </c>
      <c r="I242" s="129">
        <f>IF( J241+G242-H242*(1/$E$11) &lt; 0, 0, H242*(1/$E$11))</f>
        <v>1250</v>
      </c>
      <c r="J242" s="129">
        <f t="shared" si="16"/>
        <v>2000</v>
      </c>
      <c r="K242">
        <f>IF(J242&lt;=0, 1, 0)</f>
        <v>0</v>
      </c>
      <c r="L242" s="87"/>
      <c r="M242" s="87"/>
      <c r="N242" s="87"/>
      <c r="O242" s="87"/>
    </row>
    <row r="243" spans="1:15" ht="15.75">
      <c r="A243" s="87">
        <v>223</v>
      </c>
      <c r="B243" s="87" t="s">
        <v>272</v>
      </c>
      <c r="C243" s="87">
        <v>11</v>
      </c>
      <c r="D243" s="99">
        <v>14.2</v>
      </c>
      <c r="E243" s="128">
        <f t="shared" si="13"/>
        <v>19525</v>
      </c>
      <c r="F243" s="128">
        <f t="shared" si="14"/>
        <v>2928.75</v>
      </c>
      <c r="G243" s="128">
        <f t="shared" si="15"/>
        <v>2811.6</v>
      </c>
      <c r="H243" s="128">
        <f>'Ozone-Energy'!P233*10^6/86400 * 24</f>
        <v>1200</v>
      </c>
      <c r="I243" s="129">
        <f>IF( J242+G243-H243*(1/$E$11) &lt; 0, 0, H243*(1/$E$11))</f>
        <v>1250</v>
      </c>
      <c r="J243" s="129">
        <f t="shared" si="16"/>
        <v>2000</v>
      </c>
      <c r="K243">
        <f>IF(J243&lt;=0, 1, 0)</f>
        <v>0</v>
      </c>
      <c r="L243" s="87"/>
      <c r="M243" s="87"/>
      <c r="N243" s="87"/>
      <c r="O243" s="87"/>
    </row>
    <row r="244" spans="1:15" ht="15.75">
      <c r="A244" s="87">
        <v>224</v>
      </c>
      <c r="B244" s="87" t="s">
        <v>272</v>
      </c>
      <c r="C244" s="87">
        <v>12</v>
      </c>
      <c r="D244" s="99">
        <v>14.2</v>
      </c>
      <c r="E244" s="128">
        <f t="shared" si="13"/>
        <v>19525</v>
      </c>
      <c r="F244" s="128">
        <f t="shared" si="14"/>
        <v>2928.75</v>
      </c>
      <c r="G244" s="128">
        <f t="shared" si="15"/>
        <v>2811.6</v>
      </c>
      <c r="H244" s="128">
        <f>'Ozone-Energy'!P234*10^6/86400 * 24</f>
        <v>1200</v>
      </c>
      <c r="I244" s="129">
        <f>IF( J243+G244-H244*(1/$E$11) &lt; 0, 0, H244*(1/$E$11))</f>
        <v>1250</v>
      </c>
      <c r="J244" s="129">
        <f t="shared" si="16"/>
        <v>2000</v>
      </c>
      <c r="K244">
        <f>IF(J244&lt;=0, 1, 0)</f>
        <v>0</v>
      </c>
      <c r="L244" s="87"/>
      <c r="M244" s="87"/>
      <c r="N244" s="87"/>
      <c r="O244" s="87"/>
    </row>
    <row r="245" spans="1:15" ht="15.75">
      <c r="A245" s="87">
        <v>225</v>
      </c>
      <c r="B245" s="87" t="s">
        <v>272</v>
      </c>
      <c r="C245" s="87">
        <v>13</v>
      </c>
      <c r="D245" s="99">
        <v>14.2</v>
      </c>
      <c r="E245" s="128">
        <f t="shared" si="13"/>
        <v>19525</v>
      </c>
      <c r="F245" s="128">
        <f t="shared" si="14"/>
        <v>2928.75</v>
      </c>
      <c r="G245" s="128">
        <f t="shared" si="15"/>
        <v>2811.6</v>
      </c>
      <c r="H245" s="128">
        <f>'Ozone-Energy'!P235*10^6/86400 * 24</f>
        <v>1200</v>
      </c>
      <c r="I245" s="129">
        <f>IF( J244+G245-H245*(1/$E$11) &lt; 0, 0, H245*(1/$E$11))</f>
        <v>1250</v>
      </c>
      <c r="J245" s="129">
        <f t="shared" si="16"/>
        <v>2000</v>
      </c>
      <c r="K245">
        <f>IF(J245&lt;=0, 1, 0)</f>
        <v>0</v>
      </c>
      <c r="L245" s="87"/>
      <c r="M245" s="87"/>
      <c r="N245" s="87"/>
      <c r="O245" s="87"/>
    </row>
    <row r="246" spans="1:15" ht="15.75">
      <c r="A246" s="87">
        <v>226</v>
      </c>
      <c r="B246" s="87" t="s">
        <v>272</v>
      </c>
      <c r="C246" s="87">
        <v>14</v>
      </c>
      <c r="D246" s="99">
        <v>14.2</v>
      </c>
      <c r="E246" s="128">
        <f t="shared" si="13"/>
        <v>19525</v>
      </c>
      <c r="F246" s="128">
        <f t="shared" si="14"/>
        <v>2928.75</v>
      </c>
      <c r="G246" s="128">
        <f t="shared" si="15"/>
        <v>2811.6</v>
      </c>
      <c r="H246" s="128">
        <f>'Ozone-Energy'!P236*10^6/86400 * 24</f>
        <v>1200</v>
      </c>
      <c r="I246" s="129">
        <f>IF( J245+G246-H246*(1/$E$11) &lt; 0, 0, H246*(1/$E$11))</f>
        <v>1250</v>
      </c>
      <c r="J246" s="129">
        <f t="shared" si="16"/>
        <v>2000</v>
      </c>
      <c r="K246">
        <f>IF(J246&lt;=0, 1, 0)</f>
        <v>0</v>
      </c>
      <c r="L246" s="87"/>
      <c r="M246" s="87"/>
      <c r="N246" s="87"/>
      <c r="O246" s="87"/>
    </row>
    <row r="247" spans="1:15" ht="15.75">
      <c r="A247" s="87">
        <v>227</v>
      </c>
      <c r="B247" s="87" t="s">
        <v>272</v>
      </c>
      <c r="C247" s="87">
        <v>15</v>
      </c>
      <c r="D247" s="99">
        <v>14.2</v>
      </c>
      <c r="E247" s="128">
        <f t="shared" si="13"/>
        <v>19525</v>
      </c>
      <c r="F247" s="128">
        <f t="shared" si="14"/>
        <v>2928.75</v>
      </c>
      <c r="G247" s="128">
        <f t="shared" si="15"/>
        <v>2811.6</v>
      </c>
      <c r="H247" s="128">
        <f>'Ozone-Energy'!P237*10^6/86400 * 24</f>
        <v>1200</v>
      </c>
      <c r="I247" s="129">
        <f>IF( J246+G247-H247*(1/$E$11) &lt; 0, 0, H247*(1/$E$11))</f>
        <v>1250</v>
      </c>
      <c r="J247" s="129">
        <f t="shared" si="16"/>
        <v>2000</v>
      </c>
      <c r="K247">
        <f>IF(J247&lt;=0, 1, 0)</f>
        <v>0</v>
      </c>
      <c r="L247" s="87"/>
      <c r="M247" s="87"/>
      <c r="N247" s="87"/>
      <c r="O247" s="87"/>
    </row>
    <row r="248" spans="1:15" ht="15.75">
      <c r="A248" s="87">
        <v>228</v>
      </c>
      <c r="B248" s="87" t="s">
        <v>272</v>
      </c>
      <c r="C248" s="87">
        <v>16</v>
      </c>
      <c r="D248" s="99">
        <v>14.2</v>
      </c>
      <c r="E248" s="128">
        <f t="shared" si="13"/>
        <v>19525</v>
      </c>
      <c r="F248" s="128">
        <f t="shared" si="14"/>
        <v>2928.75</v>
      </c>
      <c r="G248" s="128">
        <f t="shared" si="15"/>
        <v>2811.6</v>
      </c>
      <c r="H248" s="128">
        <f>'Ozone-Energy'!P238*10^6/86400 * 24</f>
        <v>1200</v>
      </c>
      <c r="I248" s="129">
        <f>IF( J247+G248-H248*(1/$E$11) &lt; 0, 0, H248*(1/$E$11))</f>
        <v>1250</v>
      </c>
      <c r="J248" s="129">
        <f t="shared" si="16"/>
        <v>2000</v>
      </c>
      <c r="K248">
        <f>IF(J248&lt;=0, 1, 0)</f>
        <v>0</v>
      </c>
      <c r="L248" s="87"/>
      <c r="M248" s="87"/>
      <c r="N248" s="87"/>
      <c r="O248" s="87"/>
    </row>
    <row r="249" spans="1:15" ht="15.75">
      <c r="A249" s="87">
        <v>229</v>
      </c>
      <c r="B249" s="87" t="s">
        <v>272</v>
      </c>
      <c r="C249" s="87">
        <v>17</v>
      </c>
      <c r="D249" s="99">
        <v>14.2</v>
      </c>
      <c r="E249" s="128">
        <f t="shared" si="13"/>
        <v>19525</v>
      </c>
      <c r="F249" s="128">
        <f t="shared" si="14"/>
        <v>2928.75</v>
      </c>
      <c r="G249" s="128">
        <f t="shared" si="15"/>
        <v>2811.6</v>
      </c>
      <c r="H249" s="128">
        <f>'Ozone-Energy'!P239*10^6/86400 * 24</f>
        <v>1200</v>
      </c>
      <c r="I249" s="129">
        <f>IF( J248+G249-H249*(1/$E$11) &lt; 0, 0, H249*(1/$E$11))</f>
        <v>1250</v>
      </c>
      <c r="J249" s="129">
        <f t="shared" si="16"/>
        <v>2000</v>
      </c>
      <c r="K249">
        <f>IF(J249&lt;=0, 1, 0)</f>
        <v>0</v>
      </c>
      <c r="L249" s="87"/>
      <c r="M249" s="87"/>
      <c r="N249" s="87"/>
      <c r="O249" s="87"/>
    </row>
    <row r="250" spans="1:15" ht="15.75">
      <c r="A250" s="87">
        <v>230</v>
      </c>
      <c r="B250" s="87" t="s">
        <v>272</v>
      </c>
      <c r="C250" s="87">
        <v>18</v>
      </c>
      <c r="D250" s="99">
        <v>14.2</v>
      </c>
      <c r="E250" s="128">
        <f t="shared" si="13"/>
        <v>19525</v>
      </c>
      <c r="F250" s="128">
        <f t="shared" si="14"/>
        <v>2928.75</v>
      </c>
      <c r="G250" s="128">
        <f t="shared" si="15"/>
        <v>2811.6</v>
      </c>
      <c r="H250" s="128">
        <f>'Ozone-Energy'!P240*10^6/86400 * 24</f>
        <v>1200</v>
      </c>
      <c r="I250" s="129">
        <f>IF( J249+G250-H250*(1/$E$11) &lt; 0, 0, H250*(1/$E$11))</f>
        <v>1250</v>
      </c>
      <c r="J250" s="129">
        <f t="shared" si="16"/>
        <v>2000</v>
      </c>
      <c r="K250">
        <f>IF(J250&lt;=0, 1, 0)</f>
        <v>0</v>
      </c>
      <c r="L250" s="87"/>
      <c r="M250" s="87"/>
      <c r="N250" s="87"/>
      <c r="O250" s="87"/>
    </row>
    <row r="251" spans="1:15" ht="15.75">
      <c r="A251" s="87">
        <v>231</v>
      </c>
      <c r="B251" s="87" t="s">
        <v>272</v>
      </c>
      <c r="C251" s="87">
        <v>19</v>
      </c>
      <c r="D251" s="99">
        <v>14.2</v>
      </c>
      <c r="E251" s="128">
        <f t="shared" si="13"/>
        <v>19525</v>
      </c>
      <c r="F251" s="128">
        <f t="shared" si="14"/>
        <v>2928.75</v>
      </c>
      <c r="G251" s="128">
        <f t="shared" si="15"/>
        <v>2811.6</v>
      </c>
      <c r="H251" s="128">
        <f>'Ozone-Energy'!P241*10^6/86400 * 24</f>
        <v>1200</v>
      </c>
      <c r="I251" s="129">
        <f>IF( J250+G251-H251*(1/$E$11) &lt; 0, 0, H251*(1/$E$11))</f>
        <v>1250</v>
      </c>
      <c r="J251" s="129">
        <f t="shared" si="16"/>
        <v>2000</v>
      </c>
      <c r="K251">
        <f>IF(J251&lt;=0, 1, 0)</f>
        <v>0</v>
      </c>
      <c r="L251" s="87"/>
      <c r="M251" s="87"/>
      <c r="N251" s="87"/>
      <c r="O251" s="87"/>
    </row>
    <row r="252" spans="1:15" ht="15.75">
      <c r="A252" s="87">
        <v>232</v>
      </c>
      <c r="B252" s="87" t="s">
        <v>272</v>
      </c>
      <c r="C252" s="87">
        <v>20</v>
      </c>
      <c r="D252" s="99">
        <v>14.2</v>
      </c>
      <c r="E252" s="128">
        <f t="shared" si="13"/>
        <v>19525</v>
      </c>
      <c r="F252" s="128">
        <f t="shared" si="14"/>
        <v>2928.75</v>
      </c>
      <c r="G252" s="128">
        <f t="shared" si="15"/>
        <v>2811.6</v>
      </c>
      <c r="H252" s="128">
        <f>'Ozone-Energy'!P242*10^6/86400 * 24</f>
        <v>1200</v>
      </c>
      <c r="I252" s="129">
        <f>IF( J251+G252-H252*(1/$E$11) &lt; 0, 0, H252*(1/$E$11))</f>
        <v>1250</v>
      </c>
      <c r="J252" s="129">
        <f t="shared" si="16"/>
        <v>2000</v>
      </c>
      <c r="K252">
        <f>IF(J252&lt;=0, 1, 0)</f>
        <v>0</v>
      </c>
      <c r="L252" s="87"/>
      <c r="M252" s="87"/>
      <c r="N252" s="87"/>
      <c r="O252" s="87"/>
    </row>
    <row r="253" spans="1:15" ht="15.75">
      <c r="A253" s="87">
        <v>233</v>
      </c>
      <c r="B253" s="87" t="s">
        <v>272</v>
      </c>
      <c r="C253" s="87">
        <v>21</v>
      </c>
      <c r="D253" s="99">
        <v>14.2</v>
      </c>
      <c r="E253" s="128">
        <f t="shared" si="13"/>
        <v>19525</v>
      </c>
      <c r="F253" s="128">
        <f t="shared" si="14"/>
        <v>2928.75</v>
      </c>
      <c r="G253" s="128">
        <f t="shared" si="15"/>
        <v>2811.6</v>
      </c>
      <c r="H253" s="128">
        <f>'Ozone-Energy'!P243*10^6/86400 * 24</f>
        <v>1200</v>
      </c>
      <c r="I253" s="129">
        <f>IF( J252+G253-H253*(1/$E$11) &lt; 0, 0, H253*(1/$E$11))</f>
        <v>1250</v>
      </c>
      <c r="J253" s="129">
        <f t="shared" si="16"/>
        <v>2000</v>
      </c>
      <c r="K253">
        <f>IF(J253&lt;=0, 1, 0)</f>
        <v>0</v>
      </c>
      <c r="L253" s="87"/>
      <c r="M253" s="87"/>
      <c r="N253" s="87"/>
      <c r="O253" s="87"/>
    </row>
    <row r="254" spans="1:15" ht="15.75">
      <c r="A254" s="87">
        <v>234</v>
      </c>
      <c r="B254" s="87" t="s">
        <v>272</v>
      </c>
      <c r="C254" s="87">
        <v>22</v>
      </c>
      <c r="D254" s="99">
        <v>14.2</v>
      </c>
      <c r="E254" s="128">
        <f t="shared" si="13"/>
        <v>19525</v>
      </c>
      <c r="F254" s="128">
        <f t="shared" si="14"/>
        <v>2928.75</v>
      </c>
      <c r="G254" s="128">
        <f t="shared" si="15"/>
        <v>2811.6</v>
      </c>
      <c r="H254" s="128">
        <f>'Ozone-Energy'!P244*10^6/86400 * 24</f>
        <v>1200</v>
      </c>
      <c r="I254" s="129">
        <f>IF( J253+G254-H254*(1/$E$11) &lt; 0, 0, H254*(1/$E$11))</f>
        <v>1250</v>
      </c>
      <c r="J254" s="129">
        <f t="shared" si="16"/>
        <v>2000</v>
      </c>
      <c r="K254">
        <f>IF(J254&lt;=0, 1, 0)</f>
        <v>0</v>
      </c>
      <c r="L254" s="87"/>
      <c r="M254" s="87"/>
      <c r="N254" s="87"/>
      <c r="O254" s="87"/>
    </row>
    <row r="255" spans="1:15" ht="15.75">
      <c r="A255" s="87">
        <v>235</v>
      </c>
      <c r="B255" s="87" t="s">
        <v>272</v>
      </c>
      <c r="C255" s="87">
        <v>23</v>
      </c>
      <c r="D255" s="99">
        <v>14.2</v>
      </c>
      <c r="E255" s="128">
        <f t="shared" si="13"/>
        <v>19525</v>
      </c>
      <c r="F255" s="128">
        <f t="shared" si="14"/>
        <v>2928.75</v>
      </c>
      <c r="G255" s="128">
        <f t="shared" si="15"/>
        <v>2811.6</v>
      </c>
      <c r="H255" s="128">
        <f>'Ozone-Energy'!P245*10^6/86400 * 24</f>
        <v>1200</v>
      </c>
      <c r="I255" s="129">
        <f>IF( J254+G255-H255*(1/$E$11) &lt; 0, 0, H255*(1/$E$11))</f>
        <v>1250</v>
      </c>
      <c r="J255" s="129">
        <f t="shared" si="16"/>
        <v>2000</v>
      </c>
      <c r="K255">
        <f>IF(J255&lt;=0, 1, 0)</f>
        <v>0</v>
      </c>
      <c r="L255" s="87"/>
      <c r="M255" s="87"/>
      <c r="N255" s="87"/>
      <c r="O255" s="87"/>
    </row>
    <row r="256" spans="1:15" ht="15.75">
      <c r="A256" s="87">
        <v>236</v>
      </c>
      <c r="B256" s="87" t="s">
        <v>272</v>
      </c>
      <c r="C256" s="87">
        <v>24</v>
      </c>
      <c r="D256" s="99">
        <v>14.2</v>
      </c>
      <c r="E256" s="128">
        <f t="shared" si="13"/>
        <v>19525</v>
      </c>
      <c r="F256" s="128">
        <f t="shared" si="14"/>
        <v>2928.75</v>
      </c>
      <c r="G256" s="128">
        <f t="shared" si="15"/>
        <v>2811.6</v>
      </c>
      <c r="H256" s="128">
        <f>'Ozone-Energy'!P246*10^6/86400 * 24</f>
        <v>1200</v>
      </c>
      <c r="I256" s="129">
        <f>IF( J255+G256-H256*(1/$E$11) &lt; 0, 0, H256*(1/$E$11))</f>
        <v>1250</v>
      </c>
      <c r="J256" s="129">
        <f t="shared" si="16"/>
        <v>2000</v>
      </c>
      <c r="K256">
        <f>IF(J256&lt;=0, 1, 0)</f>
        <v>0</v>
      </c>
      <c r="L256" s="87"/>
      <c r="M256" s="87"/>
      <c r="N256" s="87"/>
      <c r="O256" s="87"/>
    </row>
    <row r="257" spans="1:15" ht="15.75">
      <c r="A257" s="87">
        <v>237</v>
      </c>
      <c r="B257" s="87" t="s">
        <v>272</v>
      </c>
      <c r="C257" s="87">
        <v>25</v>
      </c>
      <c r="D257" s="99">
        <v>14.2</v>
      </c>
      <c r="E257" s="128">
        <f t="shared" si="13"/>
        <v>19525</v>
      </c>
      <c r="F257" s="128">
        <f t="shared" si="14"/>
        <v>2928.75</v>
      </c>
      <c r="G257" s="128">
        <f t="shared" si="15"/>
        <v>2811.6</v>
      </c>
      <c r="H257" s="128">
        <f>'Ozone-Energy'!P247*10^6/86400 * 24</f>
        <v>1200</v>
      </c>
      <c r="I257" s="129">
        <f>IF( J256+G257-H257*(1/$E$11) &lt; 0, 0, H257*(1/$E$11))</f>
        <v>1250</v>
      </c>
      <c r="J257" s="129">
        <f t="shared" si="16"/>
        <v>2000</v>
      </c>
      <c r="K257">
        <f>IF(J257&lt;=0, 1, 0)</f>
        <v>0</v>
      </c>
      <c r="L257" s="87"/>
      <c r="M257" s="87"/>
      <c r="N257" s="87"/>
      <c r="O257" s="87"/>
    </row>
    <row r="258" spans="1:15" ht="15.75">
      <c r="A258" s="87">
        <v>238</v>
      </c>
      <c r="B258" s="87" t="s">
        <v>272</v>
      </c>
      <c r="C258" s="87">
        <v>26</v>
      </c>
      <c r="D258" s="99">
        <v>14.2</v>
      </c>
      <c r="E258" s="128">
        <f t="shared" si="13"/>
        <v>19525</v>
      </c>
      <c r="F258" s="128">
        <f t="shared" si="14"/>
        <v>2928.75</v>
      </c>
      <c r="G258" s="128">
        <f t="shared" si="15"/>
        <v>2811.6</v>
      </c>
      <c r="H258" s="128">
        <f>'Ozone-Energy'!P248*10^6/86400 * 24</f>
        <v>1200</v>
      </c>
      <c r="I258" s="129">
        <f>IF( J257+G258-H258*(1/$E$11) &lt; 0, 0, H258*(1/$E$11))</f>
        <v>1250</v>
      </c>
      <c r="J258" s="129">
        <f t="shared" si="16"/>
        <v>2000</v>
      </c>
      <c r="K258">
        <f>IF(J258&lt;=0, 1, 0)</f>
        <v>0</v>
      </c>
      <c r="L258" s="87"/>
      <c r="M258" s="87"/>
      <c r="N258" s="87"/>
      <c r="O258" s="87"/>
    </row>
    <row r="259" spans="1:15" ht="15.75">
      <c r="A259" s="87">
        <v>239</v>
      </c>
      <c r="B259" s="87" t="s">
        <v>272</v>
      </c>
      <c r="C259" s="87">
        <v>27</v>
      </c>
      <c r="D259" s="99">
        <v>14.2</v>
      </c>
      <c r="E259" s="128">
        <f t="shared" si="13"/>
        <v>19525</v>
      </c>
      <c r="F259" s="128">
        <f t="shared" si="14"/>
        <v>2928.75</v>
      </c>
      <c r="G259" s="128">
        <f t="shared" si="15"/>
        <v>2811.6</v>
      </c>
      <c r="H259" s="128">
        <f>'Ozone-Energy'!P249*10^6/86400 * 24</f>
        <v>1200</v>
      </c>
      <c r="I259" s="129">
        <f>IF( J258+G259-H259*(1/$E$11) &lt; 0, 0, H259*(1/$E$11))</f>
        <v>1250</v>
      </c>
      <c r="J259" s="129">
        <f t="shared" si="16"/>
        <v>2000</v>
      </c>
      <c r="K259">
        <f>IF(J259&lt;=0, 1, 0)</f>
        <v>0</v>
      </c>
      <c r="L259" s="87"/>
      <c r="M259" s="87"/>
      <c r="N259" s="87"/>
      <c r="O259" s="87"/>
    </row>
    <row r="260" spans="1:15" ht="15.75">
      <c r="A260" s="87">
        <v>240</v>
      </c>
      <c r="B260" s="87" t="s">
        <v>272</v>
      </c>
      <c r="C260" s="87">
        <v>28</v>
      </c>
      <c r="D260" s="99">
        <v>14.2</v>
      </c>
      <c r="E260" s="128">
        <f t="shared" si="13"/>
        <v>19525</v>
      </c>
      <c r="F260" s="128">
        <f t="shared" si="14"/>
        <v>2928.75</v>
      </c>
      <c r="G260" s="128">
        <f t="shared" si="15"/>
        <v>2811.6</v>
      </c>
      <c r="H260" s="128">
        <f>'Ozone-Energy'!P250*10^6/86400 * 24</f>
        <v>2444.1523809523806</v>
      </c>
      <c r="I260" s="129">
        <f>IF( J259+G260-H260*(1/$E$11) &lt; 0, 0, H260*(1/$E$11))</f>
        <v>2545.9920634920632</v>
      </c>
      <c r="J260" s="129">
        <f t="shared" si="16"/>
        <v>2000</v>
      </c>
      <c r="K260">
        <f>IF(J260&lt;=0, 1, 0)</f>
        <v>0</v>
      </c>
      <c r="L260" s="87"/>
      <c r="M260" s="87"/>
      <c r="N260" s="87"/>
      <c r="O260" s="87"/>
    </row>
    <row r="261" spans="1:15" ht="15.75">
      <c r="A261" s="87">
        <v>241</v>
      </c>
      <c r="B261" s="87" t="s">
        <v>272</v>
      </c>
      <c r="C261" s="87">
        <v>29</v>
      </c>
      <c r="D261" s="99">
        <v>14.2</v>
      </c>
      <c r="E261" s="128">
        <f t="shared" si="13"/>
        <v>19525</v>
      </c>
      <c r="F261" s="128">
        <f t="shared" si="14"/>
        <v>2928.75</v>
      </c>
      <c r="G261" s="128">
        <f t="shared" si="15"/>
        <v>2811.6</v>
      </c>
      <c r="H261" s="128">
        <f>'Ozone-Energy'!P251*10^6/86400 * 24</f>
        <v>25460.971428571422</v>
      </c>
      <c r="I261" s="129">
        <f>IF( J260+G261-H261*(1/$E$11) &lt; 0, 0, H261*(1/$E$11))</f>
        <v>0</v>
      </c>
      <c r="J261" s="129">
        <f t="shared" si="16"/>
        <v>2000</v>
      </c>
      <c r="K261">
        <f>IF(J261&lt;=0, 1, 0)</f>
        <v>0</v>
      </c>
      <c r="L261" s="87"/>
      <c r="M261" s="87"/>
      <c r="N261" s="87"/>
      <c r="O261" s="87"/>
    </row>
    <row r="262" spans="1:15" ht="15.75">
      <c r="A262" s="87">
        <v>242</v>
      </c>
      <c r="B262" s="87" t="s">
        <v>272</v>
      </c>
      <c r="C262" s="87">
        <v>30</v>
      </c>
      <c r="D262" s="99">
        <v>14.2</v>
      </c>
      <c r="E262" s="128">
        <f t="shared" si="13"/>
        <v>19525</v>
      </c>
      <c r="F262" s="128">
        <f t="shared" si="14"/>
        <v>2928.75</v>
      </c>
      <c r="G262" s="128">
        <f t="shared" si="15"/>
        <v>2811.6</v>
      </c>
      <c r="H262" s="128">
        <f>'Ozone-Energy'!P252*10^6/86400 * 24</f>
        <v>12397.371428571427</v>
      </c>
      <c r="I262" s="129">
        <f>IF( J261+G262-H262*(1/$E$11) &lt; 0, 0, H262*(1/$E$11))</f>
        <v>0</v>
      </c>
      <c r="J262" s="129">
        <f t="shared" si="16"/>
        <v>2000</v>
      </c>
      <c r="K262">
        <f>IF(J262&lt;=0, 1, 0)</f>
        <v>0</v>
      </c>
      <c r="L262" s="87"/>
      <c r="M262" s="87"/>
      <c r="N262" s="87"/>
      <c r="O262" s="87"/>
    </row>
    <row r="263" spans="1:15" ht="15.75">
      <c r="A263" s="87">
        <v>243</v>
      </c>
      <c r="B263" s="87" t="s">
        <v>272</v>
      </c>
      <c r="C263" s="87">
        <v>31</v>
      </c>
      <c r="D263" s="99">
        <v>14.2</v>
      </c>
      <c r="E263" s="128">
        <f t="shared" si="13"/>
        <v>19525</v>
      </c>
      <c r="F263" s="128">
        <f t="shared" si="14"/>
        <v>2928.75</v>
      </c>
      <c r="G263" s="128">
        <f t="shared" si="15"/>
        <v>2811.6</v>
      </c>
      <c r="H263" s="128">
        <f>'Ozone-Energy'!P253*10^6/86400 * 24</f>
        <v>34170.038095238095</v>
      </c>
      <c r="I263" s="129">
        <f>IF( J262+G263-H263*(1/$E$11) &lt; 0, 0, H263*(1/$E$11))</f>
        <v>0</v>
      </c>
      <c r="J263" s="129">
        <f t="shared" si="16"/>
        <v>2000</v>
      </c>
      <c r="K263">
        <f>IF(J263&lt;=0, 1, 0)</f>
        <v>0</v>
      </c>
      <c r="L263" s="87"/>
      <c r="M263" s="87"/>
      <c r="N263" s="87"/>
      <c r="O263" s="87"/>
    </row>
    <row r="264" spans="1:15" ht="15.75">
      <c r="A264" s="87">
        <v>244</v>
      </c>
      <c r="B264" s="87" t="s">
        <v>275</v>
      </c>
      <c r="C264" s="87">
        <v>1</v>
      </c>
      <c r="D264" s="99">
        <v>12.5</v>
      </c>
      <c r="E264" s="128">
        <f t="shared" si="13"/>
        <v>17187.5</v>
      </c>
      <c r="F264" s="128">
        <f t="shared" si="14"/>
        <v>2578.125</v>
      </c>
      <c r="G264" s="128">
        <f t="shared" si="15"/>
        <v>2475</v>
      </c>
      <c r="H264" s="128">
        <f>'Ozone-Energy'!P254*10^6/86400 * 24</f>
        <v>11153.219047619048</v>
      </c>
      <c r="I264" s="129">
        <f>IF( J263+G264-H264*(1/$E$11) &lt; 0, 0, H264*(1/$E$11))</f>
        <v>0</v>
      </c>
      <c r="J264" s="129">
        <f t="shared" si="16"/>
        <v>2000</v>
      </c>
      <c r="K264">
        <f>IF(J264&lt;=0, 1, 0)</f>
        <v>0</v>
      </c>
      <c r="L264" s="87"/>
      <c r="M264" s="87"/>
      <c r="N264" s="87"/>
      <c r="O264" s="87"/>
    </row>
    <row r="265" spans="1:15" ht="15.75">
      <c r="A265" s="87">
        <v>245</v>
      </c>
      <c r="B265" s="87" t="s">
        <v>275</v>
      </c>
      <c r="C265" s="87">
        <v>2</v>
      </c>
      <c r="D265" s="99">
        <v>12.5</v>
      </c>
      <c r="E265" s="128">
        <f t="shared" si="13"/>
        <v>17187.5</v>
      </c>
      <c r="F265" s="128">
        <f t="shared" si="14"/>
        <v>2578.125</v>
      </c>
      <c r="G265" s="128">
        <f t="shared" si="15"/>
        <v>2475</v>
      </c>
      <c r="H265" s="128">
        <f>'Ozone-Energy'!P255*10^6/86400 * 24</f>
        <v>20484.361904761899</v>
      </c>
      <c r="I265" s="129">
        <f>IF( J264+G265-H265*(1/$E$11) &lt; 0, 0, H265*(1/$E$11))</f>
        <v>0</v>
      </c>
      <c r="J265" s="129">
        <f t="shared" si="16"/>
        <v>2000</v>
      </c>
      <c r="K265">
        <f>IF(J265&lt;=0, 1, 0)</f>
        <v>0</v>
      </c>
      <c r="L265" s="87"/>
      <c r="M265" s="87"/>
      <c r="N265" s="87"/>
      <c r="O265" s="87"/>
    </row>
    <row r="266" spans="1:15" ht="15.75">
      <c r="A266" s="87">
        <v>246</v>
      </c>
      <c r="B266" s="87" t="s">
        <v>275</v>
      </c>
      <c r="C266" s="87">
        <v>3</v>
      </c>
      <c r="D266" s="99">
        <v>12.5</v>
      </c>
      <c r="E266" s="128">
        <f t="shared" si="13"/>
        <v>17187.5</v>
      </c>
      <c r="F266" s="128">
        <f t="shared" si="14"/>
        <v>2578.125</v>
      </c>
      <c r="G266" s="128">
        <f t="shared" si="15"/>
        <v>2475</v>
      </c>
      <c r="H266" s="128">
        <f>'Ozone-Energy'!P256*10^6/86400 * 24</f>
        <v>1200</v>
      </c>
      <c r="I266" s="129">
        <f>IF( J265+G266-H266*(1/$E$11) &lt; 0, 0, H266*(1/$E$11))</f>
        <v>1250</v>
      </c>
      <c r="J266" s="129">
        <f t="shared" si="16"/>
        <v>2000</v>
      </c>
      <c r="K266">
        <f>IF(J266&lt;=0, 1, 0)</f>
        <v>0</v>
      </c>
      <c r="L266" s="87"/>
      <c r="M266" s="87"/>
      <c r="N266" s="87"/>
      <c r="O266" s="87"/>
    </row>
    <row r="267" spans="1:15" ht="15.75">
      <c r="A267" s="87">
        <v>247</v>
      </c>
      <c r="B267" s="87" t="s">
        <v>275</v>
      </c>
      <c r="C267" s="87">
        <v>4</v>
      </c>
      <c r="D267" s="99">
        <v>12.5</v>
      </c>
      <c r="E267" s="128">
        <f t="shared" si="13"/>
        <v>17187.5</v>
      </c>
      <c r="F267" s="128">
        <f t="shared" si="14"/>
        <v>2578.125</v>
      </c>
      <c r="G267" s="128">
        <f t="shared" si="15"/>
        <v>2475</v>
      </c>
      <c r="H267" s="128">
        <f>'Ozone-Energy'!P257*10^6/86400 * 24</f>
        <v>1200</v>
      </c>
      <c r="I267" s="129">
        <f>IF( J266+G267-H267*(1/$E$11) &lt; 0, 0, H267*(1/$E$11))</f>
        <v>1250</v>
      </c>
      <c r="J267" s="129">
        <f t="shared" si="16"/>
        <v>2000</v>
      </c>
      <c r="K267">
        <f>IF(J267&lt;=0, 1, 0)</f>
        <v>0</v>
      </c>
      <c r="L267" s="87"/>
      <c r="M267" s="87"/>
      <c r="N267" s="87"/>
      <c r="O267" s="87"/>
    </row>
    <row r="268" spans="1:15" ht="15.75">
      <c r="A268" s="87">
        <v>248</v>
      </c>
      <c r="B268" s="87" t="s">
        <v>275</v>
      </c>
      <c r="C268" s="87">
        <v>5</v>
      </c>
      <c r="D268" s="99">
        <v>12.5</v>
      </c>
      <c r="E268" s="128">
        <f t="shared" si="13"/>
        <v>17187.5</v>
      </c>
      <c r="F268" s="128">
        <f t="shared" si="14"/>
        <v>2578.125</v>
      </c>
      <c r="G268" s="128">
        <f t="shared" si="15"/>
        <v>2475</v>
      </c>
      <c r="H268" s="128">
        <f>'Ozone-Energy'!P258*10^6/86400 * 24</f>
        <v>1200</v>
      </c>
      <c r="I268" s="129">
        <f>IF( J267+G268-H268*(1/$E$11) &lt; 0, 0, H268*(1/$E$11))</f>
        <v>1250</v>
      </c>
      <c r="J268" s="129">
        <f t="shared" si="16"/>
        <v>2000</v>
      </c>
      <c r="K268">
        <f>IF(J268&lt;=0, 1, 0)</f>
        <v>0</v>
      </c>
      <c r="L268" s="87"/>
      <c r="M268" s="87"/>
      <c r="N268" s="87"/>
      <c r="O268" s="87"/>
    </row>
    <row r="269" spans="1:15" ht="15.75">
      <c r="A269" s="87">
        <v>249</v>
      </c>
      <c r="B269" s="87" t="s">
        <v>275</v>
      </c>
      <c r="C269" s="87">
        <v>6</v>
      </c>
      <c r="D269" s="99">
        <v>12.5</v>
      </c>
      <c r="E269" s="128">
        <f t="shared" si="13"/>
        <v>17187.5</v>
      </c>
      <c r="F269" s="128">
        <f t="shared" si="14"/>
        <v>2578.125</v>
      </c>
      <c r="G269" s="128">
        <f t="shared" si="15"/>
        <v>2475</v>
      </c>
      <c r="H269" s="128">
        <f>'Ozone-Energy'!P259*10^6/86400 * 24</f>
        <v>1200</v>
      </c>
      <c r="I269" s="129">
        <f>IF( J268+G269-H269*(1/$E$11) &lt; 0, 0, H269*(1/$E$11))</f>
        <v>1250</v>
      </c>
      <c r="J269" s="129">
        <f t="shared" si="16"/>
        <v>2000</v>
      </c>
      <c r="K269">
        <f>IF(J269&lt;=0, 1, 0)</f>
        <v>0</v>
      </c>
      <c r="L269" s="87"/>
      <c r="M269" s="87"/>
      <c r="N269" s="87"/>
      <c r="O269" s="87"/>
    </row>
    <row r="270" spans="1:15" ht="15.75">
      <c r="A270" s="87">
        <v>250</v>
      </c>
      <c r="B270" s="87" t="s">
        <v>275</v>
      </c>
      <c r="C270" s="87">
        <v>7</v>
      </c>
      <c r="D270" s="99">
        <v>12.5</v>
      </c>
      <c r="E270" s="128">
        <f t="shared" si="13"/>
        <v>17187.5</v>
      </c>
      <c r="F270" s="128">
        <f t="shared" si="14"/>
        <v>2578.125</v>
      </c>
      <c r="G270" s="128">
        <f t="shared" si="15"/>
        <v>2475</v>
      </c>
      <c r="H270" s="128">
        <f>'Ozone-Energy'!P260*10^6/86400 * 24</f>
        <v>1200</v>
      </c>
      <c r="I270" s="129">
        <f>IF( J269+G270-H270*(1/$E$11) &lt; 0, 0, H270*(1/$E$11))</f>
        <v>1250</v>
      </c>
      <c r="J270" s="129">
        <f t="shared" si="16"/>
        <v>2000</v>
      </c>
      <c r="K270">
        <f>IF(J270&lt;=0, 1, 0)</f>
        <v>0</v>
      </c>
      <c r="L270" s="87"/>
      <c r="M270" s="87"/>
      <c r="N270" s="87"/>
      <c r="O270" s="87"/>
    </row>
    <row r="271" spans="1:15" ht="15.75">
      <c r="A271" s="87">
        <v>251</v>
      </c>
      <c r="B271" s="87" t="s">
        <v>275</v>
      </c>
      <c r="C271" s="87">
        <v>8</v>
      </c>
      <c r="D271" s="99">
        <v>12.5</v>
      </c>
      <c r="E271" s="128">
        <f t="shared" si="13"/>
        <v>17187.5</v>
      </c>
      <c r="F271" s="128">
        <f t="shared" si="14"/>
        <v>2578.125</v>
      </c>
      <c r="G271" s="128">
        <f t="shared" si="15"/>
        <v>2475</v>
      </c>
      <c r="H271" s="128">
        <f>'Ozone-Energy'!P261*10^6/86400 * 24</f>
        <v>1200</v>
      </c>
      <c r="I271" s="129">
        <f>IF( J270+G271-H271*(1/$E$11) &lt; 0, 0, H271*(1/$E$11))</f>
        <v>1250</v>
      </c>
      <c r="J271" s="129">
        <f t="shared" si="16"/>
        <v>2000</v>
      </c>
      <c r="K271">
        <f>IF(J271&lt;=0, 1, 0)</f>
        <v>0</v>
      </c>
      <c r="L271" s="87"/>
      <c r="M271" s="87"/>
      <c r="N271" s="87"/>
      <c r="O271" s="87"/>
    </row>
    <row r="272" spans="1:15" ht="15.75">
      <c r="A272" s="87">
        <v>252</v>
      </c>
      <c r="B272" s="87" t="s">
        <v>275</v>
      </c>
      <c r="C272" s="87">
        <v>9</v>
      </c>
      <c r="D272" s="99">
        <v>12.5</v>
      </c>
      <c r="E272" s="128">
        <f t="shared" si="13"/>
        <v>17187.5</v>
      </c>
      <c r="F272" s="128">
        <f t="shared" si="14"/>
        <v>2578.125</v>
      </c>
      <c r="G272" s="128">
        <f t="shared" si="15"/>
        <v>2475</v>
      </c>
      <c r="H272" s="128">
        <f>'Ozone-Energy'!P262*10^6/86400 * 24</f>
        <v>1200</v>
      </c>
      <c r="I272" s="129">
        <f>IF( J271+G272-H272*(1/$E$11) &lt; 0, 0, H272*(1/$E$11))</f>
        <v>1250</v>
      </c>
      <c r="J272" s="129">
        <f t="shared" si="16"/>
        <v>2000</v>
      </c>
      <c r="K272">
        <f>IF(J272&lt;=0, 1, 0)</f>
        <v>0</v>
      </c>
      <c r="L272" s="87"/>
      <c r="M272" s="87"/>
      <c r="N272" s="87"/>
      <c r="O272" s="87"/>
    </row>
    <row r="273" spans="1:15" ht="15.75">
      <c r="A273" s="87">
        <v>253</v>
      </c>
      <c r="B273" s="87" t="s">
        <v>275</v>
      </c>
      <c r="C273" s="87">
        <v>10</v>
      </c>
      <c r="D273" s="99">
        <v>12.5</v>
      </c>
      <c r="E273" s="128">
        <f t="shared" si="13"/>
        <v>17187.5</v>
      </c>
      <c r="F273" s="128">
        <f t="shared" si="14"/>
        <v>2578.125</v>
      </c>
      <c r="G273" s="128">
        <f t="shared" si="15"/>
        <v>2475</v>
      </c>
      <c r="H273" s="128">
        <f>'Ozone-Energy'!P263*10^6/86400 * 24</f>
        <v>1200</v>
      </c>
      <c r="I273" s="129">
        <f>IF( J272+G273-H273*(1/$E$11) &lt; 0, 0, H273*(1/$E$11))</f>
        <v>1250</v>
      </c>
      <c r="J273" s="129">
        <f t="shared" si="16"/>
        <v>2000</v>
      </c>
      <c r="K273">
        <f>IF(J273&lt;=0, 1, 0)</f>
        <v>0</v>
      </c>
      <c r="L273" s="87"/>
      <c r="M273" s="87"/>
      <c r="N273" s="87"/>
      <c r="O273" s="87"/>
    </row>
    <row r="274" spans="1:15" ht="15.75">
      <c r="A274" s="87">
        <v>254</v>
      </c>
      <c r="B274" s="87" t="s">
        <v>275</v>
      </c>
      <c r="C274" s="87">
        <v>11</v>
      </c>
      <c r="D274" s="99">
        <v>12.5</v>
      </c>
      <c r="E274" s="128">
        <f t="shared" si="13"/>
        <v>17187.5</v>
      </c>
      <c r="F274" s="128">
        <f t="shared" si="14"/>
        <v>2578.125</v>
      </c>
      <c r="G274" s="128">
        <f t="shared" si="15"/>
        <v>2475</v>
      </c>
      <c r="H274" s="128">
        <f>'Ozone-Energy'!P264*10^6/86400 * 24</f>
        <v>1200</v>
      </c>
      <c r="I274" s="129">
        <f>IF( J273+G274-H274*(1/$E$11) &lt; 0, 0, H274*(1/$E$11))</f>
        <v>1250</v>
      </c>
      <c r="J274" s="129">
        <f t="shared" si="16"/>
        <v>2000</v>
      </c>
      <c r="K274">
        <f>IF(J274&lt;=0, 1, 0)</f>
        <v>0</v>
      </c>
      <c r="L274" s="87"/>
      <c r="M274" s="87"/>
      <c r="N274" s="87"/>
      <c r="O274" s="87"/>
    </row>
    <row r="275" spans="1:15" ht="15.75">
      <c r="A275" s="87">
        <v>255</v>
      </c>
      <c r="B275" s="87" t="s">
        <v>275</v>
      </c>
      <c r="C275" s="87">
        <v>12</v>
      </c>
      <c r="D275" s="99">
        <v>12.5</v>
      </c>
      <c r="E275" s="128">
        <f t="shared" si="13"/>
        <v>17187.5</v>
      </c>
      <c r="F275" s="128">
        <f t="shared" si="14"/>
        <v>2578.125</v>
      </c>
      <c r="G275" s="128">
        <f t="shared" si="15"/>
        <v>2475</v>
      </c>
      <c r="H275" s="128">
        <f>'Ozone-Energy'!P265*10^6/86400 * 24</f>
        <v>1200</v>
      </c>
      <c r="I275" s="129">
        <f>IF( J274+G275-H275*(1/$E$11) &lt; 0, 0, H275*(1/$E$11))</f>
        <v>1250</v>
      </c>
      <c r="J275" s="129">
        <f t="shared" si="16"/>
        <v>2000</v>
      </c>
      <c r="K275">
        <f>IF(J275&lt;=0, 1, 0)</f>
        <v>0</v>
      </c>
      <c r="L275" s="87"/>
      <c r="M275" s="87"/>
      <c r="N275" s="87"/>
      <c r="O275" s="87"/>
    </row>
    <row r="276" spans="1:15" ht="15.75">
      <c r="A276" s="87">
        <v>256</v>
      </c>
      <c r="B276" s="87" t="s">
        <v>275</v>
      </c>
      <c r="C276" s="87">
        <v>13</v>
      </c>
      <c r="D276" s="99">
        <v>12.5</v>
      </c>
      <c r="E276" s="128">
        <f t="shared" si="13"/>
        <v>17187.5</v>
      </c>
      <c r="F276" s="128">
        <f t="shared" si="14"/>
        <v>2578.125</v>
      </c>
      <c r="G276" s="128">
        <f t="shared" si="15"/>
        <v>2475</v>
      </c>
      <c r="H276" s="128">
        <f>'Ozone-Energy'!P266*10^6/86400 * 24</f>
        <v>1200</v>
      </c>
      <c r="I276" s="129">
        <f>IF( J275+G276-H276*(1/$E$11) &lt; 0, 0, H276*(1/$E$11))</f>
        <v>1250</v>
      </c>
      <c r="J276" s="129">
        <f t="shared" si="16"/>
        <v>2000</v>
      </c>
      <c r="K276">
        <f>IF(J276&lt;=0, 1, 0)</f>
        <v>0</v>
      </c>
      <c r="L276" s="87"/>
      <c r="M276" s="87"/>
      <c r="N276" s="87"/>
      <c r="O276" s="87"/>
    </row>
    <row r="277" spans="1:15" ht="15.75">
      <c r="A277" s="87">
        <v>257</v>
      </c>
      <c r="B277" s="87" t="s">
        <v>275</v>
      </c>
      <c r="C277" s="87">
        <v>14</v>
      </c>
      <c r="D277" s="99">
        <v>12.5</v>
      </c>
      <c r="E277" s="128">
        <f t="shared" ref="E277:E340" si="17">$E$4 * ($E$6)*D277</f>
        <v>17187.5</v>
      </c>
      <c r="F277" s="128">
        <f t="shared" ref="F277:F340" si="18">E277*$E$7</f>
        <v>2578.125</v>
      </c>
      <c r="G277" s="128">
        <f t="shared" ref="G277:G340" si="19">F277*$E$11</f>
        <v>2475</v>
      </c>
      <c r="H277" s="128">
        <f>'Ozone-Energy'!P267*10^6/86400 * 24</f>
        <v>1200</v>
      </c>
      <c r="I277" s="129">
        <f>IF( J276+G277-H277*(1/$E$11) &lt; 0, 0, H277*(1/$E$11))</f>
        <v>1250</v>
      </c>
      <c r="J277" s="129">
        <f t="shared" si="16"/>
        <v>2000</v>
      </c>
      <c r="K277">
        <f>IF(J277&lt;=0, 1, 0)</f>
        <v>0</v>
      </c>
      <c r="L277" s="87"/>
      <c r="M277" s="87"/>
      <c r="N277" s="87"/>
      <c r="O277" s="87"/>
    </row>
    <row r="278" spans="1:15" ht="15.75">
      <c r="A278" s="87">
        <v>258</v>
      </c>
      <c r="B278" s="87" t="s">
        <v>275</v>
      </c>
      <c r="C278" s="87">
        <v>15</v>
      </c>
      <c r="D278" s="99">
        <v>12.5</v>
      </c>
      <c r="E278" s="128">
        <f t="shared" si="17"/>
        <v>17187.5</v>
      </c>
      <c r="F278" s="128">
        <f t="shared" si="18"/>
        <v>2578.125</v>
      </c>
      <c r="G278" s="128">
        <f t="shared" si="19"/>
        <v>2475</v>
      </c>
      <c r="H278" s="128">
        <f>'Ozone-Energy'!P268*10^6/86400 * 24</f>
        <v>1200</v>
      </c>
      <c r="I278" s="129">
        <f>IF( J277+G278-H278*(1/$E$11) &lt; 0, 0, H278*(1/$E$11))</f>
        <v>1250</v>
      </c>
      <c r="J278" s="129">
        <f t="shared" si="16"/>
        <v>2000</v>
      </c>
      <c r="K278">
        <f>IF(J278&lt;=0, 1, 0)</f>
        <v>0</v>
      </c>
      <c r="L278" s="87"/>
      <c r="M278" s="87"/>
      <c r="N278" s="87"/>
      <c r="O278" s="87"/>
    </row>
    <row r="279" spans="1:15" ht="15.75">
      <c r="A279" s="87">
        <v>259</v>
      </c>
      <c r="B279" s="87" t="s">
        <v>275</v>
      </c>
      <c r="C279" s="87">
        <v>16</v>
      </c>
      <c r="D279" s="99">
        <v>12.5</v>
      </c>
      <c r="E279" s="128">
        <f t="shared" si="17"/>
        <v>17187.5</v>
      </c>
      <c r="F279" s="128">
        <f t="shared" si="18"/>
        <v>2578.125</v>
      </c>
      <c r="G279" s="128">
        <f t="shared" si="19"/>
        <v>2475</v>
      </c>
      <c r="H279" s="128">
        <f>'Ozone-Energy'!P269*10^6/86400 * 24</f>
        <v>1200</v>
      </c>
      <c r="I279" s="129">
        <f>IF( J278+G279-H279*(1/$E$11) &lt; 0, 0, H279*(1/$E$11))</f>
        <v>1250</v>
      </c>
      <c r="J279" s="129">
        <f t="shared" ref="J279:J342" si="20">MAX(MIN(J278 + G278 - I278, $E$9), 0)</f>
        <v>2000</v>
      </c>
      <c r="K279">
        <f>IF(J279&lt;=0, 1, 0)</f>
        <v>0</v>
      </c>
      <c r="L279" s="87"/>
      <c r="M279" s="87"/>
      <c r="N279" s="87"/>
      <c r="O279" s="87"/>
    </row>
    <row r="280" spans="1:15" ht="15.75">
      <c r="A280" s="87">
        <v>260</v>
      </c>
      <c r="B280" s="87" t="s">
        <v>275</v>
      </c>
      <c r="C280" s="87">
        <v>17</v>
      </c>
      <c r="D280" s="99">
        <v>12.5</v>
      </c>
      <c r="E280" s="128">
        <f t="shared" si="17"/>
        <v>17187.5</v>
      </c>
      <c r="F280" s="128">
        <f t="shared" si="18"/>
        <v>2578.125</v>
      </c>
      <c r="G280" s="128">
        <f t="shared" si="19"/>
        <v>2475</v>
      </c>
      <c r="H280" s="128">
        <f>'Ozone-Energy'!P270*10^6/86400 * 24</f>
        <v>1200</v>
      </c>
      <c r="I280" s="129">
        <f>IF( J279+G280-H280*(1/$E$11) &lt; 0, 0, H280*(1/$E$11))</f>
        <v>1250</v>
      </c>
      <c r="J280" s="129">
        <f t="shared" si="20"/>
        <v>2000</v>
      </c>
      <c r="K280">
        <f>IF(J280&lt;=0, 1, 0)</f>
        <v>0</v>
      </c>
      <c r="L280" s="87"/>
      <c r="M280" s="87"/>
      <c r="N280" s="87"/>
      <c r="O280" s="87"/>
    </row>
    <row r="281" spans="1:15" ht="15.75">
      <c r="A281" s="87">
        <v>261</v>
      </c>
      <c r="B281" s="87" t="s">
        <v>275</v>
      </c>
      <c r="C281" s="87">
        <v>18</v>
      </c>
      <c r="D281" s="99">
        <v>12.5</v>
      </c>
      <c r="E281" s="128">
        <f t="shared" si="17"/>
        <v>17187.5</v>
      </c>
      <c r="F281" s="128">
        <f t="shared" si="18"/>
        <v>2578.125</v>
      </c>
      <c r="G281" s="128">
        <f t="shared" si="19"/>
        <v>2475</v>
      </c>
      <c r="H281" s="128">
        <f>'Ozone-Energy'!P271*10^6/86400 * 24</f>
        <v>83314.057142857127</v>
      </c>
      <c r="I281" s="129">
        <f>IF( J280+G281-H281*(1/$E$11) &lt; 0, 0, H281*(1/$E$11))</f>
        <v>0</v>
      </c>
      <c r="J281" s="129">
        <f t="shared" si="20"/>
        <v>2000</v>
      </c>
      <c r="K281">
        <f>IF(J281&lt;=0, 1, 0)</f>
        <v>0</v>
      </c>
      <c r="L281" s="87"/>
      <c r="M281" s="87"/>
      <c r="N281" s="87"/>
      <c r="O281" s="87"/>
    </row>
    <row r="282" spans="1:15" ht="15.75">
      <c r="A282" s="87">
        <v>262</v>
      </c>
      <c r="B282" s="87" t="s">
        <v>275</v>
      </c>
      <c r="C282" s="87">
        <v>19</v>
      </c>
      <c r="D282" s="99">
        <v>12.5</v>
      </c>
      <c r="E282" s="128">
        <f t="shared" si="17"/>
        <v>17187.5</v>
      </c>
      <c r="F282" s="128">
        <f t="shared" si="18"/>
        <v>2578.125</v>
      </c>
      <c r="G282" s="128">
        <f t="shared" si="19"/>
        <v>2475</v>
      </c>
      <c r="H282" s="128">
        <f>'Ozone-Energy'!P272*10^6/86400 * 24</f>
        <v>2444.1523809523806</v>
      </c>
      <c r="I282" s="129">
        <f>IF( J281+G282-H282*(1/$E$11) &lt; 0, 0, H282*(1/$E$11))</f>
        <v>2545.9920634920632</v>
      </c>
      <c r="J282" s="129">
        <f t="shared" si="20"/>
        <v>2000</v>
      </c>
      <c r="K282">
        <f>IF(J282&lt;=0, 1, 0)</f>
        <v>0</v>
      </c>
      <c r="L282" s="87"/>
      <c r="M282" s="87"/>
      <c r="N282" s="87"/>
      <c r="O282" s="87"/>
    </row>
    <row r="283" spans="1:15" ht="15.75">
      <c r="A283" s="87">
        <v>263</v>
      </c>
      <c r="B283" s="87" t="s">
        <v>275</v>
      </c>
      <c r="C283" s="87">
        <v>20</v>
      </c>
      <c r="D283" s="99">
        <v>12.5</v>
      </c>
      <c r="E283" s="128">
        <f t="shared" si="17"/>
        <v>17187.5</v>
      </c>
      <c r="F283" s="128">
        <f t="shared" si="18"/>
        <v>2578.125</v>
      </c>
      <c r="G283" s="128">
        <f t="shared" si="19"/>
        <v>2475</v>
      </c>
      <c r="H283" s="128">
        <f>'Ozone-Energy'!P273*10^6/86400 * 24</f>
        <v>1200</v>
      </c>
      <c r="I283" s="129">
        <f>IF( J282+G283-H283*(1/$E$11) &lt; 0, 0, H283*(1/$E$11))</f>
        <v>1250</v>
      </c>
      <c r="J283" s="129">
        <f t="shared" si="20"/>
        <v>1929.0079365079368</v>
      </c>
      <c r="K283">
        <f>IF(J283&lt;=0, 1, 0)</f>
        <v>0</v>
      </c>
      <c r="L283" s="87"/>
      <c r="M283" s="87"/>
      <c r="N283" s="87"/>
      <c r="O283" s="87"/>
    </row>
    <row r="284" spans="1:15" ht="15.75">
      <c r="A284" s="87">
        <v>264</v>
      </c>
      <c r="B284" s="87" t="s">
        <v>275</v>
      </c>
      <c r="C284" s="87">
        <v>21</v>
      </c>
      <c r="D284" s="99">
        <v>12.5</v>
      </c>
      <c r="E284" s="128">
        <f t="shared" si="17"/>
        <v>17187.5</v>
      </c>
      <c r="F284" s="128">
        <f t="shared" si="18"/>
        <v>2578.125</v>
      </c>
      <c r="G284" s="128">
        <f t="shared" si="19"/>
        <v>2475</v>
      </c>
      <c r="H284" s="128">
        <f>'Ozone-Energy'!P274*10^6/86400 * 24</f>
        <v>7420.7619047619046</v>
      </c>
      <c r="I284" s="129">
        <f>IF( J283+G284-H284*(1/$E$11) &lt; 0, 0, H284*(1/$E$11))</f>
        <v>0</v>
      </c>
      <c r="J284" s="129">
        <f t="shared" si="20"/>
        <v>2000</v>
      </c>
      <c r="K284">
        <f>IF(J284&lt;=0, 1, 0)</f>
        <v>0</v>
      </c>
      <c r="L284" s="87"/>
      <c r="M284" s="87"/>
      <c r="N284" s="87"/>
      <c r="O284" s="87"/>
    </row>
    <row r="285" spans="1:15" ht="15.75">
      <c r="A285" s="87">
        <v>265</v>
      </c>
      <c r="B285" s="87" t="s">
        <v>275</v>
      </c>
      <c r="C285" s="87">
        <v>22</v>
      </c>
      <c r="D285" s="99">
        <v>12.5</v>
      </c>
      <c r="E285" s="128">
        <f t="shared" si="17"/>
        <v>17187.5</v>
      </c>
      <c r="F285" s="128">
        <f t="shared" si="18"/>
        <v>2578.125</v>
      </c>
      <c r="G285" s="128">
        <f t="shared" si="19"/>
        <v>2475</v>
      </c>
      <c r="H285" s="128">
        <f>'Ozone-Energy'!P275*10^6/86400 * 24</f>
        <v>39768.723809523799</v>
      </c>
      <c r="I285" s="129">
        <f>IF( J284+G285-H285*(1/$E$11) &lt; 0, 0, H285*(1/$E$11))</f>
        <v>0</v>
      </c>
      <c r="J285" s="129">
        <f t="shared" si="20"/>
        <v>2000</v>
      </c>
      <c r="K285">
        <f>IF(J285&lt;=0, 1, 0)</f>
        <v>0</v>
      </c>
      <c r="L285" s="87"/>
      <c r="M285" s="87"/>
      <c r="N285" s="87"/>
      <c r="O285" s="87"/>
    </row>
    <row r="286" spans="1:15" ht="15.75">
      <c r="A286" s="87">
        <v>266</v>
      </c>
      <c r="B286" s="87" t="s">
        <v>275</v>
      </c>
      <c r="C286" s="87">
        <v>23</v>
      </c>
      <c r="D286" s="99">
        <v>12.5</v>
      </c>
      <c r="E286" s="128">
        <f t="shared" si="17"/>
        <v>17187.5</v>
      </c>
      <c r="F286" s="128">
        <f t="shared" si="18"/>
        <v>2578.125</v>
      </c>
      <c r="G286" s="128">
        <f t="shared" si="19"/>
        <v>2475</v>
      </c>
      <c r="H286" s="128">
        <f>'Ozone-Energy'!P276*10^6/86400 * 24</f>
        <v>92645.199999999983</v>
      </c>
      <c r="I286" s="129">
        <f>IF( J285+G286-H286*(1/$E$11) &lt; 0, 0, H286*(1/$E$11))</f>
        <v>0</v>
      </c>
      <c r="J286" s="129">
        <f t="shared" si="20"/>
        <v>2000</v>
      </c>
      <c r="K286">
        <f>IF(J286&lt;=0, 1, 0)</f>
        <v>0</v>
      </c>
      <c r="L286" s="87"/>
      <c r="M286" s="87"/>
      <c r="N286" s="87"/>
      <c r="O286" s="87"/>
    </row>
    <row r="287" spans="1:15" ht="15.75">
      <c r="A287" s="87">
        <v>267</v>
      </c>
      <c r="B287" s="87" t="s">
        <v>275</v>
      </c>
      <c r="C287" s="87">
        <v>24</v>
      </c>
      <c r="D287" s="99">
        <v>12.5</v>
      </c>
      <c r="E287" s="128">
        <f t="shared" si="17"/>
        <v>17187.5</v>
      </c>
      <c r="F287" s="128">
        <f t="shared" si="18"/>
        <v>2578.125</v>
      </c>
      <c r="G287" s="128">
        <f t="shared" si="19"/>
        <v>2475</v>
      </c>
      <c r="H287" s="128">
        <f>'Ozone-Energy'!P277*10^6/86400 * 24</f>
        <v>6176.609523809524</v>
      </c>
      <c r="I287" s="129">
        <f>IF( J286+G287-H287*(1/$E$11) &lt; 0, 0, H287*(1/$E$11))</f>
        <v>0</v>
      </c>
      <c r="J287" s="129">
        <f t="shared" si="20"/>
        <v>2000</v>
      </c>
      <c r="K287">
        <f>IF(J287&lt;=0, 1, 0)</f>
        <v>0</v>
      </c>
      <c r="L287" s="87"/>
      <c r="M287" s="87"/>
      <c r="N287" s="87"/>
      <c r="O287" s="87"/>
    </row>
    <row r="288" spans="1:15" ht="15.75">
      <c r="A288" s="87">
        <v>268</v>
      </c>
      <c r="B288" s="87" t="s">
        <v>275</v>
      </c>
      <c r="C288" s="87">
        <v>25</v>
      </c>
      <c r="D288" s="99">
        <v>12.5</v>
      </c>
      <c r="E288" s="128">
        <f t="shared" si="17"/>
        <v>17187.5</v>
      </c>
      <c r="F288" s="128">
        <f t="shared" si="18"/>
        <v>2578.125</v>
      </c>
      <c r="G288" s="128">
        <f t="shared" si="19"/>
        <v>2475</v>
      </c>
      <c r="H288" s="128">
        <f>'Ozone-Energy'!P278*10^6/86400 * 24</f>
        <v>3066.2285714285708</v>
      </c>
      <c r="I288" s="129">
        <f>IF( J287+G288-H288*(1/$E$11) &lt; 0, 0, H288*(1/$E$11))</f>
        <v>3193.988095238095</v>
      </c>
      <c r="J288" s="129">
        <f t="shared" si="20"/>
        <v>2000</v>
      </c>
      <c r="K288">
        <f>IF(J288&lt;=0, 1, 0)</f>
        <v>0</v>
      </c>
      <c r="L288" s="87"/>
      <c r="M288" s="87"/>
      <c r="N288" s="87"/>
      <c r="O288" s="87"/>
    </row>
    <row r="289" spans="1:15" ht="15.75">
      <c r="A289" s="87">
        <v>269</v>
      </c>
      <c r="B289" s="87" t="s">
        <v>275</v>
      </c>
      <c r="C289" s="87">
        <v>26</v>
      </c>
      <c r="D289" s="99">
        <v>12.5</v>
      </c>
      <c r="E289" s="128">
        <f t="shared" si="17"/>
        <v>17187.5</v>
      </c>
      <c r="F289" s="128">
        <f t="shared" si="18"/>
        <v>2578.125</v>
      </c>
      <c r="G289" s="128">
        <f t="shared" si="19"/>
        <v>2475</v>
      </c>
      <c r="H289" s="128">
        <f>'Ozone-Energy'!P279*10^6/86400 * 24</f>
        <v>26705.123809523811</v>
      </c>
      <c r="I289" s="129">
        <f>IF( J288+G289-H289*(1/$E$11) &lt; 0, 0, H289*(1/$E$11))</f>
        <v>0</v>
      </c>
      <c r="J289" s="129">
        <f t="shared" si="20"/>
        <v>1281.011904761905</v>
      </c>
      <c r="K289">
        <f>IF(J289&lt;=0, 1, 0)</f>
        <v>0</v>
      </c>
      <c r="L289" s="87"/>
      <c r="M289" s="87"/>
      <c r="N289" s="87"/>
      <c r="O289" s="87"/>
    </row>
    <row r="290" spans="1:15" ht="15.75">
      <c r="A290" s="87">
        <v>270</v>
      </c>
      <c r="B290" s="87" t="s">
        <v>275</v>
      </c>
      <c r="C290" s="87">
        <v>27</v>
      </c>
      <c r="D290" s="99">
        <v>12.5</v>
      </c>
      <c r="E290" s="128">
        <f t="shared" si="17"/>
        <v>17187.5</v>
      </c>
      <c r="F290" s="128">
        <f t="shared" si="18"/>
        <v>2578.125</v>
      </c>
      <c r="G290" s="128">
        <f t="shared" si="19"/>
        <v>2475</v>
      </c>
      <c r="H290" s="128">
        <f>'Ozone-Energy'!P280*10^6/86400 * 24</f>
        <v>1200</v>
      </c>
      <c r="I290" s="129">
        <f>IF( J289+G290-H290*(1/$E$11) &lt; 0, 0, H290*(1/$E$11))</f>
        <v>1250</v>
      </c>
      <c r="J290" s="129">
        <f t="shared" si="20"/>
        <v>2000</v>
      </c>
      <c r="K290">
        <f>IF(J290&lt;=0, 1, 0)</f>
        <v>0</v>
      </c>
      <c r="L290" s="87"/>
      <c r="M290" s="87"/>
      <c r="N290" s="87"/>
      <c r="O290" s="87"/>
    </row>
    <row r="291" spans="1:15" ht="15.75">
      <c r="A291" s="87">
        <v>271</v>
      </c>
      <c r="B291" s="87" t="s">
        <v>275</v>
      </c>
      <c r="C291" s="87">
        <v>28</v>
      </c>
      <c r="D291" s="99">
        <v>12.5</v>
      </c>
      <c r="E291" s="128">
        <f t="shared" si="17"/>
        <v>17187.5</v>
      </c>
      <c r="F291" s="128">
        <f t="shared" si="18"/>
        <v>2578.125</v>
      </c>
      <c r="G291" s="128">
        <f t="shared" si="19"/>
        <v>2475</v>
      </c>
      <c r="H291" s="128">
        <f>'Ozone-Energy'!P281*10^6/86400 * 24</f>
        <v>39768.723809523799</v>
      </c>
      <c r="I291" s="129">
        <f>IF( J290+G291-H291*(1/$E$11) &lt; 0, 0, H291*(1/$E$11))</f>
        <v>0</v>
      </c>
      <c r="J291" s="129">
        <f t="shared" si="20"/>
        <v>2000</v>
      </c>
      <c r="K291">
        <f>IF(J291&lt;=0, 1, 0)</f>
        <v>0</v>
      </c>
      <c r="L291" s="87"/>
      <c r="M291" s="87"/>
      <c r="N291" s="87"/>
      <c r="O291" s="87"/>
    </row>
    <row r="292" spans="1:15" ht="15.75">
      <c r="A292" s="87">
        <v>272</v>
      </c>
      <c r="B292" s="87" t="s">
        <v>275</v>
      </c>
      <c r="C292" s="87">
        <v>29</v>
      </c>
      <c r="D292" s="99">
        <v>12.5</v>
      </c>
      <c r="E292" s="128">
        <f t="shared" si="17"/>
        <v>17187.5</v>
      </c>
      <c r="F292" s="128">
        <f t="shared" si="18"/>
        <v>2578.125</v>
      </c>
      <c r="G292" s="128">
        <f t="shared" si="19"/>
        <v>2475</v>
      </c>
      <c r="H292" s="128">
        <f>'Ozone-Energy'!P282*10^6/86400 * 24</f>
        <v>18618.133333333335</v>
      </c>
      <c r="I292" s="129">
        <f>IF( J291+G292-H292*(1/$E$11) &lt; 0, 0, H292*(1/$E$11))</f>
        <v>0</v>
      </c>
      <c r="J292" s="129">
        <f t="shared" si="20"/>
        <v>2000</v>
      </c>
      <c r="K292">
        <f>IF(J292&lt;=0, 1, 0)</f>
        <v>0</v>
      </c>
      <c r="L292" s="87"/>
      <c r="M292" s="87"/>
      <c r="N292" s="87"/>
      <c r="O292" s="87"/>
    </row>
    <row r="293" spans="1:15" ht="15.75">
      <c r="A293" s="87">
        <v>273</v>
      </c>
      <c r="B293" s="87" t="s">
        <v>275</v>
      </c>
      <c r="C293" s="87">
        <v>30</v>
      </c>
      <c r="D293" s="99">
        <v>12.5</v>
      </c>
      <c r="E293" s="128">
        <f t="shared" si="17"/>
        <v>17187.5</v>
      </c>
      <c r="F293" s="128">
        <f t="shared" si="18"/>
        <v>2578.125</v>
      </c>
      <c r="G293" s="128">
        <f t="shared" si="19"/>
        <v>2475</v>
      </c>
      <c r="H293" s="128">
        <f>'Ozone-Energy'!P283*10^6/86400 * 24</f>
        <v>1200</v>
      </c>
      <c r="I293" s="129">
        <f>IF( J292+G293-H293*(1/$E$11) &lt; 0, 0, H293*(1/$E$11))</f>
        <v>1250</v>
      </c>
      <c r="J293" s="129">
        <f t="shared" si="20"/>
        <v>2000</v>
      </c>
      <c r="K293">
        <f>IF(J293&lt;=0, 1, 0)</f>
        <v>0</v>
      </c>
      <c r="L293" s="87"/>
      <c r="M293" s="87"/>
      <c r="N293" s="87"/>
      <c r="O293" s="87"/>
    </row>
    <row r="294" spans="1:15" ht="15.75">
      <c r="A294" s="87">
        <v>274</v>
      </c>
      <c r="B294" s="87" t="s">
        <v>276</v>
      </c>
      <c r="C294" s="87">
        <v>1</v>
      </c>
      <c r="D294" s="99">
        <v>10.75</v>
      </c>
      <c r="E294" s="128">
        <f t="shared" si="17"/>
        <v>14781.25</v>
      </c>
      <c r="F294" s="128">
        <f t="shared" si="18"/>
        <v>2217.1875</v>
      </c>
      <c r="G294" s="128">
        <f t="shared" si="19"/>
        <v>2128.5</v>
      </c>
      <c r="H294" s="128">
        <f>'Ozone-Energy'!P284*10^6/86400 * 24</f>
        <v>1200</v>
      </c>
      <c r="I294" s="129">
        <f>IF( J293+G294-H294*(1/$E$11) &lt; 0, 0, H294*(1/$E$11))</f>
        <v>1250</v>
      </c>
      <c r="J294" s="129">
        <f t="shared" si="20"/>
        <v>2000</v>
      </c>
      <c r="K294">
        <f>IF(J294&lt;=0, 1, 0)</f>
        <v>0</v>
      </c>
      <c r="L294" s="87"/>
      <c r="M294" s="87"/>
      <c r="N294" s="87"/>
      <c r="O294" s="87"/>
    </row>
    <row r="295" spans="1:15" ht="15.75">
      <c r="A295" s="87">
        <v>275</v>
      </c>
      <c r="B295" s="87" t="s">
        <v>276</v>
      </c>
      <c r="C295" s="87">
        <v>2</v>
      </c>
      <c r="D295" s="99">
        <v>10.75</v>
      </c>
      <c r="E295" s="128">
        <f t="shared" si="17"/>
        <v>14781.25</v>
      </c>
      <c r="F295" s="128">
        <f t="shared" si="18"/>
        <v>2217.1875</v>
      </c>
      <c r="G295" s="128">
        <f t="shared" si="19"/>
        <v>2128.5</v>
      </c>
      <c r="H295" s="128">
        <f>'Ozone-Energy'!P285*10^6/86400 * 24</f>
        <v>1200</v>
      </c>
      <c r="I295" s="129">
        <f>IF( J294+G295-H295*(1/$E$11) &lt; 0, 0, H295*(1/$E$11))</f>
        <v>1250</v>
      </c>
      <c r="J295" s="129">
        <f t="shared" si="20"/>
        <v>2000</v>
      </c>
      <c r="K295">
        <f>IF(J295&lt;=0, 1, 0)</f>
        <v>0</v>
      </c>
      <c r="L295" s="87"/>
      <c r="M295" s="87"/>
      <c r="N295" s="87"/>
      <c r="O295" s="87"/>
    </row>
    <row r="296" spans="1:15" ht="15.75">
      <c r="A296" s="87">
        <v>276</v>
      </c>
      <c r="B296" s="87" t="s">
        <v>276</v>
      </c>
      <c r="C296" s="87">
        <v>3</v>
      </c>
      <c r="D296" s="99">
        <v>10.75</v>
      </c>
      <c r="E296" s="128">
        <f t="shared" si="17"/>
        <v>14781.25</v>
      </c>
      <c r="F296" s="128">
        <f t="shared" si="18"/>
        <v>2217.1875</v>
      </c>
      <c r="G296" s="128">
        <f t="shared" si="19"/>
        <v>2128.5</v>
      </c>
      <c r="H296" s="128">
        <f>'Ozone-Energy'!P286*10^6/86400 * 24</f>
        <v>180980.01904761905</v>
      </c>
      <c r="I296" s="129">
        <f>IF( J295+G296-H296*(1/$E$11) &lt; 0, 0, H296*(1/$E$11))</f>
        <v>0</v>
      </c>
      <c r="J296" s="129">
        <f t="shared" si="20"/>
        <v>2000</v>
      </c>
      <c r="K296">
        <f>IF(J296&lt;=0, 1, 0)</f>
        <v>0</v>
      </c>
      <c r="L296" s="87"/>
      <c r="M296" s="87"/>
      <c r="N296" s="87"/>
      <c r="O296" s="87"/>
    </row>
    <row r="297" spans="1:15" ht="15.75">
      <c r="A297" s="87">
        <v>277</v>
      </c>
      <c r="B297" s="87" t="s">
        <v>276</v>
      </c>
      <c r="C297" s="87">
        <v>4</v>
      </c>
      <c r="D297" s="99">
        <v>10.75</v>
      </c>
      <c r="E297" s="128">
        <f t="shared" si="17"/>
        <v>14781.25</v>
      </c>
      <c r="F297" s="128">
        <f t="shared" si="18"/>
        <v>2217.1875</v>
      </c>
      <c r="G297" s="128">
        <f t="shared" si="19"/>
        <v>2128.5</v>
      </c>
      <c r="H297" s="128">
        <f>'Ozone-Energy'!P287*10^6/86400 * 24</f>
        <v>19862.285714285721</v>
      </c>
      <c r="I297" s="129">
        <f>IF( J296+G297-H297*(1/$E$11) &lt; 0, 0, H297*(1/$E$11))</f>
        <v>0</v>
      </c>
      <c r="J297" s="129">
        <f t="shared" si="20"/>
        <v>2000</v>
      </c>
      <c r="K297">
        <f>IF(J297&lt;=0, 1, 0)</f>
        <v>0</v>
      </c>
      <c r="L297" s="87"/>
      <c r="M297" s="87"/>
      <c r="N297" s="87"/>
      <c r="O297" s="87"/>
    </row>
    <row r="298" spans="1:15" ht="15.75">
      <c r="A298" s="87">
        <v>278</v>
      </c>
      <c r="B298" s="87" t="s">
        <v>276</v>
      </c>
      <c r="C298" s="87">
        <v>5</v>
      </c>
      <c r="D298" s="99">
        <v>10.75</v>
      </c>
      <c r="E298" s="128">
        <f t="shared" si="17"/>
        <v>14781.25</v>
      </c>
      <c r="F298" s="128">
        <f t="shared" si="18"/>
        <v>2217.1875</v>
      </c>
      <c r="G298" s="128">
        <f t="shared" si="19"/>
        <v>2128.5</v>
      </c>
      <c r="H298" s="128">
        <f>'Ozone-Energy'!P288*10^6/86400 * 24</f>
        <v>29815.504761904762</v>
      </c>
      <c r="I298" s="129">
        <f>IF( J297+G298-H298*(1/$E$11) &lt; 0, 0, H298*(1/$E$11))</f>
        <v>0</v>
      </c>
      <c r="J298" s="129">
        <f t="shared" si="20"/>
        <v>2000</v>
      </c>
      <c r="K298">
        <f>IF(J298&lt;=0, 1, 0)</f>
        <v>0</v>
      </c>
      <c r="L298" s="87"/>
      <c r="M298" s="87"/>
      <c r="N298" s="87"/>
      <c r="O298" s="87"/>
    </row>
    <row r="299" spans="1:15" ht="15.75">
      <c r="A299" s="87">
        <v>279</v>
      </c>
      <c r="B299" s="87" t="s">
        <v>276</v>
      </c>
      <c r="C299" s="87">
        <v>6</v>
      </c>
      <c r="D299" s="99">
        <v>10.75</v>
      </c>
      <c r="E299" s="128">
        <f t="shared" si="17"/>
        <v>14781.25</v>
      </c>
      <c r="F299" s="128">
        <f t="shared" si="18"/>
        <v>2217.1875</v>
      </c>
      <c r="G299" s="128">
        <f t="shared" si="19"/>
        <v>2128.5</v>
      </c>
      <c r="H299" s="128">
        <f>'Ozone-Energy'!P289*10^6/86400 * 24</f>
        <v>2444.1523809523806</v>
      </c>
      <c r="I299" s="129">
        <f>IF( J298+G299-H299*(1/$E$11) &lt; 0, 0, H299*(1/$E$11))</f>
        <v>2545.9920634920632</v>
      </c>
      <c r="J299" s="129">
        <f t="shared" si="20"/>
        <v>2000</v>
      </c>
      <c r="K299">
        <f>IF(J299&lt;=0, 1, 0)</f>
        <v>0</v>
      </c>
      <c r="L299" s="87"/>
      <c r="M299" s="87"/>
      <c r="N299" s="87"/>
      <c r="O299" s="87"/>
    </row>
    <row r="300" spans="1:15" ht="15.75">
      <c r="A300" s="87">
        <v>280</v>
      </c>
      <c r="B300" s="87" t="s">
        <v>276</v>
      </c>
      <c r="C300" s="87">
        <v>7</v>
      </c>
      <c r="D300" s="99">
        <v>10.75</v>
      </c>
      <c r="E300" s="128">
        <f t="shared" si="17"/>
        <v>14781.25</v>
      </c>
      <c r="F300" s="128">
        <f t="shared" si="18"/>
        <v>2217.1875</v>
      </c>
      <c r="G300" s="128">
        <f t="shared" si="19"/>
        <v>2128.5</v>
      </c>
      <c r="H300" s="128">
        <f>'Ozone-Energy'!P290*10^6/86400 * 24</f>
        <v>1200</v>
      </c>
      <c r="I300" s="129">
        <f>IF( J299+G300-H300*(1/$E$11) &lt; 0, 0, H300*(1/$E$11))</f>
        <v>1250</v>
      </c>
      <c r="J300" s="129">
        <f t="shared" si="20"/>
        <v>1582.5079365079368</v>
      </c>
      <c r="K300">
        <f>IF(J300&lt;=0, 1, 0)</f>
        <v>0</v>
      </c>
      <c r="L300" s="87"/>
      <c r="M300" s="87"/>
      <c r="N300" s="87"/>
      <c r="O300" s="87"/>
    </row>
    <row r="301" spans="1:15" ht="15.75">
      <c r="A301" s="87">
        <v>281</v>
      </c>
      <c r="B301" s="87" t="s">
        <v>276</v>
      </c>
      <c r="C301" s="87">
        <v>8</v>
      </c>
      <c r="D301" s="99">
        <v>10.75</v>
      </c>
      <c r="E301" s="128">
        <f t="shared" si="17"/>
        <v>14781.25</v>
      </c>
      <c r="F301" s="128">
        <f t="shared" si="18"/>
        <v>2217.1875</v>
      </c>
      <c r="G301" s="128">
        <f t="shared" si="19"/>
        <v>2128.5</v>
      </c>
      <c r="H301" s="128">
        <f>'Ozone-Energy'!P291*10^6/86400 * 24</f>
        <v>5554.5333333333338</v>
      </c>
      <c r="I301" s="129">
        <f>IF( J300+G301-H301*(1/$E$11) &lt; 0, 0, H301*(1/$E$11))</f>
        <v>0</v>
      </c>
      <c r="J301" s="129">
        <f t="shared" si="20"/>
        <v>2000</v>
      </c>
      <c r="K301">
        <f>IF(J301&lt;=0, 1, 0)</f>
        <v>0</v>
      </c>
      <c r="L301" s="87"/>
      <c r="M301" s="87"/>
      <c r="N301" s="87"/>
      <c r="O301" s="87"/>
    </row>
    <row r="302" spans="1:15" ht="15.75">
      <c r="A302" s="87">
        <v>282</v>
      </c>
      <c r="B302" s="87" t="s">
        <v>276</v>
      </c>
      <c r="C302" s="87">
        <v>9</v>
      </c>
      <c r="D302" s="99">
        <v>10.75</v>
      </c>
      <c r="E302" s="128">
        <f t="shared" si="17"/>
        <v>14781.25</v>
      </c>
      <c r="F302" s="128">
        <f t="shared" si="18"/>
        <v>2217.1875</v>
      </c>
      <c r="G302" s="128">
        <f t="shared" si="19"/>
        <v>2128.5</v>
      </c>
      <c r="H302" s="128">
        <f>'Ozone-Energy'!P292*10^6/86400 * 24</f>
        <v>6798.6857142857134</v>
      </c>
      <c r="I302" s="129">
        <f>IF( J301+G302-H302*(1/$E$11) &lt; 0, 0, H302*(1/$E$11))</f>
        <v>0</v>
      </c>
      <c r="J302" s="129">
        <f t="shared" si="20"/>
        <v>2000</v>
      </c>
      <c r="K302">
        <f>IF(J302&lt;=0, 1, 0)</f>
        <v>0</v>
      </c>
      <c r="L302" s="87"/>
      <c r="M302" s="87"/>
      <c r="N302" s="87"/>
      <c r="O302" s="87"/>
    </row>
    <row r="303" spans="1:15" ht="15.75">
      <c r="A303" s="87">
        <v>283</v>
      </c>
      <c r="B303" s="87" t="s">
        <v>276</v>
      </c>
      <c r="C303" s="87">
        <v>10</v>
      </c>
      <c r="D303" s="99">
        <v>10.75</v>
      </c>
      <c r="E303" s="128">
        <f t="shared" si="17"/>
        <v>14781.25</v>
      </c>
      <c r="F303" s="128">
        <f t="shared" si="18"/>
        <v>2217.1875</v>
      </c>
      <c r="G303" s="128">
        <f t="shared" si="19"/>
        <v>2128.5</v>
      </c>
      <c r="H303" s="128">
        <f>'Ozone-Energy'!P293*10^6/86400 * 24</f>
        <v>56564.780952380956</v>
      </c>
      <c r="I303" s="129">
        <f>IF( J302+G303-H303*(1/$E$11) &lt; 0, 0, H303*(1/$E$11))</f>
        <v>0</v>
      </c>
      <c r="J303" s="129">
        <f t="shared" si="20"/>
        <v>2000</v>
      </c>
      <c r="K303">
        <f>IF(J303&lt;=0, 1, 0)</f>
        <v>0</v>
      </c>
      <c r="L303" s="87"/>
      <c r="M303" s="87"/>
      <c r="N303" s="87"/>
      <c r="O303" s="87"/>
    </row>
    <row r="304" spans="1:15" ht="15.75">
      <c r="A304" s="87">
        <v>284</v>
      </c>
      <c r="B304" s="87" t="s">
        <v>276</v>
      </c>
      <c r="C304" s="87">
        <v>11</v>
      </c>
      <c r="D304" s="99">
        <v>10.75</v>
      </c>
      <c r="E304" s="128">
        <f t="shared" si="17"/>
        <v>14781.25</v>
      </c>
      <c r="F304" s="128">
        <f t="shared" si="18"/>
        <v>2217.1875</v>
      </c>
      <c r="G304" s="128">
        <f t="shared" si="19"/>
        <v>2128.5</v>
      </c>
      <c r="H304" s="128">
        <f>'Ozone-Energy'!P294*10^6/86400 * 24</f>
        <v>49099.866666666669</v>
      </c>
      <c r="I304" s="129">
        <f>IF( J303+G304-H304*(1/$E$11) &lt; 0, 0, H304*(1/$E$11))</f>
        <v>0</v>
      </c>
      <c r="J304" s="129">
        <f t="shared" si="20"/>
        <v>2000</v>
      </c>
      <c r="K304">
        <f>IF(J304&lt;=0, 1, 0)</f>
        <v>0</v>
      </c>
      <c r="L304" s="87"/>
      <c r="M304" s="87"/>
      <c r="N304" s="87"/>
      <c r="O304" s="87"/>
    </row>
    <row r="305" spans="1:15" ht="15.75">
      <c r="A305" s="87">
        <v>285</v>
      </c>
      <c r="B305" s="87" t="s">
        <v>276</v>
      </c>
      <c r="C305" s="87">
        <v>12</v>
      </c>
      <c r="D305" s="99">
        <v>10.75</v>
      </c>
      <c r="E305" s="128">
        <f t="shared" si="17"/>
        <v>14781.25</v>
      </c>
      <c r="F305" s="128">
        <f t="shared" si="18"/>
        <v>2217.1875</v>
      </c>
      <c r="G305" s="128">
        <f t="shared" si="19"/>
        <v>2128.5</v>
      </c>
      <c r="H305" s="128">
        <f>'Ozone-Energy'!P295*10^6/86400 * 24</f>
        <v>103842.57142857146</v>
      </c>
      <c r="I305" s="129">
        <f>IF( J304+G305-H305*(1/$E$11) &lt; 0, 0, H305*(1/$E$11))</f>
        <v>0</v>
      </c>
      <c r="J305" s="129">
        <f t="shared" si="20"/>
        <v>2000</v>
      </c>
      <c r="K305">
        <f>IF(J305&lt;=0, 1, 0)</f>
        <v>0</v>
      </c>
      <c r="L305" s="87"/>
      <c r="M305" s="87"/>
      <c r="N305" s="87"/>
      <c r="O305" s="87"/>
    </row>
    <row r="306" spans="1:15" ht="15.75">
      <c r="A306" s="87">
        <v>286</v>
      </c>
      <c r="B306" s="87" t="s">
        <v>276</v>
      </c>
      <c r="C306" s="87">
        <v>13</v>
      </c>
      <c r="D306" s="99">
        <v>10.75</v>
      </c>
      <c r="E306" s="128">
        <f t="shared" si="17"/>
        <v>14781.25</v>
      </c>
      <c r="F306" s="128">
        <f t="shared" si="18"/>
        <v>2217.1875</v>
      </c>
      <c r="G306" s="128">
        <f t="shared" si="19"/>
        <v>2128.5</v>
      </c>
      <c r="H306" s="128">
        <f>'Ozone-Energy'!P296*10^6/86400 * 24</f>
        <v>98865.961904761891</v>
      </c>
      <c r="I306" s="129">
        <f>IF( J305+G306-H306*(1/$E$11) &lt; 0, 0, H306*(1/$E$11))</f>
        <v>0</v>
      </c>
      <c r="J306" s="129">
        <f t="shared" si="20"/>
        <v>2000</v>
      </c>
      <c r="K306">
        <f>IF(J306&lt;=0, 1, 0)</f>
        <v>0</v>
      </c>
      <c r="L306" s="87"/>
      <c r="M306" s="87"/>
      <c r="N306" s="87"/>
      <c r="O306" s="87"/>
    </row>
    <row r="307" spans="1:15" ht="15.75">
      <c r="A307" s="87">
        <v>287</v>
      </c>
      <c r="B307" s="87" t="s">
        <v>276</v>
      </c>
      <c r="C307" s="87">
        <v>14</v>
      </c>
      <c r="D307" s="99">
        <v>10.75</v>
      </c>
      <c r="E307" s="128">
        <f t="shared" si="17"/>
        <v>14781.25</v>
      </c>
      <c r="F307" s="128">
        <f t="shared" si="18"/>
        <v>2217.1875</v>
      </c>
      <c r="G307" s="128">
        <f t="shared" si="19"/>
        <v>2128.5</v>
      </c>
      <c r="H307" s="128">
        <f>'Ozone-Energy'!P297*10^6/86400 * 24</f>
        <v>89534.819047619036</v>
      </c>
      <c r="I307" s="129">
        <f>IF( J306+G307-H307*(1/$E$11) &lt; 0, 0, H307*(1/$E$11))</f>
        <v>0</v>
      </c>
      <c r="J307" s="129">
        <f t="shared" si="20"/>
        <v>2000</v>
      </c>
      <c r="K307">
        <f>IF(J307&lt;=0, 1, 0)</f>
        <v>0</v>
      </c>
      <c r="L307" s="87"/>
      <c r="M307" s="87"/>
      <c r="N307" s="87"/>
      <c r="O307" s="87"/>
    </row>
    <row r="308" spans="1:15" ht="15.75">
      <c r="A308" s="87">
        <v>288</v>
      </c>
      <c r="B308" s="87" t="s">
        <v>276</v>
      </c>
      <c r="C308" s="87">
        <v>15</v>
      </c>
      <c r="D308" s="99">
        <v>10.75</v>
      </c>
      <c r="E308" s="128">
        <f t="shared" si="17"/>
        <v>14781.25</v>
      </c>
      <c r="F308" s="128">
        <f t="shared" si="18"/>
        <v>2217.1875</v>
      </c>
      <c r="G308" s="128">
        <f t="shared" si="19"/>
        <v>2128.5</v>
      </c>
      <c r="H308" s="128">
        <f>'Ozone-Energy'!P298*10^6/86400 * 24</f>
        <v>21106.438095238103</v>
      </c>
      <c r="I308" s="129">
        <f>IF( J307+G308-H308*(1/$E$11) &lt; 0, 0, H308*(1/$E$11))</f>
        <v>0</v>
      </c>
      <c r="J308" s="129">
        <f t="shared" si="20"/>
        <v>2000</v>
      </c>
      <c r="K308">
        <f>IF(J308&lt;=0, 1, 0)</f>
        <v>0</v>
      </c>
      <c r="L308" s="87"/>
      <c r="M308" s="87"/>
      <c r="N308" s="87"/>
      <c r="O308" s="87"/>
    </row>
    <row r="309" spans="1:15" ht="15.75">
      <c r="A309" s="87">
        <v>289</v>
      </c>
      <c r="B309" s="87" t="s">
        <v>276</v>
      </c>
      <c r="C309" s="87">
        <v>16</v>
      </c>
      <c r="D309" s="99">
        <v>10.75</v>
      </c>
      <c r="E309" s="128">
        <f t="shared" si="17"/>
        <v>14781.25</v>
      </c>
      <c r="F309" s="128">
        <f t="shared" si="18"/>
        <v>2217.1875</v>
      </c>
      <c r="G309" s="128">
        <f t="shared" si="19"/>
        <v>2128.5</v>
      </c>
      <c r="H309" s="128">
        <f>'Ozone-Energy'!P299*10^6/86400 * 24</f>
        <v>54698.552380952373</v>
      </c>
      <c r="I309" s="129">
        <f>IF( J308+G309-H309*(1/$E$11) &lt; 0, 0, H309*(1/$E$11))</f>
        <v>0</v>
      </c>
      <c r="J309" s="129">
        <f t="shared" si="20"/>
        <v>2000</v>
      </c>
      <c r="K309">
        <f>IF(J309&lt;=0, 1, 0)</f>
        <v>0</v>
      </c>
      <c r="L309" s="87"/>
      <c r="M309" s="87"/>
      <c r="N309" s="87"/>
      <c r="O309" s="87"/>
    </row>
    <row r="310" spans="1:15" ht="15.75">
      <c r="A310" s="87">
        <v>290</v>
      </c>
      <c r="B310" s="87" t="s">
        <v>276</v>
      </c>
      <c r="C310" s="87">
        <v>17</v>
      </c>
      <c r="D310" s="99">
        <v>10.75</v>
      </c>
      <c r="E310" s="128">
        <f t="shared" si="17"/>
        <v>14781.25</v>
      </c>
      <c r="F310" s="128">
        <f t="shared" si="18"/>
        <v>2217.1875</v>
      </c>
      <c r="G310" s="128">
        <f t="shared" si="19"/>
        <v>2128.5</v>
      </c>
      <c r="H310" s="128">
        <f>'Ozone-Energy'!P300*10^6/86400 * 24</f>
        <v>85180.28571428571</v>
      </c>
      <c r="I310" s="129">
        <f>IF( J309+G310-H310*(1/$E$11) &lt; 0, 0, H310*(1/$E$11))</f>
        <v>0</v>
      </c>
      <c r="J310" s="129">
        <f t="shared" si="20"/>
        <v>2000</v>
      </c>
      <c r="K310">
        <f>IF(J310&lt;=0, 1, 0)</f>
        <v>0</v>
      </c>
      <c r="L310" s="87"/>
      <c r="M310" s="87"/>
      <c r="N310" s="87"/>
      <c r="O310" s="87"/>
    </row>
    <row r="311" spans="1:15" ht="15.75">
      <c r="A311" s="87">
        <v>291</v>
      </c>
      <c r="B311" s="87" t="s">
        <v>276</v>
      </c>
      <c r="C311" s="87">
        <v>18</v>
      </c>
      <c r="D311" s="99">
        <v>10.75</v>
      </c>
      <c r="E311" s="128">
        <f t="shared" si="17"/>
        <v>14781.25</v>
      </c>
      <c r="F311" s="128">
        <f t="shared" si="18"/>
        <v>2217.1875</v>
      </c>
      <c r="G311" s="128">
        <f t="shared" si="19"/>
        <v>2128.5</v>
      </c>
      <c r="H311" s="128">
        <f>'Ozone-Energy'!P301*10^6/86400 * 24</f>
        <v>53454.400000000016</v>
      </c>
      <c r="I311" s="129">
        <f>IF( J310+G311-H311*(1/$E$11) &lt; 0, 0, H311*(1/$E$11))</f>
        <v>0</v>
      </c>
      <c r="J311" s="129">
        <f t="shared" si="20"/>
        <v>2000</v>
      </c>
      <c r="K311">
        <f>IF(J311&lt;=0, 1, 0)</f>
        <v>0</v>
      </c>
      <c r="L311" s="87"/>
      <c r="M311" s="87"/>
      <c r="N311" s="87"/>
      <c r="O311" s="87"/>
    </row>
    <row r="312" spans="1:15" ht="15.75">
      <c r="A312" s="87">
        <v>292</v>
      </c>
      <c r="B312" s="87" t="s">
        <v>276</v>
      </c>
      <c r="C312" s="87">
        <v>19</v>
      </c>
      <c r="D312" s="99">
        <v>10.75</v>
      </c>
      <c r="E312" s="128">
        <f t="shared" si="17"/>
        <v>14781.25</v>
      </c>
      <c r="F312" s="128">
        <f t="shared" si="18"/>
        <v>2217.1875</v>
      </c>
      <c r="G312" s="128">
        <f t="shared" si="19"/>
        <v>2128.5</v>
      </c>
      <c r="H312" s="128">
        <f>'Ozone-Energy'!P302*10^6/86400 * 24</f>
        <v>144899.60000000006</v>
      </c>
      <c r="I312" s="129">
        <f>IF( J311+G312-H312*(1/$E$11) &lt; 0, 0, H312*(1/$E$11))</f>
        <v>0</v>
      </c>
      <c r="J312" s="129">
        <f t="shared" si="20"/>
        <v>2000</v>
      </c>
      <c r="K312">
        <f>IF(J312&lt;=0, 1, 0)</f>
        <v>0</v>
      </c>
      <c r="L312" s="87"/>
      <c r="M312" s="87"/>
      <c r="N312" s="87"/>
      <c r="O312" s="87"/>
    </row>
    <row r="313" spans="1:15" ht="15.75">
      <c r="A313" s="87">
        <v>293</v>
      </c>
      <c r="B313" s="87" t="s">
        <v>276</v>
      </c>
      <c r="C313" s="87">
        <v>20</v>
      </c>
      <c r="D313" s="99">
        <v>10.75</v>
      </c>
      <c r="E313" s="128">
        <f t="shared" si="17"/>
        <v>14781.25</v>
      </c>
      <c r="F313" s="128">
        <f t="shared" si="18"/>
        <v>2217.1875</v>
      </c>
      <c r="G313" s="128">
        <f t="shared" si="19"/>
        <v>2128.5</v>
      </c>
      <c r="H313" s="128">
        <f>'Ozone-Energy'!P303*10^6/86400 * 24</f>
        <v>34792.114285714284</v>
      </c>
      <c r="I313" s="129">
        <f>IF( J312+G313-H313*(1/$E$11) &lt; 0, 0, H313*(1/$E$11))</f>
        <v>0</v>
      </c>
      <c r="J313" s="129">
        <f t="shared" si="20"/>
        <v>2000</v>
      </c>
      <c r="K313">
        <f>IF(J313&lt;=0, 1, 0)</f>
        <v>0</v>
      </c>
      <c r="L313" s="87"/>
      <c r="M313" s="87"/>
      <c r="N313" s="87"/>
      <c r="O313" s="87"/>
    </row>
    <row r="314" spans="1:15" ht="15.75">
      <c r="A314" s="87">
        <v>294</v>
      </c>
      <c r="B314" s="87" t="s">
        <v>276</v>
      </c>
      <c r="C314" s="87">
        <v>21</v>
      </c>
      <c r="D314" s="99">
        <v>10.75</v>
      </c>
      <c r="E314" s="128">
        <f t="shared" si="17"/>
        <v>14781.25</v>
      </c>
      <c r="F314" s="128">
        <f t="shared" si="18"/>
        <v>2217.1875</v>
      </c>
      <c r="G314" s="128">
        <f t="shared" si="19"/>
        <v>2128.5</v>
      </c>
      <c r="H314" s="128">
        <f>'Ozone-Energy'!P304*10^6/86400 * 24</f>
        <v>126237.3142857143</v>
      </c>
      <c r="I314" s="129">
        <f>IF( J313+G314-H314*(1/$E$11) &lt; 0, 0, H314*(1/$E$11))</f>
        <v>0</v>
      </c>
      <c r="J314" s="129">
        <f t="shared" si="20"/>
        <v>2000</v>
      </c>
      <c r="K314">
        <f>IF(J314&lt;=0, 1, 0)</f>
        <v>0</v>
      </c>
      <c r="L314" s="87"/>
      <c r="M314" s="87"/>
      <c r="N314" s="87"/>
      <c r="O314" s="87"/>
    </row>
    <row r="315" spans="1:15" ht="15.75">
      <c r="A315" s="87">
        <v>295</v>
      </c>
      <c r="B315" s="87" t="s">
        <v>276</v>
      </c>
      <c r="C315" s="87">
        <v>22</v>
      </c>
      <c r="D315" s="99">
        <v>10.75</v>
      </c>
      <c r="E315" s="128">
        <f t="shared" si="17"/>
        <v>14781.25</v>
      </c>
      <c r="F315" s="128">
        <f t="shared" si="18"/>
        <v>2217.1875</v>
      </c>
      <c r="G315" s="128">
        <f t="shared" si="19"/>
        <v>2128.5</v>
      </c>
      <c r="H315" s="128">
        <f>'Ozone-Energy'!P305*10^6/86400 * 24</f>
        <v>67762.152380952379</v>
      </c>
      <c r="I315" s="129">
        <f>IF( J314+G315-H315*(1/$E$11) &lt; 0, 0, H315*(1/$E$11))</f>
        <v>0</v>
      </c>
      <c r="J315" s="129">
        <f t="shared" si="20"/>
        <v>2000</v>
      </c>
      <c r="K315">
        <f>IF(J315&lt;=0, 1, 0)</f>
        <v>0</v>
      </c>
      <c r="L315" s="87"/>
      <c r="M315" s="87"/>
      <c r="N315" s="87"/>
      <c r="O315" s="87"/>
    </row>
    <row r="316" spans="1:15" ht="15.75">
      <c r="A316" s="87">
        <v>296</v>
      </c>
      <c r="B316" s="87" t="s">
        <v>276</v>
      </c>
      <c r="C316" s="87">
        <v>23</v>
      </c>
      <c r="D316" s="99">
        <v>10.75</v>
      </c>
      <c r="E316" s="128">
        <f t="shared" si="17"/>
        <v>14781.25</v>
      </c>
      <c r="F316" s="128">
        <f t="shared" si="18"/>
        <v>2217.1875</v>
      </c>
      <c r="G316" s="128">
        <f t="shared" si="19"/>
        <v>2128.5</v>
      </c>
      <c r="H316" s="128">
        <f>'Ozone-Energy'!P306*10^6/86400 * 24</f>
        <v>30437.580952380951</v>
      </c>
      <c r="I316" s="129">
        <f>IF( J315+G316-H316*(1/$E$11) &lt; 0, 0, H316*(1/$E$11))</f>
        <v>0</v>
      </c>
      <c r="J316" s="129">
        <f t="shared" si="20"/>
        <v>2000</v>
      </c>
      <c r="K316">
        <f>IF(J316&lt;=0, 1, 0)</f>
        <v>0</v>
      </c>
      <c r="L316" s="87"/>
      <c r="M316" s="87"/>
      <c r="N316" s="87"/>
      <c r="O316" s="87"/>
    </row>
    <row r="317" spans="1:15" ht="15.75">
      <c r="A317" s="87">
        <v>297</v>
      </c>
      <c r="B317" s="87" t="s">
        <v>276</v>
      </c>
      <c r="C317" s="87">
        <v>24</v>
      </c>
      <c r="D317" s="99">
        <v>10.75</v>
      </c>
      <c r="E317" s="128">
        <f t="shared" si="17"/>
        <v>14781.25</v>
      </c>
      <c r="F317" s="128">
        <f t="shared" si="18"/>
        <v>2217.1875</v>
      </c>
      <c r="G317" s="128">
        <f t="shared" si="19"/>
        <v>2128.5</v>
      </c>
      <c r="H317" s="128">
        <f>'Ozone-Energy'!P307*10^6/86400 * 24</f>
        <v>6176.609523809524</v>
      </c>
      <c r="I317" s="129">
        <f>IF( J316+G317-H317*(1/$E$11) &lt; 0, 0, H317*(1/$E$11))</f>
        <v>0</v>
      </c>
      <c r="J317" s="129">
        <f t="shared" si="20"/>
        <v>2000</v>
      </c>
      <c r="K317">
        <f>IF(J317&lt;=0, 1, 0)</f>
        <v>0</v>
      </c>
      <c r="L317" s="87"/>
      <c r="M317" s="87"/>
      <c r="N317" s="87"/>
      <c r="O317" s="87"/>
    </row>
    <row r="318" spans="1:15" ht="15.75">
      <c r="A318" s="87">
        <v>298</v>
      </c>
      <c r="B318" s="87" t="s">
        <v>276</v>
      </c>
      <c r="C318" s="87">
        <v>25</v>
      </c>
      <c r="D318" s="99">
        <v>10.75</v>
      </c>
      <c r="E318" s="128">
        <f t="shared" si="17"/>
        <v>14781.25</v>
      </c>
      <c r="F318" s="128">
        <f t="shared" si="18"/>
        <v>2217.1875</v>
      </c>
      <c r="G318" s="128">
        <f t="shared" si="19"/>
        <v>2128.5</v>
      </c>
      <c r="H318" s="128">
        <f>'Ozone-Energy'!P308*10^6/86400 * 24</f>
        <v>69006.304761904757</v>
      </c>
      <c r="I318" s="129">
        <f>IF( J317+G318-H318*(1/$E$11) &lt; 0, 0, H318*(1/$E$11))</f>
        <v>0</v>
      </c>
      <c r="J318" s="129">
        <f t="shared" si="20"/>
        <v>2000</v>
      </c>
      <c r="K318">
        <f>IF(J318&lt;=0, 1, 0)</f>
        <v>0</v>
      </c>
      <c r="L318" s="87"/>
      <c r="M318" s="87"/>
      <c r="N318" s="87"/>
      <c r="O318" s="87"/>
    </row>
    <row r="319" spans="1:15" ht="15.75">
      <c r="A319" s="87">
        <v>299</v>
      </c>
      <c r="B319" s="87" t="s">
        <v>276</v>
      </c>
      <c r="C319" s="87">
        <v>26</v>
      </c>
      <c r="D319" s="99">
        <v>10.75</v>
      </c>
      <c r="E319" s="128">
        <f t="shared" si="17"/>
        <v>14781.25</v>
      </c>
      <c r="F319" s="128">
        <f t="shared" si="18"/>
        <v>2217.1875</v>
      </c>
      <c r="G319" s="128">
        <f t="shared" si="19"/>
        <v>2128.5</v>
      </c>
      <c r="H319" s="128">
        <f>'Ozone-Energy'!P309*10^6/86400 * 24</f>
        <v>8664.9142857142833</v>
      </c>
      <c r="I319" s="129">
        <f>IF( J318+G319-H319*(1/$E$11) &lt; 0, 0, H319*(1/$E$11))</f>
        <v>0</v>
      </c>
      <c r="J319" s="129">
        <f t="shared" si="20"/>
        <v>2000</v>
      </c>
      <c r="K319">
        <f>IF(J319&lt;=0, 1, 0)</f>
        <v>0</v>
      </c>
      <c r="L319" s="87"/>
      <c r="M319" s="87"/>
      <c r="N319" s="87"/>
      <c r="O319" s="87"/>
    </row>
    <row r="320" spans="1:15" ht="15.75">
      <c r="A320" s="87">
        <v>300</v>
      </c>
      <c r="B320" s="87" t="s">
        <v>276</v>
      </c>
      <c r="C320" s="87">
        <v>27</v>
      </c>
      <c r="D320" s="99">
        <v>10.75</v>
      </c>
      <c r="E320" s="128">
        <f t="shared" si="17"/>
        <v>14781.25</v>
      </c>
      <c r="F320" s="128">
        <f t="shared" si="18"/>
        <v>2217.1875</v>
      </c>
      <c r="G320" s="128">
        <f t="shared" si="19"/>
        <v>2128.5</v>
      </c>
      <c r="H320" s="128">
        <f>'Ozone-Energy'!P310*10^6/86400 * 24</f>
        <v>105708.80000000003</v>
      </c>
      <c r="I320" s="129">
        <f>IF( J319+G320-H320*(1/$E$11) &lt; 0, 0, H320*(1/$E$11))</f>
        <v>0</v>
      </c>
      <c r="J320" s="129">
        <f t="shared" si="20"/>
        <v>2000</v>
      </c>
      <c r="K320">
        <f>IF(J320&lt;=0, 1, 0)</f>
        <v>0</v>
      </c>
      <c r="L320" s="87"/>
      <c r="M320" s="87"/>
      <c r="N320" s="87"/>
      <c r="O320" s="87"/>
    </row>
    <row r="321" spans="1:15" ht="15.75">
      <c r="A321" s="87">
        <v>301</v>
      </c>
      <c r="B321" s="87" t="s">
        <v>276</v>
      </c>
      <c r="C321" s="87">
        <v>28</v>
      </c>
      <c r="D321" s="99">
        <v>10.75</v>
      </c>
      <c r="E321" s="128">
        <f t="shared" si="17"/>
        <v>14781.25</v>
      </c>
      <c r="F321" s="128">
        <f t="shared" si="18"/>
        <v>2217.1875</v>
      </c>
      <c r="G321" s="128">
        <f t="shared" si="19"/>
        <v>2128.5</v>
      </c>
      <c r="H321" s="128">
        <f>'Ozone-Energy'!P311*10^6/86400 * 24</f>
        <v>77093.295238095205</v>
      </c>
      <c r="I321" s="129">
        <f>IF( J320+G321-H321*(1/$E$11) &lt; 0, 0, H321*(1/$E$11))</f>
        <v>0</v>
      </c>
      <c r="J321" s="129">
        <f t="shared" si="20"/>
        <v>2000</v>
      </c>
      <c r="K321">
        <f>IF(J321&lt;=0, 1, 0)</f>
        <v>0</v>
      </c>
      <c r="L321" s="87"/>
      <c r="M321" s="87"/>
      <c r="N321" s="87"/>
      <c r="O321" s="87"/>
    </row>
    <row r="322" spans="1:15" ht="15.75">
      <c r="A322" s="87">
        <v>302</v>
      </c>
      <c r="B322" s="87" t="s">
        <v>276</v>
      </c>
      <c r="C322" s="87">
        <v>29</v>
      </c>
      <c r="D322" s="99">
        <v>10.75</v>
      </c>
      <c r="E322" s="128">
        <f t="shared" si="17"/>
        <v>14781.25</v>
      </c>
      <c r="F322" s="128">
        <f t="shared" si="18"/>
        <v>2217.1875</v>
      </c>
      <c r="G322" s="128">
        <f t="shared" si="19"/>
        <v>2128.5</v>
      </c>
      <c r="H322" s="128">
        <f>'Ozone-Energy'!P312*10^6/86400 * 24</f>
        <v>22972.666666666672</v>
      </c>
      <c r="I322" s="129">
        <f>IF( J321+G322-H322*(1/$E$11) &lt; 0, 0, H322*(1/$E$11))</f>
        <v>0</v>
      </c>
      <c r="J322" s="129">
        <f t="shared" si="20"/>
        <v>2000</v>
      </c>
      <c r="K322">
        <f>IF(J322&lt;=0, 1, 0)</f>
        <v>0</v>
      </c>
      <c r="L322" s="87"/>
      <c r="M322" s="87"/>
      <c r="N322" s="87"/>
      <c r="O322" s="87"/>
    </row>
    <row r="323" spans="1:15" ht="15.75">
      <c r="A323" s="87">
        <v>303</v>
      </c>
      <c r="B323" s="87" t="s">
        <v>276</v>
      </c>
      <c r="C323" s="87">
        <v>30</v>
      </c>
      <c r="D323" s="99">
        <v>10.75</v>
      </c>
      <c r="E323" s="128">
        <f t="shared" si="17"/>
        <v>14781.25</v>
      </c>
      <c r="F323" s="128">
        <f t="shared" si="18"/>
        <v>2217.1875</v>
      </c>
      <c r="G323" s="128">
        <f t="shared" si="19"/>
        <v>2128.5</v>
      </c>
      <c r="H323" s="128">
        <f>'Ozone-Energy'!P313*10^6/86400 * 24</f>
        <v>29193.428571428558</v>
      </c>
      <c r="I323" s="129">
        <f>IF( J322+G323-H323*(1/$E$11) &lt; 0, 0, H323*(1/$E$11))</f>
        <v>0</v>
      </c>
      <c r="J323" s="129">
        <f t="shared" si="20"/>
        <v>2000</v>
      </c>
      <c r="K323">
        <f>IF(J323&lt;=0, 1, 0)</f>
        <v>0</v>
      </c>
      <c r="L323" s="87"/>
      <c r="M323" s="87"/>
      <c r="N323" s="87"/>
      <c r="O323" s="87"/>
    </row>
    <row r="324" spans="1:15" ht="15.75">
      <c r="A324" s="87">
        <v>304</v>
      </c>
      <c r="B324" s="87" t="s">
        <v>276</v>
      </c>
      <c r="C324" s="87">
        <v>31</v>
      </c>
      <c r="D324" s="99">
        <v>10.75</v>
      </c>
      <c r="E324" s="128">
        <f t="shared" si="17"/>
        <v>14781.25</v>
      </c>
      <c r="F324" s="128">
        <f t="shared" si="18"/>
        <v>2217.1875</v>
      </c>
      <c r="G324" s="128">
        <f t="shared" si="19"/>
        <v>2128.5</v>
      </c>
      <c r="H324" s="128">
        <f>'Ozone-Energy'!P314*10^6/86400 * 24</f>
        <v>47855.714285714283</v>
      </c>
      <c r="I324" s="129">
        <f>IF( J323+G324-H324*(1/$E$11) &lt; 0, 0, H324*(1/$E$11))</f>
        <v>0</v>
      </c>
      <c r="J324" s="129">
        <f t="shared" si="20"/>
        <v>2000</v>
      </c>
      <c r="K324">
        <f>IF(J324&lt;=0, 1, 0)</f>
        <v>0</v>
      </c>
      <c r="L324" s="87"/>
      <c r="M324" s="87"/>
      <c r="N324" s="87"/>
      <c r="O324" s="87"/>
    </row>
    <row r="325" spans="1:15" ht="15.75">
      <c r="A325" s="87">
        <v>305</v>
      </c>
      <c r="B325" s="87" t="s">
        <v>277</v>
      </c>
      <c r="C325" s="87">
        <v>1</v>
      </c>
      <c r="D325" s="99">
        <v>9</v>
      </c>
      <c r="E325" s="128">
        <f t="shared" si="17"/>
        <v>12375</v>
      </c>
      <c r="F325" s="128">
        <f t="shared" si="18"/>
        <v>1856.25</v>
      </c>
      <c r="G325" s="128">
        <f t="shared" si="19"/>
        <v>1782</v>
      </c>
      <c r="H325" s="128">
        <f>'Ozone-Energy'!P315*10^6/86400 * 24</f>
        <v>21106.438095238103</v>
      </c>
      <c r="I325" s="129">
        <f>IF( J324+G325-H325*(1/$E$11) &lt; 0, 0, H325*(1/$E$11))</f>
        <v>0</v>
      </c>
      <c r="J325" s="129">
        <f t="shared" si="20"/>
        <v>2000</v>
      </c>
      <c r="K325">
        <f>IF(J325&lt;=0, 1, 0)</f>
        <v>0</v>
      </c>
      <c r="L325" s="87"/>
      <c r="M325" s="87"/>
      <c r="N325" s="87"/>
      <c r="O325" s="87"/>
    </row>
    <row r="326" spans="1:15" ht="15.75">
      <c r="A326" s="87">
        <v>306</v>
      </c>
      <c r="B326" s="87" t="s">
        <v>277</v>
      </c>
      <c r="C326" s="87">
        <v>2</v>
      </c>
      <c r="D326" s="99">
        <v>9</v>
      </c>
      <c r="E326" s="128">
        <f t="shared" si="17"/>
        <v>12375</v>
      </c>
      <c r="F326" s="128">
        <f t="shared" si="18"/>
        <v>1856.25</v>
      </c>
      <c r="G326" s="128">
        <f t="shared" si="19"/>
        <v>1782</v>
      </c>
      <c r="H326" s="128">
        <f>'Ozone-Energy'!P316*10^6/86400 * 24</f>
        <v>118150.3238095238</v>
      </c>
      <c r="I326" s="129">
        <f>IF( J325+G326-H326*(1/$E$11) &lt; 0, 0, H326*(1/$E$11))</f>
        <v>0</v>
      </c>
      <c r="J326" s="129">
        <f t="shared" si="20"/>
        <v>2000</v>
      </c>
      <c r="K326">
        <f>IF(J326&lt;=0, 1, 0)</f>
        <v>0</v>
      </c>
      <c r="L326" s="87"/>
      <c r="M326" s="87"/>
      <c r="N326" s="87"/>
      <c r="O326" s="87"/>
    </row>
    <row r="327" spans="1:15" ht="15.75">
      <c r="A327" s="87">
        <v>307</v>
      </c>
      <c r="B327" s="87" t="s">
        <v>277</v>
      </c>
      <c r="C327" s="87">
        <v>3</v>
      </c>
      <c r="D327" s="99">
        <v>9</v>
      </c>
      <c r="E327" s="128">
        <f t="shared" si="17"/>
        <v>12375</v>
      </c>
      <c r="F327" s="128">
        <f t="shared" si="18"/>
        <v>1856.25</v>
      </c>
      <c r="G327" s="128">
        <f t="shared" si="19"/>
        <v>1782</v>
      </c>
      <c r="H327" s="128">
        <f>'Ozone-Energy'!P317*10^6/86400 * 24</f>
        <v>110685.40952380952</v>
      </c>
      <c r="I327" s="129">
        <f>IF( J326+G327-H327*(1/$E$11) &lt; 0, 0, H327*(1/$E$11))</f>
        <v>0</v>
      </c>
      <c r="J327" s="129">
        <f t="shared" si="20"/>
        <v>2000</v>
      </c>
      <c r="K327">
        <f>IF(J327&lt;=0, 1, 0)</f>
        <v>0</v>
      </c>
      <c r="L327" s="87"/>
      <c r="M327" s="87"/>
      <c r="N327" s="87"/>
      <c r="O327" s="87"/>
    </row>
    <row r="328" spans="1:15" ht="15.75">
      <c r="A328" s="87">
        <v>308</v>
      </c>
      <c r="B328" s="87" t="s">
        <v>277</v>
      </c>
      <c r="C328" s="87">
        <v>4</v>
      </c>
      <c r="D328" s="99">
        <v>9</v>
      </c>
      <c r="E328" s="128">
        <f t="shared" si="17"/>
        <v>12375</v>
      </c>
      <c r="F328" s="128">
        <f t="shared" si="18"/>
        <v>1856.25</v>
      </c>
      <c r="G328" s="128">
        <f t="shared" si="19"/>
        <v>1782</v>
      </c>
      <c r="H328" s="128">
        <f>'Ozone-Energy'!P318*10^6/86400 * 24</f>
        <v>29193.428571428558</v>
      </c>
      <c r="I328" s="129">
        <f>IF( J327+G328-H328*(1/$E$11) &lt; 0, 0, H328*(1/$E$11))</f>
        <v>0</v>
      </c>
      <c r="J328" s="129">
        <f t="shared" si="20"/>
        <v>2000</v>
      </c>
      <c r="K328">
        <f>IF(J328&lt;=0, 1, 0)</f>
        <v>0</v>
      </c>
      <c r="L328" s="87"/>
      <c r="M328" s="87"/>
      <c r="N328" s="87"/>
      <c r="O328" s="87"/>
    </row>
    <row r="329" spans="1:15" ht="15.75">
      <c r="A329" s="87">
        <v>309</v>
      </c>
      <c r="B329" s="87" t="s">
        <v>277</v>
      </c>
      <c r="C329" s="87">
        <v>5</v>
      </c>
      <c r="D329" s="99">
        <v>9</v>
      </c>
      <c r="E329" s="128">
        <f t="shared" si="17"/>
        <v>12375</v>
      </c>
      <c r="F329" s="128">
        <f t="shared" si="18"/>
        <v>1856.25</v>
      </c>
      <c r="G329" s="128">
        <f t="shared" si="19"/>
        <v>1782</v>
      </c>
      <c r="H329" s="128">
        <f>'Ozone-Energy'!P319*10^6/86400 * 24</f>
        <v>14885.67619047619</v>
      </c>
      <c r="I329" s="129">
        <f>IF( J328+G329-H329*(1/$E$11) &lt; 0, 0, H329*(1/$E$11))</f>
        <v>0</v>
      </c>
      <c r="J329" s="129">
        <f t="shared" si="20"/>
        <v>2000</v>
      </c>
      <c r="K329">
        <f>IF(J329&lt;=0, 1, 0)</f>
        <v>0</v>
      </c>
      <c r="L329" s="87"/>
      <c r="M329" s="87"/>
      <c r="N329" s="87"/>
      <c r="O329" s="87"/>
    </row>
    <row r="330" spans="1:15" ht="15.75">
      <c r="A330" s="87">
        <v>310</v>
      </c>
      <c r="B330" s="87" t="s">
        <v>277</v>
      </c>
      <c r="C330" s="87">
        <v>6</v>
      </c>
      <c r="D330" s="99">
        <v>9</v>
      </c>
      <c r="E330" s="128">
        <f t="shared" si="17"/>
        <v>12375</v>
      </c>
      <c r="F330" s="128">
        <f t="shared" si="18"/>
        <v>1856.25</v>
      </c>
      <c r="G330" s="128">
        <f t="shared" si="19"/>
        <v>1782</v>
      </c>
      <c r="H330" s="128">
        <f>'Ozone-Energy'!P320*10^6/86400 * 24</f>
        <v>64029.695238095228</v>
      </c>
      <c r="I330" s="129">
        <f>IF( J329+G330-H330*(1/$E$11) &lt; 0, 0, H330*(1/$E$11))</f>
        <v>0</v>
      </c>
      <c r="J330" s="129">
        <f t="shared" si="20"/>
        <v>2000</v>
      </c>
      <c r="K330">
        <f>IF(J330&lt;=0, 1, 0)</f>
        <v>0</v>
      </c>
      <c r="L330" s="87"/>
      <c r="M330" s="87"/>
      <c r="N330" s="87"/>
      <c r="O330" s="87"/>
    </row>
    <row r="331" spans="1:15" ht="15.75">
      <c r="A331" s="87">
        <v>311</v>
      </c>
      <c r="B331" s="87" t="s">
        <v>277</v>
      </c>
      <c r="C331" s="87">
        <v>7</v>
      </c>
      <c r="D331" s="99">
        <v>9</v>
      </c>
      <c r="E331" s="128">
        <f t="shared" si="17"/>
        <v>12375</v>
      </c>
      <c r="F331" s="128">
        <f t="shared" si="18"/>
        <v>1856.25</v>
      </c>
      <c r="G331" s="128">
        <f t="shared" si="19"/>
        <v>1782</v>
      </c>
      <c r="H331" s="128">
        <f>'Ozone-Energy'!P321*10^6/86400 * 24</f>
        <v>5554.5333333333338</v>
      </c>
      <c r="I331" s="129">
        <f>IF( J330+G331-H331*(1/$E$11) &lt; 0, 0, H331*(1/$E$11))</f>
        <v>0</v>
      </c>
      <c r="J331" s="129">
        <f t="shared" si="20"/>
        <v>2000</v>
      </c>
      <c r="K331">
        <f>IF(J331&lt;=0, 1, 0)</f>
        <v>0</v>
      </c>
      <c r="L331" s="87"/>
      <c r="M331" s="87"/>
      <c r="N331" s="87"/>
      <c r="O331" s="87"/>
    </row>
    <row r="332" spans="1:15" ht="15.75">
      <c r="A332" s="87">
        <v>312</v>
      </c>
      <c r="B332" s="87" t="s">
        <v>277</v>
      </c>
      <c r="C332" s="87">
        <v>8</v>
      </c>
      <c r="D332" s="99">
        <v>9</v>
      </c>
      <c r="E332" s="128">
        <f t="shared" si="17"/>
        <v>12375</v>
      </c>
      <c r="F332" s="128">
        <f t="shared" si="18"/>
        <v>1856.25</v>
      </c>
      <c r="G332" s="128">
        <f t="shared" si="19"/>
        <v>1782</v>
      </c>
      <c r="H332" s="128">
        <f>'Ozone-Energy'!P322*10^6/86400 * 24</f>
        <v>106952.9523809524</v>
      </c>
      <c r="I332" s="129">
        <f>IF( J331+G332-H332*(1/$E$11) &lt; 0, 0, H332*(1/$E$11))</f>
        <v>0</v>
      </c>
      <c r="J332" s="129">
        <f t="shared" si="20"/>
        <v>2000</v>
      </c>
      <c r="K332">
        <f>IF(J332&lt;=0, 1, 0)</f>
        <v>0</v>
      </c>
      <c r="L332" s="87"/>
      <c r="M332" s="87"/>
      <c r="N332" s="87"/>
      <c r="O332" s="87"/>
    </row>
    <row r="333" spans="1:15" ht="15.75">
      <c r="A333" s="87">
        <v>313</v>
      </c>
      <c r="B333" s="87" t="s">
        <v>277</v>
      </c>
      <c r="C333" s="87">
        <v>9</v>
      </c>
      <c r="D333" s="99">
        <v>9</v>
      </c>
      <c r="E333" s="128">
        <f t="shared" si="17"/>
        <v>12375</v>
      </c>
      <c r="F333" s="128">
        <f t="shared" si="18"/>
        <v>1856.25</v>
      </c>
      <c r="G333" s="128">
        <f t="shared" si="19"/>
        <v>1782</v>
      </c>
      <c r="H333" s="128">
        <f>'Ozone-Energy'!P323*10^6/86400 * 24</f>
        <v>1200</v>
      </c>
      <c r="I333" s="129">
        <f>IF( J332+G333-H333*(1/$E$11) &lt; 0, 0, H333*(1/$E$11))</f>
        <v>1250</v>
      </c>
      <c r="J333" s="129">
        <f t="shared" si="20"/>
        <v>2000</v>
      </c>
      <c r="K333">
        <f>IF(J333&lt;=0, 1, 0)</f>
        <v>0</v>
      </c>
      <c r="L333" s="87"/>
      <c r="M333" s="87"/>
      <c r="N333" s="87"/>
      <c r="O333" s="87"/>
    </row>
    <row r="334" spans="1:15" ht="15.75">
      <c r="A334" s="87">
        <v>314</v>
      </c>
      <c r="B334" s="87" t="s">
        <v>277</v>
      </c>
      <c r="C334" s="87">
        <v>10</v>
      </c>
      <c r="D334" s="99">
        <v>9</v>
      </c>
      <c r="E334" s="128">
        <f t="shared" si="17"/>
        <v>12375</v>
      </c>
      <c r="F334" s="128">
        <f t="shared" si="18"/>
        <v>1856.25</v>
      </c>
      <c r="G334" s="128">
        <f t="shared" si="19"/>
        <v>1782</v>
      </c>
      <c r="H334" s="128">
        <f>'Ozone-Energy'!P324*10^6/86400 * 24</f>
        <v>1200</v>
      </c>
      <c r="I334" s="129">
        <f>IF( J333+G334-H334*(1/$E$11) &lt; 0, 0, H334*(1/$E$11))</f>
        <v>1250</v>
      </c>
      <c r="J334" s="129">
        <f t="shared" si="20"/>
        <v>2000</v>
      </c>
      <c r="K334">
        <f>IF(J334&lt;=0, 1, 0)</f>
        <v>0</v>
      </c>
      <c r="L334" s="87"/>
      <c r="M334" s="87"/>
      <c r="N334" s="87"/>
      <c r="O334" s="87"/>
    </row>
    <row r="335" spans="1:15" ht="15.75">
      <c r="A335" s="87">
        <v>315</v>
      </c>
      <c r="B335" s="87" t="s">
        <v>277</v>
      </c>
      <c r="C335" s="87">
        <v>11</v>
      </c>
      <c r="D335" s="99">
        <v>9</v>
      </c>
      <c r="E335" s="128">
        <f t="shared" si="17"/>
        <v>12375</v>
      </c>
      <c r="F335" s="128">
        <f t="shared" si="18"/>
        <v>1856.25</v>
      </c>
      <c r="G335" s="128">
        <f t="shared" si="19"/>
        <v>1782</v>
      </c>
      <c r="H335" s="128">
        <f>'Ozone-Energy'!P325*10^6/86400 * 24</f>
        <v>1200</v>
      </c>
      <c r="I335" s="129">
        <f>IF( J334+G335-H335*(1/$E$11) &lt; 0, 0, H335*(1/$E$11))</f>
        <v>1250</v>
      </c>
      <c r="J335" s="129">
        <f t="shared" si="20"/>
        <v>2000</v>
      </c>
      <c r="K335">
        <f>IF(J335&lt;=0, 1, 0)</f>
        <v>0</v>
      </c>
      <c r="L335" s="87"/>
      <c r="M335" s="87"/>
      <c r="N335" s="87"/>
      <c r="O335" s="87"/>
    </row>
    <row r="336" spans="1:15" ht="15.75">
      <c r="A336" s="87">
        <v>316</v>
      </c>
      <c r="B336" s="87" t="s">
        <v>277</v>
      </c>
      <c r="C336" s="87">
        <v>12</v>
      </c>
      <c r="D336" s="99">
        <v>9</v>
      </c>
      <c r="E336" s="128">
        <f t="shared" si="17"/>
        <v>12375</v>
      </c>
      <c r="F336" s="128">
        <f t="shared" si="18"/>
        <v>1856.25</v>
      </c>
      <c r="G336" s="128">
        <f t="shared" si="19"/>
        <v>1782</v>
      </c>
      <c r="H336" s="128">
        <f>'Ozone-Energy'!P326*10^6/86400 * 24</f>
        <v>1200</v>
      </c>
      <c r="I336" s="129">
        <f>IF( J335+G336-H336*(1/$E$11) &lt; 0, 0, H336*(1/$E$11))</f>
        <v>1250</v>
      </c>
      <c r="J336" s="129">
        <f t="shared" si="20"/>
        <v>2000</v>
      </c>
      <c r="K336">
        <f>IF(J336&lt;=0, 1, 0)</f>
        <v>0</v>
      </c>
      <c r="L336" s="87"/>
      <c r="M336" s="87"/>
      <c r="N336" s="87"/>
      <c r="O336" s="87"/>
    </row>
    <row r="337" spans="1:15" ht="15.75">
      <c r="A337" s="87">
        <v>317</v>
      </c>
      <c r="B337" s="87" t="s">
        <v>277</v>
      </c>
      <c r="C337" s="87">
        <v>13</v>
      </c>
      <c r="D337" s="99">
        <v>9</v>
      </c>
      <c r="E337" s="128">
        <f t="shared" si="17"/>
        <v>12375</v>
      </c>
      <c r="F337" s="128">
        <f t="shared" si="18"/>
        <v>1856.25</v>
      </c>
      <c r="G337" s="128">
        <f t="shared" si="19"/>
        <v>1782</v>
      </c>
      <c r="H337" s="128">
        <f>'Ozone-Energy'!P327*10^6/86400 * 24</f>
        <v>1200</v>
      </c>
      <c r="I337" s="129">
        <f>IF( J336+G337-H337*(1/$E$11) &lt; 0, 0, H337*(1/$E$11))</f>
        <v>1250</v>
      </c>
      <c r="J337" s="129">
        <f t="shared" si="20"/>
        <v>2000</v>
      </c>
      <c r="K337">
        <f>IF(J337&lt;=0, 1, 0)</f>
        <v>0</v>
      </c>
      <c r="L337" s="87"/>
      <c r="M337" s="87"/>
      <c r="N337" s="87"/>
      <c r="O337" s="87"/>
    </row>
    <row r="338" spans="1:15" ht="15.75">
      <c r="A338" s="87">
        <v>318</v>
      </c>
      <c r="B338" s="87" t="s">
        <v>277</v>
      </c>
      <c r="C338" s="87">
        <v>14</v>
      </c>
      <c r="D338" s="99">
        <v>9</v>
      </c>
      <c r="E338" s="128">
        <f t="shared" si="17"/>
        <v>12375</v>
      </c>
      <c r="F338" s="128">
        <f t="shared" si="18"/>
        <v>1856.25</v>
      </c>
      <c r="G338" s="128">
        <f t="shared" si="19"/>
        <v>1782</v>
      </c>
      <c r="H338" s="128">
        <f>'Ozone-Energy'!P328*10^6/86400 * 24</f>
        <v>1200</v>
      </c>
      <c r="I338" s="129">
        <f>IF( J337+G338-H338*(1/$E$11) &lt; 0, 0, H338*(1/$E$11))</f>
        <v>1250</v>
      </c>
      <c r="J338" s="129">
        <f t="shared" si="20"/>
        <v>2000</v>
      </c>
      <c r="K338">
        <f>IF(J338&lt;=0, 1, 0)</f>
        <v>0</v>
      </c>
      <c r="L338" s="87"/>
      <c r="M338" s="87"/>
      <c r="N338" s="87"/>
      <c r="O338" s="87"/>
    </row>
    <row r="339" spans="1:15" ht="15.75">
      <c r="A339" s="87">
        <v>319</v>
      </c>
      <c r="B339" s="87" t="s">
        <v>277</v>
      </c>
      <c r="C339" s="87">
        <v>15</v>
      </c>
      <c r="D339" s="99">
        <v>9</v>
      </c>
      <c r="E339" s="128">
        <f t="shared" si="17"/>
        <v>12375</v>
      </c>
      <c r="F339" s="128">
        <f t="shared" si="18"/>
        <v>1856.25</v>
      </c>
      <c r="G339" s="128">
        <f t="shared" si="19"/>
        <v>1782</v>
      </c>
      <c r="H339" s="128">
        <f>'Ozone-Energy'!P329*10^6/86400 * 24</f>
        <v>1200</v>
      </c>
      <c r="I339" s="129">
        <f>IF( J338+G339-H339*(1/$E$11) &lt; 0, 0, H339*(1/$E$11))</f>
        <v>1250</v>
      </c>
      <c r="J339" s="129">
        <f t="shared" si="20"/>
        <v>2000</v>
      </c>
      <c r="K339">
        <f>IF(J339&lt;=0, 1, 0)</f>
        <v>0</v>
      </c>
      <c r="L339" s="87"/>
      <c r="M339" s="87"/>
      <c r="N339" s="87"/>
      <c r="O339" s="87"/>
    </row>
    <row r="340" spans="1:15" ht="15.75">
      <c r="A340" s="87">
        <v>320</v>
      </c>
      <c r="B340" s="87" t="s">
        <v>277</v>
      </c>
      <c r="C340" s="87">
        <v>16</v>
      </c>
      <c r="D340" s="99">
        <v>9</v>
      </c>
      <c r="E340" s="128">
        <f t="shared" si="17"/>
        <v>12375</v>
      </c>
      <c r="F340" s="128">
        <f t="shared" si="18"/>
        <v>1856.25</v>
      </c>
      <c r="G340" s="128">
        <f t="shared" si="19"/>
        <v>1782</v>
      </c>
      <c r="H340" s="128">
        <f>'Ozone-Energy'!P330*10^6/86400 * 24</f>
        <v>1200</v>
      </c>
      <c r="I340" s="129">
        <f>IF( J339+G340-H340*(1/$E$11) &lt; 0, 0, H340*(1/$E$11))</f>
        <v>1250</v>
      </c>
      <c r="J340" s="129">
        <f t="shared" si="20"/>
        <v>2000</v>
      </c>
      <c r="K340">
        <f>IF(J340&lt;=0, 1, 0)</f>
        <v>0</v>
      </c>
      <c r="L340" s="87"/>
      <c r="M340" s="87"/>
      <c r="N340" s="87"/>
      <c r="O340" s="87"/>
    </row>
    <row r="341" spans="1:15" ht="15.75">
      <c r="A341" s="87">
        <v>321</v>
      </c>
      <c r="B341" s="87" t="s">
        <v>277</v>
      </c>
      <c r="C341" s="87">
        <v>17</v>
      </c>
      <c r="D341" s="99">
        <v>9</v>
      </c>
      <c r="E341" s="128">
        <f t="shared" ref="E341:E404" si="21">$E$4 * ($E$6)*D341</f>
        <v>12375</v>
      </c>
      <c r="F341" s="128">
        <f t="shared" ref="F341:F386" si="22">E341*$E$7</f>
        <v>1856.25</v>
      </c>
      <c r="G341" s="128">
        <f t="shared" ref="G341:G386" si="23">F341*$E$11</f>
        <v>1782</v>
      </c>
      <c r="H341" s="128">
        <f>'Ozone-Energy'!P331*10^6/86400 * 24</f>
        <v>1200</v>
      </c>
      <c r="I341" s="129">
        <f>IF( J340+G341-H341*(1/$E$11) &lt; 0, 0, H341*(1/$E$11))</f>
        <v>1250</v>
      </c>
      <c r="J341" s="129">
        <f t="shared" si="20"/>
        <v>2000</v>
      </c>
      <c r="K341">
        <f>IF(J341&lt;=0, 1, 0)</f>
        <v>0</v>
      </c>
      <c r="L341" s="87"/>
      <c r="M341" s="87"/>
      <c r="N341" s="87"/>
      <c r="O341" s="87"/>
    </row>
    <row r="342" spans="1:15" ht="15.75">
      <c r="A342" s="87">
        <v>322</v>
      </c>
      <c r="B342" s="87" t="s">
        <v>277</v>
      </c>
      <c r="C342" s="87">
        <v>18</v>
      </c>
      <c r="D342" s="99">
        <v>9</v>
      </c>
      <c r="E342" s="128">
        <f t="shared" si="21"/>
        <v>12375</v>
      </c>
      <c r="F342" s="128">
        <f t="shared" si="22"/>
        <v>1856.25</v>
      </c>
      <c r="G342" s="128">
        <f t="shared" si="23"/>
        <v>1782</v>
      </c>
      <c r="H342" s="128">
        <f>'Ozone-Energy'!P332*10^6/86400 * 24</f>
        <v>1200</v>
      </c>
      <c r="I342" s="129">
        <f>IF( J341+G342-H342*(1/$E$11) &lt; 0, 0, H342*(1/$E$11))</f>
        <v>1250</v>
      </c>
      <c r="J342" s="129">
        <f t="shared" si="20"/>
        <v>2000</v>
      </c>
      <c r="K342">
        <f>IF(J342&lt;=0, 1, 0)</f>
        <v>0</v>
      </c>
      <c r="L342" s="87"/>
      <c r="M342" s="87"/>
      <c r="N342" s="87"/>
      <c r="O342" s="87"/>
    </row>
    <row r="343" spans="1:15" ht="15.75">
      <c r="A343" s="87">
        <v>323</v>
      </c>
      <c r="B343" s="87" t="s">
        <v>277</v>
      </c>
      <c r="C343" s="87">
        <v>19</v>
      </c>
      <c r="D343" s="99">
        <v>9</v>
      </c>
      <c r="E343" s="128">
        <f t="shared" si="21"/>
        <v>12375</v>
      </c>
      <c r="F343" s="128">
        <f t="shared" si="22"/>
        <v>1856.25</v>
      </c>
      <c r="G343" s="128">
        <f t="shared" si="23"/>
        <v>1782</v>
      </c>
      <c r="H343" s="128">
        <f>'Ozone-Energy'!P333*10^6/86400 * 24</f>
        <v>11775.295238095237</v>
      </c>
      <c r="I343" s="129">
        <f>IF( J342+G343-H343*(1/$E$11) &lt; 0, 0, H343*(1/$E$11))</f>
        <v>0</v>
      </c>
      <c r="J343" s="129">
        <f t="shared" ref="J343:J386" si="24">MAX(MIN(J342 + G342 - I342, $E$9), 0)</f>
        <v>2000</v>
      </c>
      <c r="K343">
        <f>IF(J343&lt;=0, 1, 0)</f>
        <v>0</v>
      </c>
      <c r="L343" s="87"/>
      <c r="M343" s="87"/>
      <c r="N343" s="87"/>
      <c r="O343" s="87"/>
    </row>
    <row r="344" spans="1:15" ht="15.75">
      <c r="A344" s="87">
        <v>324</v>
      </c>
      <c r="B344" s="87" t="s">
        <v>277</v>
      </c>
      <c r="C344" s="87">
        <v>20</v>
      </c>
      <c r="D344" s="99">
        <v>9</v>
      </c>
      <c r="E344" s="128">
        <f t="shared" si="21"/>
        <v>12375</v>
      </c>
      <c r="F344" s="128">
        <f t="shared" si="22"/>
        <v>1856.25</v>
      </c>
      <c r="G344" s="128">
        <f t="shared" si="23"/>
        <v>1782</v>
      </c>
      <c r="H344" s="128">
        <f>'Ozone-Energy'!P334*10^6/86400 * 24</f>
        <v>92645.199999999983</v>
      </c>
      <c r="I344" s="129">
        <f>IF( J343+G344-H344*(1/$E$11) &lt; 0, 0, H344*(1/$E$11))</f>
        <v>0</v>
      </c>
      <c r="J344" s="129">
        <f t="shared" si="24"/>
        <v>2000</v>
      </c>
      <c r="K344">
        <f>IF(J344&lt;=0, 1, 0)</f>
        <v>0</v>
      </c>
      <c r="L344" s="87"/>
      <c r="M344" s="87"/>
      <c r="N344" s="87"/>
      <c r="O344" s="87"/>
    </row>
    <row r="345" spans="1:15" ht="15.75">
      <c r="A345" s="87">
        <v>325</v>
      </c>
      <c r="B345" s="87" t="s">
        <v>277</v>
      </c>
      <c r="C345" s="87">
        <v>21</v>
      </c>
      <c r="D345" s="99">
        <v>9</v>
      </c>
      <c r="E345" s="128">
        <f t="shared" si="21"/>
        <v>12375</v>
      </c>
      <c r="F345" s="128">
        <f t="shared" si="22"/>
        <v>1856.25</v>
      </c>
      <c r="G345" s="128">
        <f t="shared" si="23"/>
        <v>1782</v>
      </c>
      <c r="H345" s="128">
        <f>'Ozone-Energy'!P335*10^6/86400 * 24</f>
        <v>103220.49523809525</v>
      </c>
      <c r="I345" s="129">
        <f>IF( J344+G345-H345*(1/$E$11) &lt; 0, 0, H345*(1/$E$11))</f>
        <v>0</v>
      </c>
      <c r="J345" s="129">
        <f t="shared" si="24"/>
        <v>2000</v>
      </c>
      <c r="K345">
        <f>IF(J345&lt;=0, 1, 0)</f>
        <v>0</v>
      </c>
      <c r="L345" s="87"/>
      <c r="M345" s="87"/>
      <c r="N345" s="87"/>
      <c r="O345" s="87"/>
    </row>
    <row r="346" spans="1:15" ht="15.75">
      <c r="A346" s="87">
        <v>326</v>
      </c>
      <c r="B346" s="87" t="s">
        <v>277</v>
      </c>
      <c r="C346" s="87">
        <v>22</v>
      </c>
      <c r="D346" s="99">
        <v>9</v>
      </c>
      <c r="E346" s="128">
        <f t="shared" si="21"/>
        <v>12375</v>
      </c>
      <c r="F346" s="128">
        <f t="shared" si="22"/>
        <v>1856.25</v>
      </c>
      <c r="G346" s="128">
        <f t="shared" si="23"/>
        <v>1782</v>
      </c>
      <c r="H346" s="128">
        <f>'Ozone-Energy'!P336*10^6/86400 * 24</f>
        <v>80825.752380952385</v>
      </c>
      <c r="I346" s="129">
        <f>IF( J345+G346-H346*(1/$E$11) &lt; 0, 0, H346*(1/$E$11))</f>
        <v>0</v>
      </c>
      <c r="J346" s="129">
        <f t="shared" si="24"/>
        <v>2000</v>
      </c>
      <c r="K346">
        <f>IF(J346&lt;=0, 1, 0)</f>
        <v>0</v>
      </c>
      <c r="L346" s="87"/>
      <c r="M346" s="87"/>
      <c r="N346" s="87"/>
      <c r="O346" s="87"/>
    </row>
    <row r="347" spans="1:15" ht="15.75">
      <c r="A347" s="87">
        <v>327</v>
      </c>
      <c r="B347" s="87" t="s">
        <v>277</v>
      </c>
      <c r="C347" s="87">
        <v>23</v>
      </c>
      <c r="D347" s="99">
        <v>9</v>
      </c>
      <c r="E347" s="128">
        <f t="shared" si="21"/>
        <v>12375</v>
      </c>
      <c r="F347" s="128">
        <f t="shared" si="22"/>
        <v>1856.25</v>
      </c>
      <c r="G347" s="128">
        <f t="shared" si="23"/>
        <v>1782</v>
      </c>
      <c r="H347" s="128">
        <f>'Ozone-Energy'!P337*10^6/86400 * 24</f>
        <v>48477.790476190465</v>
      </c>
      <c r="I347" s="129">
        <f>IF( J346+G347-H347*(1/$E$11) &lt; 0, 0, H347*(1/$E$11))</f>
        <v>0</v>
      </c>
      <c r="J347" s="129">
        <f t="shared" si="24"/>
        <v>2000</v>
      </c>
      <c r="K347">
        <f>IF(J347&lt;=0, 1, 0)</f>
        <v>0</v>
      </c>
      <c r="L347" s="87"/>
      <c r="M347" s="87"/>
      <c r="N347" s="87"/>
      <c r="O347" s="87"/>
    </row>
    <row r="348" spans="1:15" ht="15.75">
      <c r="A348" s="87">
        <v>328</v>
      </c>
      <c r="B348" s="87" t="s">
        <v>277</v>
      </c>
      <c r="C348" s="87">
        <v>24</v>
      </c>
      <c r="D348" s="99">
        <v>9</v>
      </c>
      <c r="E348" s="128">
        <f t="shared" si="21"/>
        <v>12375</v>
      </c>
      <c r="F348" s="128">
        <f t="shared" si="22"/>
        <v>1856.25</v>
      </c>
      <c r="G348" s="128">
        <f t="shared" si="23"/>
        <v>1782</v>
      </c>
      <c r="H348" s="128">
        <f>'Ozone-Energy'!P338*10^6/86400 * 24</f>
        <v>189689.08571428573</v>
      </c>
      <c r="I348" s="129">
        <f>IF( J347+G348-H348*(1/$E$11) &lt; 0, 0, H348*(1/$E$11))</f>
        <v>0</v>
      </c>
      <c r="J348" s="129">
        <f t="shared" si="24"/>
        <v>2000</v>
      </c>
      <c r="K348">
        <f>IF(J348&lt;=0, 1, 0)</f>
        <v>0</v>
      </c>
      <c r="L348" s="87"/>
      <c r="M348" s="87"/>
      <c r="N348" s="87"/>
      <c r="O348" s="87"/>
    </row>
    <row r="349" spans="1:15" ht="15.75">
      <c r="A349" s="87">
        <v>329</v>
      </c>
      <c r="B349" s="87" t="s">
        <v>277</v>
      </c>
      <c r="C349" s="87">
        <v>25</v>
      </c>
      <c r="D349" s="99">
        <v>9</v>
      </c>
      <c r="E349" s="128">
        <f t="shared" si="21"/>
        <v>12375</v>
      </c>
      <c r="F349" s="128">
        <f t="shared" si="22"/>
        <v>1856.25</v>
      </c>
      <c r="G349" s="128">
        <f t="shared" si="23"/>
        <v>1782</v>
      </c>
      <c r="H349" s="128">
        <f>'Ozone-Energy'!P339*10^6/86400 * 24</f>
        <v>47855.714285714283</v>
      </c>
      <c r="I349" s="129">
        <f>IF( J348+G349-H349*(1/$E$11) &lt; 0, 0, H349*(1/$E$11))</f>
        <v>0</v>
      </c>
      <c r="J349" s="129">
        <f t="shared" si="24"/>
        <v>2000</v>
      </c>
      <c r="K349">
        <f>IF(J349&lt;=0, 1, 0)</f>
        <v>0</v>
      </c>
      <c r="L349" s="87"/>
      <c r="M349" s="87"/>
      <c r="N349" s="87"/>
      <c r="O349" s="87"/>
    </row>
    <row r="350" spans="1:15" ht="15.75">
      <c r="A350" s="87">
        <v>330</v>
      </c>
      <c r="B350" s="87" t="s">
        <v>277</v>
      </c>
      <c r="C350" s="87">
        <v>26</v>
      </c>
      <c r="D350" s="99">
        <v>9</v>
      </c>
      <c r="E350" s="128">
        <f t="shared" si="21"/>
        <v>12375</v>
      </c>
      <c r="F350" s="128">
        <f t="shared" si="22"/>
        <v>1856.25</v>
      </c>
      <c r="G350" s="128">
        <f t="shared" si="23"/>
        <v>1782</v>
      </c>
      <c r="H350" s="128">
        <f>'Ozone-Energy'!P340*10^6/86400 * 24</f>
        <v>134946.38095238098</v>
      </c>
      <c r="I350" s="129">
        <f>IF( J349+G350-H350*(1/$E$11) &lt; 0, 0, H350*(1/$E$11))</f>
        <v>0</v>
      </c>
      <c r="J350" s="129">
        <f t="shared" si="24"/>
        <v>2000</v>
      </c>
      <c r="K350">
        <f>IF(J350&lt;=0, 1, 0)</f>
        <v>0</v>
      </c>
      <c r="L350" s="87"/>
      <c r="M350" s="87"/>
      <c r="N350" s="87"/>
      <c r="O350" s="87"/>
    </row>
    <row r="351" spans="1:15" ht="15.75">
      <c r="A351" s="87">
        <v>331</v>
      </c>
      <c r="B351" s="87" t="s">
        <v>277</v>
      </c>
      <c r="C351" s="87">
        <v>27</v>
      </c>
      <c r="D351" s="99">
        <v>9</v>
      </c>
      <c r="E351" s="128">
        <f t="shared" si="21"/>
        <v>12375</v>
      </c>
      <c r="F351" s="128">
        <f t="shared" si="22"/>
        <v>1856.25</v>
      </c>
      <c r="G351" s="128">
        <f t="shared" si="23"/>
        <v>1782</v>
      </c>
      <c r="H351" s="128">
        <f>'Ozone-Energy'!P341*10^6/86400 * 24</f>
        <v>47855.714285714283</v>
      </c>
      <c r="I351" s="129">
        <f>IF( J350+G351-H351*(1/$E$11) &lt; 0, 0, H351*(1/$E$11))</f>
        <v>0</v>
      </c>
      <c r="J351" s="129">
        <f t="shared" si="24"/>
        <v>2000</v>
      </c>
      <c r="K351">
        <f>IF(J351&lt;=0, 1, 0)</f>
        <v>0</v>
      </c>
      <c r="L351" s="87"/>
      <c r="M351" s="87"/>
      <c r="N351" s="87"/>
      <c r="O351" s="87"/>
    </row>
    <row r="352" spans="1:15" ht="15.75">
      <c r="A352" s="87">
        <v>332</v>
      </c>
      <c r="B352" s="87" t="s">
        <v>277</v>
      </c>
      <c r="C352" s="87">
        <v>28</v>
      </c>
      <c r="D352" s="99">
        <v>9</v>
      </c>
      <c r="E352" s="128">
        <f t="shared" si="21"/>
        <v>12375</v>
      </c>
      <c r="F352" s="128">
        <f t="shared" si="22"/>
        <v>1856.25</v>
      </c>
      <c r="G352" s="128">
        <f t="shared" si="23"/>
        <v>1782</v>
      </c>
      <c r="H352" s="128">
        <f>'Ozone-Energy'!P342*10^6/86400 * 24</f>
        <v>1200</v>
      </c>
      <c r="I352" s="129">
        <f>IF( J351+G352-H352*(1/$E$11) &lt; 0, 0, H352*(1/$E$11))</f>
        <v>1250</v>
      </c>
      <c r="J352" s="129">
        <f t="shared" si="24"/>
        <v>2000</v>
      </c>
      <c r="K352">
        <f>IF(J352&lt;=0, 1, 0)</f>
        <v>0</v>
      </c>
      <c r="L352" s="87"/>
      <c r="M352" s="87"/>
      <c r="N352" s="87"/>
      <c r="O352" s="87"/>
    </row>
    <row r="353" spans="1:15" ht="15.75">
      <c r="A353" s="87">
        <v>333</v>
      </c>
      <c r="B353" s="87" t="s">
        <v>277</v>
      </c>
      <c r="C353" s="87">
        <v>29</v>
      </c>
      <c r="D353" s="99">
        <v>9</v>
      </c>
      <c r="E353" s="128">
        <f t="shared" si="21"/>
        <v>12375</v>
      </c>
      <c r="F353" s="128">
        <f t="shared" si="22"/>
        <v>1856.25</v>
      </c>
      <c r="G353" s="128">
        <f t="shared" si="23"/>
        <v>1782</v>
      </c>
      <c r="H353" s="128">
        <f>'Ozone-Energy'!P343*10^6/86400 * 24</f>
        <v>1200</v>
      </c>
      <c r="I353" s="129">
        <f>IF( J352+G353-H353*(1/$E$11) &lt; 0, 0, H353*(1/$E$11))</f>
        <v>1250</v>
      </c>
      <c r="J353" s="129">
        <f t="shared" si="24"/>
        <v>2000</v>
      </c>
      <c r="K353">
        <f>IF(J353&lt;=0, 1, 0)</f>
        <v>0</v>
      </c>
      <c r="L353" s="87"/>
      <c r="M353" s="87"/>
      <c r="N353" s="87"/>
      <c r="O353" s="87"/>
    </row>
    <row r="354" spans="1:15" ht="15.75">
      <c r="A354" s="87">
        <v>334</v>
      </c>
      <c r="B354" s="87" t="s">
        <v>277</v>
      </c>
      <c r="C354" s="87">
        <v>30</v>
      </c>
      <c r="D354" s="99">
        <v>9</v>
      </c>
      <c r="E354" s="128">
        <f t="shared" si="21"/>
        <v>12375</v>
      </c>
      <c r="F354" s="128">
        <f t="shared" si="22"/>
        <v>1856.25</v>
      </c>
      <c r="G354" s="128">
        <f t="shared" si="23"/>
        <v>1782</v>
      </c>
      <c r="H354" s="128">
        <f>'Ozone-Energy'!P344*10^6/86400 * 24</f>
        <v>1200</v>
      </c>
      <c r="I354" s="129">
        <f>IF( J353+G354-H354*(1/$E$11) &lt; 0, 0, H354*(1/$E$11))</f>
        <v>1250</v>
      </c>
      <c r="J354" s="129">
        <f t="shared" si="24"/>
        <v>2000</v>
      </c>
      <c r="K354">
        <f>IF(J354&lt;=0, 1, 0)</f>
        <v>0</v>
      </c>
      <c r="L354" s="87"/>
      <c r="M354" s="87"/>
      <c r="N354" s="87"/>
      <c r="O354" s="87"/>
    </row>
    <row r="355" spans="1:15" ht="15.75">
      <c r="A355" s="87">
        <v>335</v>
      </c>
      <c r="B355" s="87" t="s">
        <v>278</v>
      </c>
      <c r="C355" s="87">
        <v>1</v>
      </c>
      <c r="D355" s="99">
        <v>8.25</v>
      </c>
      <c r="E355" s="128">
        <f t="shared" si="21"/>
        <v>11343.75</v>
      </c>
      <c r="F355" s="128">
        <f t="shared" si="22"/>
        <v>1701.5625</v>
      </c>
      <c r="G355" s="128">
        <f t="shared" si="23"/>
        <v>1633.5</v>
      </c>
      <c r="H355" s="128">
        <f>'Ozone-Energy'!P345*10^6/86400 * 24</f>
        <v>1200</v>
      </c>
      <c r="I355" s="129">
        <f>IF( J354+G355-H355*(1/$E$11) &lt; 0, 0, H355*(1/$E$11))</f>
        <v>1250</v>
      </c>
      <c r="J355" s="129">
        <f t="shared" si="24"/>
        <v>2000</v>
      </c>
      <c r="K355">
        <f>IF(J355&lt;=0, 1, 0)</f>
        <v>0</v>
      </c>
      <c r="L355" s="87"/>
      <c r="M355" s="87"/>
      <c r="N355" s="87"/>
      <c r="O355" s="87"/>
    </row>
    <row r="356" spans="1:15" ht="15.75">
      <c r="A356" s="87">
        <v>336</v>
      </c>
      <c r="B356" s="87" t="s">
        <v>278</v>
      </c>
      <c r="C356" s="87">
        <v>2</v>
      </c>
      <c r="D356" s="99">
        <v>8.25</v>
      </c>
      <c r="E356" s="128">
        <f t="shared" si="21"/>
        <v>11343.75</v>
      </c>
      <c r="F356" s="128">
        <f t="shared" si="22"/>
        <v>1701.5625</v>
      </c>
      <c r="G356" s="128">
        <f t="shared" si="23"/>
        <v>1633.5</v>
      </c>
      <c r="H356" s="128">
        <f>'Ozone-Energy'!P346*10^6/86400 * 24</f>
        <v>1200</v>
      </c>
      <c r="I356" s="129">
        <f>IF( J355+G356-H356*(1/$E$11) &lt; 0, 0, H356*(1/$E$11))</f>
        <v>1250</v>
      </c>
      <c r="J356" s="129">
        <f t="shared" si="24"/>
        <v>2000</v>
      </c>
      <c r="K356">
        <f>IF(J356&lt;=0, 1, 0)</f>
        <v>0</v>
      </c>
      <c r="L356" s="87"/>
      <c r="M356" s="87"/>
      <c r="N356" s="87"/>
      <c r="O356" s="87"/>
    </row>
    <row r="357" spans="1:15" ht="15.75">
      <c r="A357" s="87">
        <v>337</v>
      </c>
      <c r="B357" s="87" t="s">
        <v>278</v>
      </c>
      <c r="C357" s="87">
        <v>3</v>
      </c>
      <c r="D357" s="99">
        <v>8.25</v>
      </c>
      <c r="E357" s="128">
        <f t="shared" si="21"/>
        <v>11343.75</v>
      </c>
      <c r="F357" s="128">
        <f t="shared" si="22"/>
        <v>1701.5625</v>
      </c>
      <c r="G357" s="128">
        <f t="shared" si="23"/>
        <v>1633.5</v>
      </c>
      <c r="H357" s="128">
        <f>'Ozone-Energy'!P347*10^6/86400 * 24</f>
        <v>1200</v>
      </c>
      <c r="I357" s="129">
        <f>IF( J356+G357-H357*(1/$E$11) &lt; 0, 0, H357*(1/$E$11))</f>
        <v>1250</v>
      </c>
      <c r="J357" s="129">
        <f t="shared" si="24"/>
        <v>2000</v>
      </c>
      <c r="K357">
        <f>IF(J357&lt;=0, 1, 0)</f>
        <v>0</v>
      </c>
      <c r="L357" s="87"/>
      <c r="M357" s="87"/>
      <c r="N357" s="87"/>
      <c r="O357" s="87"/>
    </row>
    <row r="358" spans="1:15" ht="15.75">
      <c r="A358" s="87">
        <v>338</v>
      </c>
      <c r="B358" s="87" t="s">
        <v>278</v>
      </c>
      <c r="C358" s="87">
        <v>4</v>
      </c>
      <c r="D358" s="99">
        <v>8.25</v>
      </c>
      <c r="E358" s="128">
        <f t="shared" si="21"/>
        <v>11343.75</v>
      </c>
      <c r="F358" s="128">
        <f t="shared" si="22"/>
        <v>1701.5625</v>
      </c>
      <c r="G358" s="128">
        <f t="shared" si="23"/>
        <v>1633.5</v>
      </c>
      <c r="H358" s="128">
        <f>'Ozone-Energy'!P348*10^6/86400 * 24</f>
        <v>4932.4571428571417</v>
      </c>
      <c r="I358" s="129">
        <f>IF( J357+G358-H358*(1/$E$11) &lt; 0, 0, H358*(1/$E$11))</f>
        <v>0</v>
      </c>
      <c r="J358" s="129">
        <f t="shared" si="24"/>
        <v>2000</v>
      </c>
      <c r="K358">
        <f>IF(J358&lt;=0, 1, 0)</f>
        <v>0</v>
      </c>
      <c r="L358" s="87"/>
      <c r="M358" s="87"/>
      <c r="N358" s="87"/>
      <c r="O358" s="87"/>
    </row>
    <row r="359" spans="1:15" ht="15.75">
      <c r="A359" s="87">
        <v>339</v>
      </c>
      <c r="B359" s="87" t="s">
        <v>278</v>
      </c>
      <c r="C359" s="87">
        <v>5</v>
      </c>
      <c r="D359" s="99">
        <v>8.25</v>
      </c>
      <c r="E359" s="128">
        <f t="shared" si="21"/>
        <v>11343.75</v>
      </c>
      <c r="F359" s="128">
        <f t="shared" si="22"/>
        <v>1701.5625</v>
      </c>
      <c r="G359" s="128">
        <f t="shared" si="23"/>
        <v>1633.5</v>
      </c>
      <c r="H359" s="128">
        <f>'Ozone-Energy'!P349*10^6/86400 * 24</f>
        <v>142411.29523809522</v>
      </c>
      <c r="I359" s="129">
        <f>IF( J358+G359-H359*(1/$E$11) &lt; 0, 0, H359*(1/$E$11))</f>
        <v>0</v>
      </c>
      <c r="J359" s="129">
        <f t="shared" si="24"/>
        <v>2000</v>
      </c>
      <c r="K359">
        <f>IF(J359&lt;=0, 1, 0)</f>
        <v>0</v>
      </c>
      <c r="L359" s="87"/>
      <c r="M359" s="87"/>
      <c r="N359" s="87"/>
      <c r="O359" s="87"/>
    </row>
    <row r="360" spans="1:15" ht="15.75">
      <c r="A360" s="87">
        <v>340</v>
      </c>
      <c r="B360" s="87" t="s">
        <v>278</v>
      </c>
      <c r="C360" s="87">
        <v>6</v>
      </c>
      <c r="D360" s="99">
        <v>8.25</v>
      </c>
      <c r="E360" s="128">
        <f t="shared" si="21"/>
        <v>11343.75</v>
      </c>
      <c r="F360" s="128">
        <f t="shared" si="22"/>
        <v>1701.5625</v>
      </c>
      <c r="G360" s="128">
        <f t="shared" si="23"/>
        <v>1633.5</v>
      </c>
      <c r="H360" s="128">
        <f>'Ozone-Energy'!P350*10^6/86400 * 24</f>
        <v>3688.304761904762</v>
      </c>
      <c r="I360" s="129">
        <f>IF( J359+G360-H360*(1/$E$11) &lt; 0, 0, H360*(1/$E$11))</f>
        <v>0</v>
      </c>
      <c r="J360" s="129">
        <f t="shared" si="24"/>
        <v>2000</v>
      </c>
      <c r="K360">
        <f>IF(J360&lt;=0, 1, 0)</f>
        <v>0</v>
      </c>
      <c r="L360" s="87"/>
      <c r="M360" s="87"/>
      <c r="N360" s="87"/>
      <c r="O360" s="87"/>
    </row>
    <row r="361" spans="1:15" ht="15.75">
      <c r="A361" s="87">
        <v>341</v>
      </c>
      <c r="B361" s="87" t="s">
        <v>278</v>
      </c>
      <c r="C361" s="87">
        <v>7</v>
      </c>
      <c r="D361" s="99">
        <v>8.25</v>
      </c>
      <c r="E361" s="128">
        <f t="shared" si="21"/>
        <v>11343.75</v>
      </c>
      <c r="F361" s="128">
        <f t="shared" si="22"/>
        <v>1701.5625</v>
      </c>
      <c r="G361" s="128">
        <f t="shared" si="23"/>
        <v>1633.5</v>
      </c>
      <c r="H361" s="128">
        <f>'Ozone-Energy'!P351*10^6/86400 * 24</f>
        <v>48477.790476190465</v>
      </c>
      <c r="I361" s="129">
        <f>IF( J360+G361-H361*(1/$E$11) &lt; 0, 0, H361*(1/$E$11))</f>
        <v>0</v>
      </c>
      <c r="J361" s="129">
        <f t="shared" si="24"/>
        <v>2000</v>
      </c>
      <c r="K361">
        <f>IF(J361&lt;=0, 1, 0)</f>
        <v>0</v>
      </c>
      <c r="L361" s="87"/>
      <c r="M361" s="87"/>
      <c r="N361" s="87"/>
      <c r="O361" s="87"/>
    </row>
    <row r="362" spans="1:15" ht="15.75">
      <c r="A362" s="87">
        <v>342</v>
      </c>
      <c r="B362" s="87" t="s">
        <v>278</v>
      </c>
      <c r="C362" s="87">
        <v>8</v>
      </c>
      <c r="D362" s="99">
        <v>8.25</v>
      </c>
      <c r="E362" s="128">
        <f t="shared" si="21"/>
        <v>11343.75</v>
      </c>
      <c r="F362" s="128">
        <f t="shared" si="22"/>
        <v>1701.5625</v>
      </c>
      <c r="G362" s="128">
        <f t="shared" si="23"/>
        <v>1633.5</v>
      </c>
      <c r="H362" s="128">
        <f>'Ozone-Energy'!P352*10^6/86400 * 24</f>
        <v>152364.51428571431</v>
      </c>
      <c r="I362" s="129">
        <f>IF( J361+G362-H362*(1/$E$11) &lt; 0, 0, H362*(1/$E$11))</f>
        <v>0</v>
      </c>
      <c r="J362" s="129">
        <f t="shared" si="24"/>
        <v>2000</v>
      </c>
      <c r="K362">
        <f>IF(J362&lt;=0, 1, 0)</f>
        <v>0</v>
      </c>
      <c r="L362" s="87"/>
      <c r="M362" s="87"/>
      <c r="N362" s="87"/>
      <c r="O362" s="87"/>
    </row>
    <row r="363" spans="1:15" ht="15.75">
      <c r="A363" s="87">
        <v>343</v>
      </c>
      <c r="B363" s="87" t="s">
        <v>278</v>
      </c>
      <c r="C363" s="87">
        <v>9</v>
      </c>
      <c r="D363" s="99">
        <v>8.25</v>
      </c>
      <c r="E363" s="128">
        <f t="shared" si="21"/>
        <v>11343.75</v>
      </c>
      <c r="F363" s="128">
        <f t="shared" si="22"/>
        <v>1701.5625</v>
      </c>
      <c r="G363" s="128">
        <f t="shared" si="23"/>
        <v>1633.5</v>
      </c>
      <c r="H363" s="128">
        <f>'Ozone-Energy'!P353*10^6/86400 * 24</f>
        <v>107575.0285714286</v>
      </c>
      <c r="I363" s="129">
        <f>IF( J362+G363-H363*(1/$E$11) &lt; 0, 0, H363*(1/$E$11))</f>
        <v>0</v>
      </c>
      <c r="J363" s="129">
        <f t="shared" si="24"/>
        <v>2000</v>
      </c>
      <c r="K363">
        <f>IF(J363&lt;=0, 1, 0)</f>
        <v>0</v>
      </c>
      <c r="L363" s="87"/>
      <c r="M363" s="87"/>
      <c r="N363" s="87"/>
      <c r="O363" s="87"/>
    </row>
    <row r="364" spans="1:15" ht="15.75">
      <c r="A364" s="87">
        <v>344</v>
      </c>
      <c r="B364" s="87" t="s">
        <v>278</v>
      </c>
      <c r="C364" s="87">
        <v>10</v>
      </c>
      <c r="D364" s="99">
        <v>8.25</v>
      </c>
      <c r="E364" s="128">
        <f t="shared" si="21"/>
        <v>11343.75</v>
      </c>
      <c r="F364" s="128">
        <f t="shared" si="22"/>
        <v>1701.5625</v>
      </c>
      <c r="G364" s="128">
        <f t="shared" si="23"/>
        <v>1633.5</v>
      </c>
      <c r="H364" s="128">
        <f>'Ozone-Energy'!P354*10^6/86400 * 24</f>
        <v>14885.67619047619</v>
      </c>
      <c r="I364" s="129">
        <f>IF( J363+G364-H364*(1/$E$11) &lt; 0, 0, H364*(1/$E$11))</f>
        <v>0</v>
      </c>
      <c r="J364" s="129">
        <f t="shared" si="24"/>
        <v>2000</v>
      </c>
      <c r="K364">
        <f>IF(J364&lt;=0, 1, 0)</f>
        <v>0</v>
      </c>
      <c r="L364" s="87"/>
      <c r="M364" s="87"/>
      <c r="N364" s="87"/>
      <c r="O364" s="87"/>
    </row>
    <row r="365" spans="1:15" ht="15.75">
      <c r="A365" s="87">
        <v>345</v>
      </c>
      <c r="B365" s="87" t="s">
        <v>278</v>
      </c>
      <c r="C365" s="87">
        <v>11</v>
      </c>
      <c r="D365" s="99">
        <v>8.25</v>
      </c>
      <c r="E365" s="128">
        <f t="shared" si="21"/>
        <v>11343.75</v>
      </c>
      <c r="F365" s="128">
        <f t="shared" si="22"/>
        <v>1701.5625</v>
      </c>
      <c r="G365" s="128">
        <f t="shared" si="23"/>
        <v>1633.5</v>
      </c>
      <c r="H365" s="128">
        <f>'Ozone-Energy'!P355*10^6/86400 * 24</f>
        <v>56564.780952380956</v>
      </c>
      <c r="I365" s="129">
        <f>IF( J364+G365-H365*(1/$E$11) &lt; 0, 0, H365*(1/$E$11))</f>
        <v>0</v>
      </c>
      <c r="J365" s="129">
        <f t="shared" si="24"/>
        <v>2000</v>
      </c>
      <c r="K365">
        <f>IF(J365&lt;=0, 1, 0)</f>
        <v>0</v>
      </c>
      <c r="L365" s="87"/>
      <c r="M365" s="87"/>
      <c r="N365" s="87"/>
      <c r="O365" s="87"/>
    </row>
    <row r="366" spans="1:15" ht="15.75">
      <c r="A366" s="87">
        <v>346</v>
      </c>
      <c r="B366" s="87" t="s">
        <v>278</v>
      </c>
      <c r="C366" s="87">
        <v>12</v>
      </c>
      <c r="D366" s="99">
        <v>8.25</v>
      </c>
      <c r="E366" s="128">
        <f t="shared" si="21"/>
        <v>11343.75</v>
      </c>
      <c r="F366" s="128">
        <f t="shared" si="22"/>
        <v>1701.5625</v>
      </c>
      <c r="G366" s="128">
        <f t="shared" si="23"/>
        <v>1633.5</v>
      </c>
      <c r="H366" s="128">
        <f>'Ozone-Energy'!P356*10^6/86400 * 24</f>
        <v>5554.5333333333338</v>
      </c>
      <c r="I366" s="129">
        <f>IF( J365+G366-H366*(1/$E$11) &lt; 0, 0, H366*(1/$E$11))</f>
        <v>0</v>
      </c>
      <c r="J366" s="129">
        <f t="shared" si="24"/>
        <v>2000</v>
      </c>
      <c r="K366">
        <f>IF(J366&lt;=0, 1, 0)</f>
        <v>0</v>
      </c>
      <c r="L366" s="87"/>
      <c r="M366" s="87"/>
      <c r="N366" s="87"/>
      <c r="O366" s="87"/>
    </row>
    <row r="367" spans="1:15" ht="15.75">
      <c r="A367" s="87">
        <v>347</v>
      </c>
      <c r="B367" s="87" t="s">
        <v>278</v>
      </c>
      <c r="C367" s="87">
        <v>13</v>
      </c>
      <c r="D367" s="99">
        <v>8.25</v>
      </c>
      <c r="E367" s="128">
        <f t="shared" si="21"/>
        <v>11343.75</v>
      </c>
      <c r="F367" s="128">
        <f t="shared" si="22"/>
        <v>1701.5625</v>
      </c>
      <c r="G367" s="128">
        <f t="shared" si="23"/>
        <v>1633.5</v>
      </c>
      <c r="H367" s="128">
        <f>'Ozone-Energy'!P357*10^6/86400 * 24</f>
        <v>4310.3809523809523</v>
      </c>
      <c r="I367" s="129">
        <f>IF( J366+G367-H367*(1/$E$11) &lt; 0, 0, H367*(1/$E$11))</f>
        <v>0</v>
      </c>
      <c r="J367" s="129">
        <f t="shared" si="24"/>
        <v>2000</v>
      </c>
      <c r="K367">
        <f>IF(J367&lt;=0, 1, 0)</f>
        <v>0</v>
      </c>
      <c r="L367" s="87"/>
      <c r="M367" s="87"/>
      <c r="N367" s="87"/>
      <c r="O367" s="87"/>
    </row>
    <row r="368" spans="1:15" ht="15.75">
      <c r="A368" s="87">
        <v>348</v>
      </c>
      <c r="B368" s="87" t="s">
        <v>278</v>
      </c>
      <c r="C368" s="87">
        <v>14</v>
      </c>
      <c r="D368" s="99">
        <v>8.25</v>
      </c>
      <c r="E368" s="128">
        <f t="shared" si="21"/>
        <v>11343.75</v>
      </c>
      <c r="F368" s="128">
        <f t="shared" si="22"/>
        <v>1701.5625</v>
      </c>
      <c r="G368" s="128">
        <f t="shared" si="23"/>
        <v>1633.5</v>
      </c>
      <c r="H368" s="128">
        <f>'Ozone-Energy'!P358*10^6/86400 * 24</f>
        <v>1200</v>
      </c>
      <c r="I368" s="129">
        <f>IF( J367+G368-H368*(1/$E$11) &lt; 0, 0, H368*(1/$E$11))</f>
        <v>1250</v>
      </c>
      <c r="J368" s="129">
        <f t="shared" si="24"/>
        <v>2000</v>
      </c>
      <c r="K368">
        <f>IF(J368&lt;=0, 1, 0)</f>
        <v>0</v>
      </c>
      <c r="L368" s="87"/>
      <c r="M368" s="87"/>
      <c r="N368" s="87"/>
      <c r="O368" s="87"/>
    </row>
    <row r="369" spans="1:15" ht="15.75">
      <c r="A369" s="87">
        <v>349</v>
      </c>
      <c r="B369" s="87" t="s">
        <v>278</v>
      </c>
      <c r="C369" s="87">
        <v>15</v>
      </c>
      <c r="D369" s="99">
        <v>8.25</v>
      </c>
      <c r="E369" s="128">
        <f t="shared" si="21"/>
        <v>11343.75</v>
      </c>
      <c r="F369" s="128">
        <f t="shared" si="22"/>
        <v>1701.5625</v>
      </c>
      <c r="G369" s="128">
        <f t="shared" si="23"/>
        <v>1633.5</v>
      </c>
      <c r="H369" s="128">
        <f>'Ozone-Energy'!P359*10^6/86400 * 24</f>
        <v>29193.428571428558</v>
      </c>
      <c r="I369" s="129">
        <f>IF( J368+G369-H369*(1/$E$11) &lt; 0, 0, H369*(1/$E$11))</f>
        <v>0</v>
      </c>
      <c r="J369" s="129">
        <f t="shared" si="24"/>
        <v>2000</v>
      </c>
      <c r="K369">
        <f>IF(J369&lt;=0, 1, 0)</f>
        <v>0</v>
      </c>
      <c r="L369" s="87"/>
      <c r="M369" s="87"/>
      <c r="N369" s="87"/>
      <c r="O369" s="87"/>
    </row>
    <row r="370" spans="1:15" ht="15.75">
      <c r="A370" s="87">
        <v>350</v>
      </c>
      <c r="B370" s="87" t="s">
        <v>278</v>
      </c>
      <c r="C370" s="87">
        <v>16</v>
      </c>
      <c r="D370" s="99">
        <v>8.25</v>
      </c>
      <c r="E370" s="128">
        <f t="shared" si="21"/>
        <v>11343.75</v>
      </c>
      <c r="F370" s="128">
        <f t="shared" si="22"/>
        <v>1701.5625</v>
      </c>
      <c r="G370" s="128">
        <f t="shared" si="23"/>
        <v>1633.5</v>
      </c>
      <c r="H370" s="128">
        <f>'Ozone-Energy'!P360*10^6/86400 * 24</f>
        <v>64029.695238095228</v>
      </c>
      <c r="I370" s="129">
        <f>IF( J369+G370-H370*(1/$E$11) &lt; 0, 0, H370*(1/$E$11))</f>
        <v>0</v>
      </c>
      <c r="J370" s="129">
        <f t="shared" si="24"/>
        <v>2000</v>
      </c>
      <c r="K370">
        <f>IF(J370&lt;=0, 1, 0)</f>
        <v>0</v>
      </c>
      <c r="L370" s="87"/>
      <c r="M370" s="87"/>
      <c r="N370" s="87"/>
      <c r="O370" s="87"/>
    </row>
    <row r="371" spans="1:15" ht="15.75">
      <c r="A371" s="87">
        <v>351</v>
      </c>
      <c r="B371" s="87" t="s">
        <v>278</v>
      </c>
      <c r="C371" s="87">
        <v>17</v>
      </c>
      <c r="D371" s="99">
        <v>8.25</v>
      </c>
      <c r="E371" s="128">
        <f t="shared" si="21"/>
        <v>11343.75</v>
      </c>
      <c r="F371" s="128">
        <f t="shared" si="22"/>
        <v>1701.5625</v>
      </c>
      <c r="G371" s="128">
        <f t="shared" si="23"/>
        <v>1633.5</v>
      </c>
      <c r="H371" s="128">
        <f>'Ozone-Energy'!P361*10^6/86400 * 24</f>
        <v>3688.304761904762</v>
      </c>
      <c r="I371" s="129">
        <f>IF( J370+G371-H371*(1/$E$11) &lt; 0, 0, H371*(1/$E$11))</f>
        <v>0</v>
      </c>
      <c r="J371" s="129">
        <f t="shared" si="24"/>
        <v>2000</v>
      </c>
      <c r="K371">
        <f>IF(J371&lt;=0, 1, 0)</f>
        <v>0</v>
      </c>
      <c r="L371" s="87"/>
      <c r="M371" s="87"/>
      <c r="N371" s="87"/>
      <c r="O371" s="87"/>
    </row>
    <row r="372" spans="1:15" ht="15.75">
      <c r="A372" s="87">
        <v>352</v>
      </c>
      <c r="B372" s="87" t="s">
        <v>278</v>
      </c>
      <c r="C372" s="87">
        <v>18</v>
      </c>
      <c r="D372" s="99">
        <v>8.25</v>
      </c>
      <c r="E372" s="128">
        <f t="shared" si="21"/>
        <v>11343.75</v>
      </c>
      <c r="F372" s="128">
        <f t="shared" si="22"/>
        <v>1701.5625</v>
      </c>
      <c r="G372" s="128">
        <f t="shared" si="23"/>
        <v>1633.5</v>
      </c>
      <c r="H372" s="128">
        <f>'Ozone-Energy'!P362*10^6/86400 * 24</f>
        <v>77715.371428571423</v>
      </c>
      <c r="I372" s="129">
        <f>IF( J371+G372-H372*(1/$E$11) &lt; 0, 0, H372*(1/$E$11))</f>
        <v>0</v>
      </c>
      <c r="J372" s="129">
        <f t="shared" si="24"/>
        <v>2000</v>
      </c>
      <c r="K372">
        <f>IF(J372&lt;=0, 1, 0)</f>
        <v>0</v>
      </c>
      <c r="L372" s="87"/>
      <c r="M372" s="87"/>
      <c r="N372" s="87"/>
      <c r="O372" s="87"/>
    </row>
    <row r="373" spans="1:15" ht="15.75">
      <c r="A373" s="87">
        <v>353</v>
      </c>
      <c r="B373" s="87" t="s">
        <v>278</v>
      </c>
      <c r="C373" s="87">
        <v>19</v>
      </c>
      <c r="D373" s="99">
        <v>8.25</v>
      </c>
      <c r="E373" s="128">
        <f t="shared" si="21"/>
        <v>11343.75</v>
      </c>
      <c r="F373" s="128">
        <f t="shared" si="22"/>
        <v>1701.5625</v>
      </c>
      <c r="G373" s="128">
        <f t="shared" si="23"/>
        <v>1633.5</v>
      </c>
      <c r="H373" s="128">
        <f>'Ozone-Energy'!P363*10^6/86400 * 24</f>
        <v>1200</v>
      </c>
      <c r="I373" s="129">
        <f>IF( J372+G373-H373*(1/$E$11) &lt; 0, 0, H373*(1/$E$11))</f>
        <v>1250</v>
      </c>
      <c r="J373" s="129">
        <f t="shared" si="24"/>
        <v>2000</v>
      </c>
      <c r="K373">
        <f>IF(J373&lt;=0, 1, 0)</f>
        <v>0</v>
      </c>
      <c r="L373" s="87"/>
      <c r="M373" s="87"/>
      <c r="N373" s="87"/>
      <c r="O373" s="87"/>
    </row>
    <row r="374" spans="1:15" ht="15.75">
      <c r="A374" s="87">
        <v>354</v>
      </c>
      <c r="B374" s="87" t="s">
        <v>278</v>
      </c>
      <c r="C374" s="87">
        <v>20</v>
      </c>
      <c r="D374" s="99">
        <v>8.25</v>
      </c>
      <c r="E374" s="128">
        <f t="shared" si="21"/>
        <v>11343.75</v>
      </c>
      <c r="F374" s="128">
        <f t="shared" si="22"/>
        <v>1701.5625</v>
      </c>
      <c r="G374" s="128">
        <f t="shared" si="23"/>
        <v>1633.5</v>
      </c>
      <c r="H374" s="128">
        <f>'Ozone-Energy'!P364*10^6/86400 * 24</f>
        <v>1200</v>
      </c>
      <c r="I374" s="129">
        <f>IF( J373+G374-H374*(1/$E$11) &lt; 0, 0, H374*(1/$E$11))</f>
        <v>1250</v>
      </c>
      <c r="J374" s="129">
        <f t="shared" si="24"/>
        <v>2000</v>
      </c>
      <c r="K374">
        <f>IF(J374&lt;=0, 1, 0)</f>
        <v>0</v>
      </c>
      <c r="L374" s="87"/>
      <c r="M374" s="87"/>
      <c r="N374" s="87"/>
      <c r="O374" s="87"/>
    </row>
    <row r="375" spans="1:15" ht="15.75">
      <c r="A375" s="87">
        <v>355</v>
      </c>
      <c r="B375" s="87" t="s">
        <v>278</v>
      </c>
      <c r="C375" s="87">
        <v>21</v>
      </c>
      <c r="D375" s="99">
        <v>8.25</v>
      </c>
      <c r="E375" s="128">
        <f t="shared" si="21"/>
        <v>11343.75</v>
      </c>
      <c r="F375" s="128">
        <f t="shared" si="22"/>
        <v>1701.5625</v>
      </c>
      <c r="G375" s="128">
        <f t="shared" si="23"/>
        <v>1633.5</v>
      </c>
      <c r="H375" s="128">
        <f>'Ozone-Energy'!P365*10^6/86400 * 24</f>
        <v>28571.352380952383</v>
      </c>
      <c r="I375" s="129">
        <f>IF( J374+G375-H375*(1/$E$11) &lt; 0, 0, H375*(1/$E$11))</f>
        <v>0</v>
      </c>
      <c r="J375" s="129">
        <f t="shared" si="24"/>
        <v>2000</v>
      </c>
      <c r="K375">
        <f>IF(J375&lt;=0, 1, 0)</f>
        <v>0</v>
      </c>
      <c r="L375" s="87"/>
      <c r="M375" s="87"/>
      <c r="N375" s="87"/>
      <c r="O375" s="87"/>
    </row>
    <row r="376" spans="1:15" ht="15.75">
      <c r="A376" s="87">
        <v>356</v>
      </c>
      <c r="B376" s="87" t="s">
        <v>278</v>
      </c>
      <c r="C376" s="87">
        <v>22</v>
      </c>
      <c r="D376" s="99">
        <v>8.25</v>
      </c>
      <c r="E376" s="128">
        <f t="shared" si="21"/>
        <v>11343.75</v>
      </c>
      <c r="F376" s="128">
        <f t="shared" si="22"/>
        <v>1701.5625</v>
      </c>
      <c r="G376" s="128">
        <f t="shared" si="23"/>
        <v>1633.5</v>
      </c>
      <c r="H376" s="128">
        <f>'Ozone-Energy'!P366*10^6/86400 * 24</f>
        <v>37280.419047619042</v>
      </c>
      <c r="I376" s="129">
        <f>IF( J375+G376-H376*(1/$E$11) &lt; 0, 0, H376*(1/$E$11))</f>
        <v>0</v>
      </c>
      <c r="J376" s="129">
        <f t="shared" si="24"/>
        <v>2000</v>
      </c>
      <c r="K376">
        <f>IF(J376&lt;=0, 1, 0)</f>
        <v>0</v>
      </c>
      <c r="L376" s="87"/>
      <c r="M376" s="87"/>
      <c r="N376" s="87"/>
      <c r="O376" s="87"/>
    </row>
    <row r="377" spans="1:15" ht="15.75">
      <c r="A377" s="87">
        <v>357</v>
      </c>
      <c r="B377" s="87" t="s">
        <v>278</v>
      </c>
      <c r="C377" s="87">
        <v>23</v>
      </c>
      <c r="D377" s="99">
        <v>8.25</v>
      </c>
      <c r="E377" s="128">
        <f t="shared" si="21"/>
        <v>11343.75</v>
      </c>
      <c r="F377" s="128">
        <f t="shared" si="22"/>
        <v>1701.5625</v>
      </c>
      <c r="G377" s="128">
        <f t="shared" si="23"/>
        <v>1633.5</v>
      </c>
      <c r="H377" s="128">
        <f>'Ozone-Energy'!P367*10^6/86400 * 24</f>
        <v>32303.809523809519</v>
      </c>
      <c r="I377" s="129">
        <f>IF( J376+G377-H377*(1/$E$11) &lt; 0, 0, H377*(1/$E$11))</f>
        <v>0</v>
      </c>
      <c r="J377" s="129">
        <f t="shared" si="24"/>
        <v>2000</v>
      </c>
      <c r="K377">
        <f>IF(J377&lt;=0, 1, 0)</f>
        <v>0</v>
      </c>
      <c r="L377" s="87"/>
      <c r="M377" s="87"/>
      <c r="N377" s="87"/>
      <c r="O377" s="87"/>
    </row>
    <row r="378" spans="1:15" ht="15.75">
      <c r="A378" s="87">
        <v>358</v>
      </c>
      <c r="B378" s="87" t="s">
        <v>278</v>
      </c>
      <c r="C378" s="87">
        <v>24</v>
      </c>
      <c r="D378" s="99">
        <v>8.25</v>
      </c>
      <c r="E378" s="128">
        <f t="shared" si="21"/>
        <v>11343.75</v>
      </c>
      <c r="F378" s="128">
        <f t="shared" si="22"/>
        <v>1701.5625</v>
      </c>
      <c r="G378" s="128">
        <f t="shared" si="23"/>
        <v>1633.5</v>
      </c>
      <c r="H378" s="128">
        <f>'Ozone-Energy'!P368*10^6/86400 * 24</f>
        <v>8042.8380952380949</v>
      </c>
      <c r="I378" s="129">
        <f>IF( J377+G378-H378*(1/$E$11) &lt; 0, 0, H378*(1/$E$11))</f>
        <v>0</v>
      </c>
      <c r="J378" s="129">
        <f t="shared" si="24"/>
        <v>2000</v>
      </c>
      <c r="K378">
        <f>IF(J378&lt;=0, 1, 0)</f>
        <v>0</v>
      </c>
      <c r="L378" s="87"/>
      <c r="M378" s="87"/>
      <c r="N378" s="87"/>
      <c r="O378" s="87"/>
    </row>
    <row r="379" spans="1:15" ht="15.75">
      <c r="A379" s="87">
        <v>359</v>
      </c>
      <c r="B379" s="87" t="s">
        <v>278</v>
      </c>
      <c r="C379" s="87">
        <v>25</v>
      </c>
      <c r="D379" s="99">
        <v>8.25</v>
      </c>
      <c r="E379" s="128">
        <f t="shared" si="21"/>
        <v>11343.75</v>
      </c>
      <c r="F379" s="128">
        <f t="shared" si="22"/>
        <v>1701.5625</v>
      </c>
      <c r="G379" s="128">
        <f t="shared" si="23"/>
        <v>1633.5</v>
      </c>
      <c r="H379" s="128">
        <f>'Ozone-Energy'!P369*10^6/86400 * 24</f>
        <v>3066.2285714285708</v>
      </c>
      <c r="I379" s="129">
        <f>IF( J378+G379-H379*(1/$E$11) &lt; 0, 0, H379*(1/$E$11))</f>
        <v>3193.988095238095</v>
      </c>
      <c r="J379" s="129">
        <f t="shared" si="24"/>
        <v>2000</v>
      </c>
      <c r="K379">
        <f>IF(J379&lt;=0, 1, 0)</f>
        <v>0</v>
      </c>
      <c r="L379" s="87"/>
      <c r="M379" s="87"/>
      <c r="N379" s="87"/>
      <c r="O379" s="87"/>
    </row>
    <row r="380" spans="1:15" ht="15.75">
      <c r="A380" s="87">
        <v>360</v>
      </c>
      <c r="B380" s="87" t="s">
        <v>278</v>
      </c>
      <c r="C380" s="87">
        <v>26</v>
      </c>
      <c r="D380" s="99">
        <v>8.25</v>
      </c>
      <c r="E380" s="128">
        <f t="shared" si="21"/>
        <v>11343.75</v>
      </c>
      <c r="F380" s="128">
        <f t="shared" si="22"/>
        <v>1701.5625</v>
      </c>
      <c r="G380" s="128">
        <f t="shared" si="23"/>
        <v>1633.5</v>
      </c>
      <c r="H380" s="128">
        <f>'Ozone-Energy'!P370*10^6/86400 * 24</f>
        <v>32925.885714285709</v>
      </c>
      <c r="I380" s="129">
        <f>IF( J379+G380-H380*(1/$E$11) &lt; 0, 0, H380*(1/$E$11))</f>
        <v>0</v>
      </c>
      <c r="J380" s="129">
        <f t="shared" si="24"/>
        <v>439.51190476190504</v>
      </c>
      <c r="K380">
        <f>IF(J380&lt;=0, 1, 0)</f>
        <v>0</v>
      </c>
      <c r="L380" s="87"/>
      <c r="M380" s="87"/>
      <c r="N380" s="87"/>
      <c r="O380" s="87"/>
    </row>
    <row r="381" spans="1:15" ht="15.75">
      <c r="A381" s="87">
        <v>361</v>
      </c>
      <c r="B381" s="87" t="s">
        <v>278</v>
      </c>
      <c r="C381" s="87">
        <v>27</v>
      </c>
      <c r="D381" s="99">
        <v>8.25</v>
      </c>
      <c r="E381" s="128">
        <f t="shared" si="21"/>
        <v>11343.75</v>
      </c>
      <c r="F381" s="128">
        <f t="shared" si="22"/>
        <v>1701.5625</v>
      </c>
      <c r="G381" s="128">
        <f t="shared" si="23"/>
        <v>1633.5</v>
      </c>
      <c r="H381" s="128">
        <f>'Ozone-Energy'!P371*10^6/86400 * 24</f>
        <v>17996.057142857142</v>
      </c>
      <c r="I381" s="129">
        <f>IF( J380+G381-H381*(1/$E$11) &lt; 0, 0, H381*(1/$E$11))</f>
        <v>0</v>
      </c>
      <c r="J381" s="129">
        <f t="shared" si="24"/>
        <v>2000</v>
      </c>
      <c r="K381">
        <f>IF(J381&lt;=0, 1, 0)</f>
        <v>0</v>
      </c>
      <c r="L381" s="87"/>
      <c r="M381" s="87"/>
      <c r="N381" s="87"/>
      <c r="O381" s="87"/>
    </row>
    <row r="382" spans="1:15" ht="15.75">
      <c r="A382" s="87">
        <v>362</v>
      </c>
      <c r="B382" s="87" t="s">
        <v>278</v>
      </c>
      <c r="C382" s="87">
        <v>28</v>
      </c>
      <c r="D382" s="99">
        <v>8.25</v>
      </c>
      <c r="E382" s="128">
        <f t="shared" si="21"/>
        <v>11343.75</v>
      </c>
      <c r="F382" s="128">
        <f t="shared" si="22"/>
        <v>1701.5625</v>
      </c>
      <c r="G382" s="128">
        <f t="shared" si="23"/>
        <v>1633.5</v>
      </c>
      <c r="H382" s="128">
        <f>'Ozone-Energy'!P372*10^6/86400 * 24</f>
        <v>1200</v>
      </c>
      <c r="I382" s="129">
        <f>IF( J381+G382-H382*(1/$E$11) &lt; 0, 0, H382*(1/$E$11))</f>
        <v>1250</v>
      </c>
      <c r="J382" s="129">
        <f t="shared" si="24"/>
        <v>2000</v>
      </c>
      <c r="K382">
        <f>IF(J382&lt;=0, 1, 0)</f>
        <v>0</v>
      </c>
      <c r="L382" s="87"/>
      <c r="M382" s="87"/>
      <c r="N382" s="87"/>
      <c r="O382" s="87"/>
    </row>
    <row r="383" spans="1:15" ht="15.75">
      <c r="A383" s="87">
        <v>363</v>
      </c>
      <c r="B383" s="87" t="s">
        <v>278</v>
      </c>
      <c r="C383" s="87">
        <v>29</v>
      </c>
      <c r="D383" s="99">
        <v>8.25</v>
      </c>
      <c r="E383" s="128">
        <f t="shared" si="21"/>
        <v>11343.75</v>
      </c>
      <c r="F383" s="128">
        <f t="shared" si="22"/>
        <v>1701.5625</v>
      </c>
      <c r="G383" s="128">
        <f t="shared" si="23"/>
        <v>1633.5</v>
      </c>
      <c r="H383" s="128">
        <f>'Ozone-Energy'!P373*10^6/86400 * 24</f>
        <v>1200</v>
      </c>
      <c r="I383" s="129">
        <f>IF( J382+G383-H383*(1/$E$11) &lt; 0, 0, H383*(1/$E$11))</f>
        <v>1250</v>
      </c>
      <c r="J383" s="129">
        <f t="shared" si="24"/>
        <v>2000</v>
      </c>
      <c r="K383">
        <f>IF(J383&lt;=0, 1, 0)</f>
        <v>0</v>
      </c>
      <c r="L383" s="87"/>
      <c r="M383" s="87"/>
      <c r="N383" s="87"/>
      <c r="O383" s="87"/>
    </row>
    <row r="384" spans="1:15" ht="15.75">
      <c r="A384" s="87">
        <v>364</v>
      </c>
      <c r="B384" s="87" t="s">
        <v>278</v>
      </c>
      <c r="C384" s="87">
        <v>30</v>
      </c>
      <c r="D384" s="99">
        <v>8.25</v>
      </c>
      <c r="E384" s="128">
        <f t="shared" si="21"/>
        <v>11343.75</v>
      </c>
      <c r="F384" s="128">
        <f t="shared" si="22"/>
        <v>1701.5625</v>
      </c>
      <c r="G384" s="128">
        <f t="shared" si="23"/>
        <v>1633.5</v>
      </c>
      <c r="H384" s="128">
        <f>'Ozone-Energy'!P374*10^6/86400 * 24</f>
        <v>1200</v>
      </c>
      <c r="I384" s="129">
        <f>IF( J383+G384-H384*(1/$E$11) &lt; 0, 0, H384*(1/$E$11))</f>
        <v>1250</v>
      </c>
      <c r="J384" s="129">
        <f t="shared" si="24"/>
        <v>2000</v>
      </c>
      <c r="K384">
        <f>IF(J384&lt;=0, 1, 0)</f>
        <v>0</v>
      </c>
      <c r="L384" s="87"/>
      <c r="M384" s="87"/>
      <c r="N384" s="87"/>
      <c r="O384" s="87"/>
    </row>
    <row r="385" spans="1:15" ht="15.75">
      <c r="A385" s="87">
        <v>365</v>
      </c>
      <c r="B385" s="87" t="s">
        <v>278</v>
      </c>
      <c r="C385" s="87">
        <v>31</v>
      </c>
      <c r="D385" s="99">
        <v>8.25</v>
      </c>
      <c r="E385" s="128">
        <f t="shared" si="21"/>
        <v>11343.75</v>
      </c>
      <c r="F385" s="128">
        <f t="shared" si="22"/>
        <v>1701.5625</v>
      </c>
      <c r="G385" s="128">
        <f t="shared" si="23"/>
        <v>1633.5</v>
      </c>
      <c r="H385" s="128">
        <f>'Ozone-Energy'!P375*10^6/86400 * 24</f>
        <v>1200</v>
      </c>
      <c r="I385" s="129">
        <f>IF( J384+G385-H385*(1/$E$11) &lt; 0, 0, H385*(1/$E$11))</f>
        <v>1250</v>
      </c>
      <c r="J385" s="129">
        <f t="shared" si="24"/>
        <v>2000</v>
      </c>
      <c r="K385">
        <f>IF(J385&lt;=0, 1, 0)</f>
        <v>0</v>
      </c>
      <c r="L385" s="87"/>
      <c r="M385" s="87"/>
      <c r="N385" s="87"/>
      <c r="O385" s="87"/>
    </row>
    <row r="386" spans="1:15" ht="15.75">
      <c r="E386" s="128">
        <f t="shared" si="21"/>
        <v>0</v>
      </c>
      <c r="F386" s="128">
        <f t="shared" si="22"/>
        <v>0</v>
      </c>
      <c r="G386" s="128">
        <f t="shared" si="23"/>
        <v>0</v>
      </c>
      <c r="H386" s="128">
        <f>'Ozone-Energy'!P376*10^6/86400 * 24</f>
        <v>0</v>
      </c>
      <c r="I386" s="129">
        <f>IF( J385+G386-H386*(1/$E$11) &lt; 0, 0, H386*(1/$E$11))</f>
        <v>0</v>
      </c>
      <c r="J386" s="129">
        <f t="shared" si="24"/>
        <v>2000</v>
      </c>
      <c r="K386">
        <f>IF(J386&lt;=0, 1, 0)</f>
        <v>0</v>
      </c>
      <c r="L386" s="87"/>
      <c r="M386" s="87"/>
      <c r="N386" s="87"/>
      <c r="O386" s="87"/>
    </row>
    <row r="387" spans="1:15">
      <c r="K387" s="87"/>
      <c r="L387" s="87"/>
      <c r="M387" s="87"/>
      <c r="N387" s="87"/>
      <c r="O387" s="87"/>
    </row>
    <row r="388" spans="1:15">
      <c r="K388" s="87"/>
      <c r="L388" s="87"/>
      <c r="M388" s="87"/>
      <c r="N388" s="87"/>
      <c r="O388" s="87"/>
    </row>
    <row r="389" spans="1:15">
      <c r="K389" s="87"/>
      <c r="L389" s="87"/>
      <c r="M389" s="87"/>
      <c r="N389" s="87"/>
      <c r="O389" s="87"/>
    </row>
    <row r="390" spans="1:15">
      <c r="K390" s="87"/>
      <c r="L390" s="87"/>
      <c r="M390" s="87"/>
      <c r="N390" s="87"/>
      <c r="O390" s="87"/>
    </row>
    <row r="391" spans="1:15">
      <c r="K391" s="87"/>
      <c r="L391" s="87"/>
      <c r="M391" s="87"/>
      <c r="N391" s="87"/>
      <c r="O391" s="87"/>
    </row>
    <row r="392" spans="1:15">
      <c r="K392" s="87"/>
      <c r="L392" s="87"/>
      <c r="M392" s="87"/>
      <c r="N392" s="87"/>
      <c r="O392" s="87"/>
    </row>
    <row r="393" spans="1:15">
      <c r="K393" s="87"/>
      <c r="L393" s="87"/>
      <c r="M393" s="87"/>
      <c r="N393" s="87"/>
      <c r="O393" s="87"/>
    </row>
    <row r="394" spans="1:15">
      <c r="K394" s="87"/>
      <c r="L394" s="87"/>
      <c r="M394" s="87"/>
      <c r="N394" s="87"/>
      <c r="O394" s="87"/>
    </row>
    <row r="395" spans="1:15">
      <c r="K395" s="87"/>
      <c r="L395" s="87"/>
      <c r="M395" s="87"/>
      <c r="N395" s="87"/>
      <c r="O395" s="87"/>
    </row>
    <row r="396" spans="1:15">
      <c r="K396" s="87"/>
      <c r="L396" s="87"/>
      <c r="M396" s="87"/>
      <c r="N396" s="87"/>
      <c r="O396" s="87"/>
    </row>
    <row r="397" spans="1:15">
      <c r="K397" s="87"/>
      <c r="L397" s="87"/>
      <c r="M397" s="87"/>
      <c r="N397" s="87"/>
      <c r="O397" s="87"/>
    </row>
    <row r="398" spans="1:15">
      <c r="K398" s="87"/>
      <c r="L398" s="87"/>
      <c r="M398" s="87"/>
      <c r="N398" s="87"/>
      <c r="O398" s="87"/>
    </row>
    <row r="399" spans="1:15">
      <c r="K399" s="87"/>
      <c r="L399" s="87"/>
      <c r="M399" s="87"/>
      <c r="N399" s="87"/>
      <c r="O399" s="87"/>
    </row>
    <row r="400" spans="1:15">
      <c r="K400" s="87"/>
      <c r="L400" s="87"/>
      <c r="M400" s="87"/>
      <c r="N400" s="87"/>
      <c r="O400" s="87"/>
    </row>
    <row r="401" spans="11:15">
      <c r="K401" s="87"/>
      <c r="L401" s="87"/>
      <c r="M401" s="87"/>
      <c r="N401" s="87"/>
      <c r="O401" s="87"/>
    </row>
    <row r="402" spans="11:15">
      <c r="K402" s="87"/>
      <c r="L402" s="87"/>
      <c r="M402" s="87"/>
      <c r="N402" s="87"/>
      <c r="O402" s="87"/>
    </row>
    <row r="403" spans="11:15">
      <c r="K403" s="87"/>
      <c r="L403" s="87"/>
      <c r="M403" s="87"/>
      <c r="N403" s="87"/>
      <c r="O403" s="87"/>
    </row>
    <row r="404" spans="11:15">
      <c r="K404" s="87"/>
      <c r="L404" s="87"/>
      <c r="M404" s="87"/>
      <c r="N404" s="87"/>
      <c r="O404" s="87"/>
    </row>
    <row r="405" spans="11:15">
      <c r="K405" s="87"/>
      <c r="L405" s="87"/>
      <c r="M405" s="87"/>
      <c r="N405" s="87"/>
      <c r="O405" s="87"/>
    </row>
    <row r="406" spans="11:15">
      <c r="K406" s="87"/>
      <c r="L406" s="87"/>
      <c r="M406" s="87"/>
      <c r="N406" s="87"/>
      <c r="O406" s="87"/>
    </row>
    <row r="407" spans="11:15">
      <c r="K407" s="87"/>
      <c r="L407" s="87"/>
      <c r="M407" s="87"/>
      <c r="N407" s="87"/>
      <c r="O407" s="87"/>
    </row>
    <row r="408" spans="11:15">
      <c r="K408" s="87"/>
      <c r="L408" s="87"/>
      <c r="M408" s="87"/>
      <c r="N408" s="87"/>
      <c r="O408" s="87"/>
    </row>
    <row r="409" spans="11:15">
      <c r="K409" s="87"/>
      <c r="L409" s="87"/>
      <c r="M409" s="87"/>
      <c r="N409" s="87"/>
      <c r="O409" s="87"/>
    </row>
    <row r="410" spans="11:15">
      <c r="K410" s="87"/>
      <c r="L410" s="87"/>
      <c r="M410" s="87"/>
      <c r="N410" s="87"/>
      <c r="O410" s="87"/>
    </row>
    <row r="411" spans="11:15">
      <c r="K411" s="87"/>
      <c r="L411" s="87"/>
      <c r="M411" s="87"/>
      <c r="N411" s="87"/>
      <c r="O411" s="87"/>
    </row>
    <row r="412" spans="11:15">
      <c r="K412" s="87"/>
      <c r="L412" s="87"/>
      <c r="M412" s="87"/>
      <c r="N412" s="87"/>
      <c r="O412" s="87"/>
    </row>
    <row r="413" spans="11:15">
      <c r="K413" s="87"/>
      <c r="L413" s="87"/>
      <c r="M413" s="87"/>
      <c r="N413" s="87"/>
      <c r="O413" s="87"/>
    </row>
    <row r="414" spans="11:15">
      <c r="K414" s="87"/>
      <c r="L414" s="87"/>
      <c r="M414" s="87"/>
      <c r="N414" s="87"/>
      <c r="O414" s="87"/>
    </row>
    <row r="415" spans="11:15">
      <c r="K415" s="87"/>
      <c r="L415" s="87"/>
      <c r="M415" s="87"/>
      <c r="N415" s="87"/>
      <c r="O415" s="87"/>
    </row>
    <row r="416" spans="11:15">
      <c r="K416" s="87"/>
      <c r="L416" s="87"/>
      <c r="M416" s="87"/>
      <c r="N416" s="87"/>
      <c r="O416" s="87"/>
    </row>
    <row r="417" spans="11:15">
      <c r="K417" s="87"/>
      <c r="L417" s="87"/>
      <c r="M417" s="87"/>
      <c r="N417" s="87"/>
      <c r="O417" s="87"/>
    </row>
    <row r="418" spans="11:15">
      <c r="K418" s="87"/>
      <c r="L418" s="87"/>
      <c r="M418" s="87"/>
      <c r="N418" s="87"/>
      <c r="O418" s="87"/>
    </row>
    <row r="419" spans="11:15">
      <c r="K419" s="87"/>
      <c r="L419" s="87"/>
      <c r="M419" s="87"/>
      <c r="N419" s="87"/>
      <c r="O419" s="87"/>
    </row>
    <row r="420" spans="11:15">
      <c r="K420" s="87"/>
      <c r="L420" s="87"/>
      <c r="M420" s="87"/>
      <c r="N420" s="87"/>
      <c r="O420" s="87"/>
    </row>
    <row r="421" spans="11:15">
      <c r="K421" s="87"/>
      <c r="L421" s="87"/>
      <c r="M421" s="87"/>
      <c r="N421" s="87"/>
      <c r="O421" s="87"/>
    </row>
    <row r="422" spans="11:15">
      <c r="K422" s="87"/>
      <c r="L422" s="87"/>
      <c r="M422" s="87"/>
      <c r="N422" s="87"/>
      <c r="O422" s="87"/>
    </row>
    <row r="423" spans="11:15">
      <c r="K423" s="87"/>
      <c r="L423" s="87"/>
      <c r="M423" s="87"/>
      <c r="N423" s="87"/>
      <c r="O423" s="87"/>
    </row>
    <row r="424" spans="11:15">
      <c r="K424" s="87"/>
      <c r="L424" s="87"/>
      <c r="M424" s="87"/>
      <c r="N424" s="87"/>
      <c r="O424" s="87"/>
    </row>
    <row r="425" spans="11:15">
      <c r="K425" s="87"/>
      <c r="L425" s="87"/>
      <c r="M425" s="87"/>
      <c r="N425" s="87"/>
      <c r="O425" s="87"/>
    </row>
    <row r="426" spans="11:15">
      <c r="K426" s="87"/>
      <c r="L426" s="87"/>
      <c r="M426" s="87"/>
      <c r="N426" s="87"/>
      <c r="O426" s="87"/>
    </row>
    <row r="427" spans="11:15">
      <c r="K427" s="87"/>
      <c r="L427" s="87"/>
      <c r="M427" s="87"/>
      <c r="N427" s="87"/>
      <c r="O427" s="87"/>
    </row>
    <row r="428" spans="11:15">
      <c r="K428" s="87"/>
      <c r="L428" s="87"/>
      <c r="M428" s="87"/>
      <c r="N428" s="87"/>
      <c r="O428" s="87"/>
    </row>
    <row r="429" spans="11:15">
      <c r="K429" s="87"/>
      <c r="L429" s="87"/>
      <c r="M429" s="87"/>
      <c r="N429" s="87"/>
      <c r="O429" s="87"/>
    </row>
    <row r="430" spans="11:15">
      <c r="K430" s="87"/>
      <c r="L430" s="87"/>
      <c r="M430" s="87"/>
      <c r="N430" s="87"/>
      <c r="O430" s="87"/>
    </row>
    <row r="431" spans="11:15">
      <c r="K431" s="87"/>
      <c r="L431" s="87"/>
      <c r="M431" s="87"/>
      <c r="N431" s="87"/>
      <c r="O431" s="87"/>
    </row>
    <row r="432" spans="11:15">
      <c r="K432" s="87"/>
      <c r="L432" s="87"/>
      <c r="M432" s="87"/>
      <c r="N432" s="87"/>
      <c r="O432" s="87"/>
    </row>
    <row r="433" spans="11:15">
      <c r="K433" s="87"/>
      <c r="L433" s="87"/>
      <c r="M433" s="87"/>
      <c r="N433" s="87"/>
      <c r="O433" s="87"/>
    </row>
    <row r="434" spans="11:15">
      <c r="K434" s="87"/>
      <c r="L434" s="87"/>
      <c r="M434" s="87"/>
      <c r="N434" s="87"/>
      <c r="O434" s="87"/>
    </row>
    <row r="435" spans="11:15">
      <c r="K435" s="87"/>
      <c r="L435" s="87"/>
      <c r="M435" s="87"/>
      <c r="N435" s="87"/>
      <c r="O435" s="87"/>
    </row>
    <row r="436" spans="11:15">
      <c r="K436" s="87"/>
      <c r="L436" s="87"/>
      <c r="M436" s="87"/>
      <c r="N436" s="87"/>
      <c r="O436" s="87"/>
    </row>
    <row r="437" spans="11:15">
      <c r="K437" s="87"/>
      <c r="L437" s="87"/>
      <c r="M437" s="87"/>
      <c r="N437" s="87"/>
      <c r="O437" s="87"/>
    </row>
    <row r="438" spans="11:15">
      <c r="K438" s="87"/>
      <c r="L438" s="87"/>
      <c r="M438" s="87"/>
      <c r="N438" s="87"/>
      <c r="O438" s="87"/>
    </row>
    <row r="439" spans="11:15">
      <c r="K439" s="87"/>
      <c r="L439" s="87"/>
      <c r="M439" s="87"/>
      <c r="N439" s="87"/>
      <c r="O439" s="87"/>
    </row>
    <row r="440" spans="11:15">
      <c r="K440" s="87"/>
      <c r="L440" s="87"/>
      <c r="M440" s="87"/>
      <c r="N440" s="87"/>
      <c r="O440" s="87"/>
    </row>
    <row r="441" spans="11:15">
      <c r="K441" s="87"/>
      <c r="L441" s="87"/>
      <c r="M441" s="87"/>
      <c r="N441" s="87"/>
      <c r="O441" s="87"/>
    </row>
    <row r="442" spans="11:15">
      <c r="K442" s="87"/>
      <c r="L442" s="87"/>
      <c r="M442" s="87"/>
      <c r="N442" s="87"/>
      <c r="O442" s="87"/>
    </row>
    <row r="443" spans="11:15">
      <c r="K443" s="87"/>
      <c r="L443" s="87"/>
      <c r="M443" s="87"/>
      <c r="N443" s="87"/>
      <c r="O443" s="87"/>
    </row>
    <row r="444" spans="11:15">
      <c r="K444" s="87"/>
      <c r="L444" s="87"/>
      <c r="M444" s="87"/>
      <c r="N444" s="87"/>
      <c r="O444" s="87"/>
    </row>
    <row r="445" spans="11:15">
      <c r="K445" s="87"/>
      <c r="L445" s="87"/>
      <c r="M445" s="87"/>
      <c r="N445" s="87"/>
      <c r="O445" s="87"/>
    </row>
    <row r="446" spans="11:15">
      <c r="K446" s="87"/>
      <c r="L446" s="87"/>
      <c r="M446" s="87"/>
      <c r="N446" s="87"/>
      <c r="O446" s="87"/>
    </row>
    <row r="447" spans="11:15">
      <c r="K447" s="87"/>
      <c r="L447" s="87"/>
      <c r="M447" s="87"/>
      <c r="N447" s="87"/>
      <c r="O447" s="87"/>
    </row>
    <row r="448" spans="11:15">
      <c r="K448" s="87"/>
      <c r="L448" s="87"/>
      <c r="M448" s="87"/>
      <c r="N448" s="87"/>
      <c r="O448" s="87"/>
    </row>
    <row r="449" spans="11:15">
      <c r="K449" s="87"/>
      <c r="L449" s="87"/>
      <c r="M449" s="87"/>
      <c r="N449" s="87"/>
      <c r="O449" s="87"/>
    </row>
    <row r="450" spans="11:15">
      <c r="K450" s="87"/>
      <c r="L450" s="87"/>
      <c r="M450" s="87"/>
      <c r="N450" s="87"/>
      <c r="O450" s="87"/>
    </row>
    <row r="451" spans="11:15">
      <c r="K451" s="87"/>
      <c r="L451" s="87"/>
      <c r="M451" s="87"/>
      <c r="N451" s="87"/>
      <c r="O451" s="87"/>
    </row>
    <row r="452" spans="11:15">
      <c r="K452" s="87"/>
      <c r="L452" s="87"/>
      <c r="M452" s="87"/>
      <c r="N452" s="87"/>
      <c r="O452" s="87"/>
    </row>
    <row r="453" spans="11:15">
      <c r="K453" s="87"/>
      <c r="L453" s="87"/>
      <c r="M453" s="87"/>
      <c r="N453" s="87"/>
      <c r="O453" s="87"/>
    </row>
    <row r="454" spans="11:15">
      <c r="K454" s="87"/>
      <c r="L454" s="87"/>
      <c r="M454" s="87"/>
      <c r="N454" s="87"/>
      <c r="O454" s="87"/>
    </row>
    <row r="455" spans="11:15">
      <c r="K455" s="87"/>
      <c r="L455" s="87"/>
      <c r="M455" s="87"/>
      <c r="N455" s="87"/>
      <c r="O455" s="87"/>
    </row>
    <row r="456" spans="11:15">
      <c r="K456" s="87"/>
      <c r="L456" s="87"/>
      <c r="M456" s="87"/>
      <c r="N456" s="87"/>
      <c r="O456" s="87"/>
    </row>
    <row r="457" spans="11:15">
      <c r="K457" s="87"/>
      <c r="L457" s="87"/>
      <c r="M457" s="87"/>
      <c r="N457" s="87"/>
      <c r="O457" s="87"/>
    </row>
    <row r="458" spans="11:15">
      <c r="K458" s="87"/>
      <c r="L458" s="87"/>
      <c r="M458" s="87"/>
      <c r="N458" s="87"/>
      <c r="O458" s="87"/>
    </row>
    <row r="459" spans="11:15">
      <c r="K459" s="87"/>
      <c r="L459" s="87"/>
      <c r="M459" s="87"/>
      <c r="N459" s="87"/>
      <c r="O459" s="87"/>
    </row>
    <row r="460" spans="11:15">
      <c r="K460" s="87"/>
      <c r="L460" s="87"/>
      <c r="M460" s="87"/>
      <c r="N460" s="87"/>
      <c r="O460" s="87"/>
    </row>
    <row r="461" spans="11:15">
      <c r="K461" s="87"/>
      <c r="L461" s="87"/>
      <c r="M461" s="87"/>
      <c r="N461" s="87"/>
      <c r="O461" s="87"/>
    </row>
    <row r="462" spans="11:15">
      <c r="K462" s="87"/>
      <c r="L462" s="87"/>
      <c r="M462" s="87"/>
      <c r="N462" s="87"/>
      <c r="O462" s="87"/>
    </row>
    <row r="463" spans="11:15">
      <c r="K463" s="87"/>
      <c r="L463" s="87"/>
      <c r="M463" s="87"/>
      <c r="N463" s="87"/>
      <c r="O463" s="87"/>
    </row>
    <row r="464" spans="11:15">
      <c r="K464" s="87"/>
      <c r="L464" s="87"/>
      <c r="M464" s="87"/>
      <c r="N464" s="87"/>
      <c r="O464" s="87"/>
    </row>
    <row r="465" spans="11:15">
      <c r="K465" s="87"/>
      <c r="L465" s="87"/>
      <c r="M465" s="87"/>
      <c r="N465" s="87"/>
      <c r="O465" s="87"/>
    </row>
    <row r="466" spans="11:15">
      <c r="K466" s="87"/>
      <c r="L466" s="87"/>
      <c r="M466" s="87"/>
      <c r="N466" s="87"/>
      <c r="O466" s="87"/>
    </row>
    <row r="467" spans="11:15">
      <c r="K467" s="87"/>
      <c r="L467" s="87"/>
      <c r="M467" s="87"/>
      <c r="N467" s="87"/>
      <c r="O467" s="87"/>
    </row>
    <row r="468" spans="11:15">
      <c r="K468" s="87"/>
      <c r="L468" s="87"/>
      <c r="M468" s="87"/>
      <c r="N468" s="87"/>
      <c r="O468" s="87"/>
    </row>
    <row r="469" spans="11:15">
      <c r="K469" s="87"/>
      <c r="L469" s="87"/>
      <c r="M469" s="87"/>
      <c r="N469" s="87"/>
      <c r="O469" s="87"/>
    </row>
    <row r="470" spans="11:15">
      <c r="K470" s="87"/>
      <c r="L470" s="87"/>
      <c r="M470" s="87"/>
      <c r="N470" s="87"/>
      <c r="O470" s="87"/>
    </row>
    <row r="471" spans="11:15">
      <c r="K471" s="87"/>
      <c r="L471" s="87"/>
      <c r="M471" s="87"/>
      <c r="N471" s="87"/>
      <c r="O471" s="87"/>
    </row>
    <row r="472" spans="11:15">
      <c r="K472" s="87"/>
      <c r="L472" s="87"/>
      <c r="M472" s="87"/>
      <c r="N472" s="87"/>
      <c r="O472" s="87"/>
    </row>
    <row r="473" spans="11:15">
      <c r="K473" s="87"/>
      <c r="L473" s="87"/>
      <c r="M473" s="87"/>
      <c r="N473" s="87"/>
      <c r="O473" s="87"/>
    </row>
    <row r="474" spans="11:15">
      <c r="K474" s="87"/>
      <c r="L474" s="87"/>
      <c r="M474" s="87"/>
      <c r="N474" s="87"/>
      <c r="O474" s="87"/>
    </row>
    <row r="475" spans="11:15">
      <c r="K475" s="87"/>
      <c r="L475" s="87"/>
      <c r="M475" s="87"/>
      <c r="N475" s="87"/>
      <c r="O475" s="87"/>
    </row>
    <row r="476" spans="11:15">
      <c r="K476" s="87"/>
      <c r="L476" s="87"/>
      <c r="M476" s="87"/>
      <c r="N476" s="87"/>
      <c r="O476" s="87"/>
    </row>
    <row r="477" spans="11:15">
      <c r="K477" s="87"/>
      <c r="L477" s="87"/>
      <c r="M477" s="87"/>
      <c r="N477" s="87"/>
      <c r="O477" s="87"/>
    </row>
    <row r="478" spans="11:15">
      <c r="K478" s="87"/>
      <c r="L478" s="87"/>
      <c r="M478" s="87"/>
      <c r="N478" s="87"/>
      <c r="O478" s="87"/>
    </row>
    <row r="479" spans="11:15">
      <c r="K479" s="87"/>
      <c r="L479" s="87"/>
      <c r="M479" s="87"/>
      <c r="N479" s="87"/>
      <c r="O479" s="87"/>
    </row>
    <row r="480" spans="11:15">
      <c r="K480" s="87"/>
      <c r="L480" s="87"/>
      <c r="M480" s="87"/>
      <c r="N480" s="87"/>
      <c r="O480" s="87"/>
    </row>
    <row r="481" spans="11:15">
      <c r="K481" s="87"/>
      <c r="L481" s="87"/>
      <c r="M481" s="87"/>
      <c r="N481" s="87"/>
      <c r="O481" s="87"/>
    </row>
    <row r="482" spans="11:15">
      <c r="K482" s="87"/>
      <c r="L482" s="87"/>
      <c r="M482" s="87"/>
      <c r="N482" s="87"/>
      <c r="O482" s="87"/>
    </row>
    <row r="483" spans="11:15">
      <c r="K483" s="87"/>
      <c r="L483" s="87"/>
      <c r="M483" s="87"/>
      <c r="N483" s="87"/>
      <c r="O483" s="87"/>
    </row>
    <row r="484" spans="11:15">
      <c r="K484" s="87"/>
      <c r="L484" s="87"/>
      <c r="M484" s="87"/>
      <c r="N484" s="87"/>
      <c r="O484" s="87"/>
    </row>
    <row r="485" spans="11:15">
      <c r="K485" s="87"/>
      <c r="L485" s="87"/>
      <c r="M485" s="87"/>
      <c r="N485" s="87"/>
      <c r="O485" s="87"/>
    </row>
    <row r="486" spans="11:15">
      <c r="K486" s="87"/>
      <c r="L486" s="87"/>
      <c r="M486" s="87"/>
      <c r="N486" s="87"/>
      <c r="O486" s="87"/>
    </row>
    <row r="487" spans="11:15">
      <c r="K487" s="87"/>
      <c r="L487" s="87"/>
      <c r="M487" s="87"/>
      <c r="N487" s="87"/>
      <c r="O487" s="87"/>
    </row>
    <row r="488" spans="11:15">
      <c r="K488" s="87"/>
      <c r="L488" s="87"/>
      <c r="M488" s="87"/>
      <c r="N488" s="87"/>
      <c r="O488" s="87"/>
    </row>
    <row r="489" spans="11:15">
      <c r="K489" s="87"/>
      <c r="L489" s="87"/>
      <c r="M489" s="87"/>
      <c r="N489" s="87"/>
      <c r="O489" s="87"/>
    </row>
    <row r="490" spans="11:15">
      <c r="K490" s="87"/>
      <c r="L490" s="87"/>
      <c r="M490" s="87"/>
      <c r="N490" s="87"/>
      <c r="O490" s="87"/>
    </row>
    <row r="491" spans="11:15">
      <c r="K491" s="87"/>
      <c r="L491" s="87"/>
      <c r="M491" s="87"/>
      <c r="N491" s="87"/>
      <c r="O491" s="87"/>
    </row>
    <row r="492" spans="11:15">
      <c r="K492" s="87"/>
      <c r="L492" s="87"/>
      <c r="M492" s="87"/>
      <c r="N492" s="87"/>
      <c r="O492" s="87"/>
    </row>
    <row r="493" spans="11:15">
      <c r="K493" s="87"/>
      <c r="L493" s="87"/>
      <c r="M493" s="87"/>
      <c r="N493" s="87"/>
      <c r="O493" s="87"/>
    </row>
    <row r="494" spans="11:15">
      <c r="K494" s="87"/>
      <c r="L494" s="87"/>
      <c r="M494" s="87"/>
      <c r="N494" s="87"/>
      <c r="O494" s="87"/>
    </row>
    <row r="495" spans="11:15">
      <c r="K495" s="87"/>
      <c r="L495" s="87"/>
      <c r="M495" s="87"/>
      <c r="N495" s="87"/>
      <c r="O495" s="87"/>
    </row>
    <row r="496" spans="11:15">
      <c r="K496" s="87"/>
      <c r="L496" s="87"/>
      <c r="M496" s="87"/>
      <c r="N496" s="87"/>
      <c r="O496" s="87"/>
    </row>
    <row r="497" spans="11:15">
      <c r="K497" s="87"/>
      <c r="L497" s="87"/>
      <c r="M497" s="87"/>
      <c r="N497" s="87"/>
      <c r="O497" s="87"/>
    </row>
    <row r="498" spans="11:15">
      <c r="K498" s="87"/>
      <c r="L498" s="87"/>
      <c r="M498" s="87"/>
      <c r="N498" s="87"/>
      <c r="O498" s="87"/>
    </row>
    <row r="499" spans="11:15">
      <c r="K499" s="87"/>
      <c r="L499" s="87"/>
      <c r="M499" s="87"/>
      <c r="N499" s="87"/>
      <c r="O499" s="87"/>
    </row>
    <row r="500" spans="11:15">
      <c r="K500" s="87"/>
      <c r="L500" s="87"/>
      <c r="M500" s="87"/>
      <c r="N500" s="87"/>
      <c r="O500" s="87"/>
    </row>
    <row r="501" spans="11:15">
      <c r="K501" s="87"/>
      <c r="L501" s="87"/>
      <c r="M501" s="87"/>
      <c r="N501" s="87"/>
      <c r="O501" s="87"/>
    </row>
    <row r="502" spans="11:15">
      <c r="K502" s="87"/>
      <c r="L502" s="87"/>
      <c r="M502" s="87"/>
      <c r="N502" s="87"/>
      <c r="O502" s="87"/>
    </row>
    <row r="503" spans="11:15">
      <c r="K503" s="87"/>
      <c r="L503" s="87"/>
      <c r="M503" s="87"/>
      <c r="N503" s="87"/>
      <c r="O503" s="87"/>
    </row>
    <row r="504" spans="11:15">
      <c r="K504" s="87"/>
      <c r="L504" s="87"/>
      <c r="M504" s="87"/>
      <c r="N504" s="87"/>
      <c r="O504" s="87"/>
    </row>
    <row r="505" spans="11:15">
      <c r="K505" s="87"/>
      <c r="L505" s="87"/>
      <c r="M505" s="87"/>
      <c r="N505" s="87"/>
      <c r="O505" s="87"/>
    </row>
    <row r="506" spans="11:15">
      <c r="K506" s="87"/>
      <c r="L506" s="87"/>
      <c r="M506" s="87"/>
      <c r="N506" s="87"/>
      <c r="O506" s="87"/>
    </row>
    <row r="507" spans="11:15">
      <c r="K507" s="87"/>
      <c r="L507" s="87"/>
      <c r="M507" s="87"/>
      <c r="N507" s="87"/>
      <c r="O507" s="87"/>
    </row>
    <row r="508" spans="11:15">
      <c r="K508" s="87"/>
      <c r="L508" s="87"/>
      <c r="M508" s="87"/>
      <c r="N508" s="87"/>
      <c r="O508" s="87"/>
    </row>
    <row r="509" spans="11:15">
      <c r="K509" s="87"/>
      <c r="L509" s="87"/>
      <c r="M509" s="87"/>
      <c r="N509" s="87"/>
      <c r="O509" s="87"/>
    </row>
    <row r="510" spans="11:15">
      <c r="K510" s="87"/>
      <c r="L510" s="87"/>
      <c r="M510" s="87"/>
      <c r="N510" s="87"/>
      <c r="O510" s="87"/>
    </row>
    <row r="511" spans="11:15">
      <c r="K511" s="87"/>
      <c r="L511" s="87"/>
      <c r="M511" s="87"/>
      <c r="N511" s="87"/>
      <c r="O511" s="87"/>
    </row>
    <row r="512" spans="11:15">
      <c r="K512" s="87"/>
      <c r="L512" s="87"/>
      <c r="M512" s="87"/>
      <c r="N512" s="87"/>
      <c r="O512" s="87"/>
    </row>
    <row r="513" spans="11:15">
      <c r="K513" s="87"/>
      <c r="L513" s="87"/>
      <c r="M513" s="87"/>
      <c r="N513" s="87"/>
      <c r="O513" s="87"/>
    </row>
    <row r="514" spans="11:15">
      <c r="K514" s="87"/>
      <c r="L514" s="87"/>
      <c r="M514" s="87"/>
      <c r="N514" s="87"/>
      <c r="O514" s="87"/>
    </row>
    <row r="515" spans="11:15">
      <c r="K515" s="87"/>
      <c r="L515" s="87"/>
      <c r="M515" s="87"/>
      <c r="N515" s="87"/>
      <c r="O515" s="87"/>
    </row>
    <row r="516" spans="11:15">
      <c r="K516" s="87"/>
      <c r="L516" s="87"/>
      <c r="M516" s="87"/>
      <c r="N516" s="87"/>
      <c r="O516" s="87"/>
    </row>
    <row r="517" spans="11:15">
      <c r="K517" s="87"/>
      <c r="L517" s="87"/>
      <c r="M517" s="87"/>
      <c r="N517" s="87"/>
      <c r="O517" s="87"/>
    </row>
    <row r="518" spans="11:15">
      <c r="K518" s="87"/>
      <c r="L518" s="87"/>
      <c r="M518" s="87"/>
      <c r="N518" s="87"/>
      <c r="O518" s="87"/>
    </row>
    <row r="519" spans="11:15">
      <c r="K519" s="87"/>
      <c r="L519" s="87"/>
      <c r="M519" s="87"/>
      <c r="N519" s="87"/>
      <c r="O519" s="87"/>
    </row>
    <row r="520" spans="11:15">
      <c r="K520" s="87"/>
      <c r="L520" s="87"/>
      <c r="M520" s="87"/>
      <c r="N520" s="87"/>
      <c r="O520" s="87"/>
    </row>
    <row r="521" spans="11:15">
      <c r="K521" s="87"/>
      <c r="L521" s="87"/>
      <c r="M521" s="87"/>
      <c r="N521" s="87"/>
      <c r="O521" s="87"/>
    </row>
    <row r="522" spans="11:15">
      <c r="K522" s="87"/>
      <c r="L522" s="87"/>
      <c r="M522" s="87"/>
      <c r="N522" s="87"/>
      <c r="O522" s="87"/>
    </row>
    <row r="523" spans="11:15">
      <c r="K523" s="87"/>
      <c r="L523" s="87"/>
      <c r="M523" s="87"/>
      <c r="N523" s="87"/>
      <c r="O523" s="87"/>
    </row>
    <row r="524" spans="11:15">
      <c r="K524" s="87"/>
      <c r="L524" s="87"/>
      <c r="M524" s="87"/>
      <c r="N524" s="87"/>
      <c r="O524" s="87"/>
    </row>
    <row r="525" spans="11:15">
      <c r="K525" s="87"/>
      <c r="L525" s="87"/>
      <c r="M525" s="87"/>
      <c r="N525" s="87"/>
      <c r="O525" s="87"/>
    </row>
    <row r="526" spans="11:15">
      <c r="K526" s="87"/>
      <c r="L526" s="87"/>
      <c r="M526" s="87"/>
      <c r="N526" s="87"/>
      <c r="O526" s="87"/>
    </row>
    <row r="527" spans="11:15">
      <c r="K527" s="87"/>
      <c r="L527" s="87"/>
      <c r="M527" s="87"/>
      <c r="N527" s="87"/>
      <c r="O527" s="87"/>
    </row>
    <row r="528" spans="11:15">
      <c r="K528" s="87"/>
      <c r="L528" s="87"/>
      <c r="M528" s="87"/>
      <c r="N528" s="87"/>
      <c r="O528" s="87"/>
    </row>
    <row r="529" spans="11:15">
      <c r="K529" s="87"/>
      <c r="L529" s="87"/>
      <c r="M529" s="87"/>
      <c r="N529" s="87"/>
      <c r="O529" s="87"/>
    </row>
    <row r="530" spans="11:15">
      <c r="K530" s="87"/>
      <c r="L530" s="87"/>
      <c r="M530" s="87"/>
      <c r="N530" s="87"/>
      <c r="O530" s="87"/>
    </row>
    <row r="531" spans="11:15">
      <c r="K531" s="87"/>
      <c r="L531" s="87"/>
      <c r="M531" s="87"/>
      <c r="N531" s="87"/>
      <c r="O531" s="87"/>
    </row>
    <row r="532" spans="11:15">
      <c r="K532" s="87"/>
      <c r="L532" s="87"/>
      <c r="M532" s="87"/>
      <c r="N532" s="87"/>
      <c r="O532" s="87"/>
    </row>
    <row r="533" spans="11:15">
      <c r="K533" s="87"/>
      <c r="L533" s="87"/>
      <c r="M533" s="87"/>
      <c r="N533" s="87"/>
      <c r="O533" s="87"/>
    </row>
    <row r="534" spans="11:15">
      <c r="K534" s="87"/>
      <c r="L534" s="87"/>
      <c r="M534" s="87"/>
      <c r="N534" s="87"/>
      <c r="O534" s="87"/>
    </row>
    <row r="535" spans="11:15">
      <c r="K535" s="87"/>
      <c r="L535" s="87"/>
      <c r="M535" s="87"/>
      <c r="N535" s="87"/>
      <c r="O535" s="87"/>
    </row>
    <row r="536" spans="11:15">
      <c r="K536" s="87"/>
      <c r="L536" s="87"/>
      <c r="M536" s="87"/>
      <c r="N536" s="87"/>
      <c r="O536" s="87"/>
    </row>
    <row r="537" spans="11:15">
      <c r="K537" s="87"/>
      <c r="L537" s="87"/>
      <c r="M537" s="87"/>
      <c r="N537" s="87"/>
      <c r="O537" s="87"/>
    </row>
    <row r="538" spans="11:15">
      <c r="K538" s="87"/>
      <c r="L538" s="87"/>
      <c r="M538" s="87"/>
      <c r="N538" s="87"/>
      <c r="O538" s="87"/>
    </row>
    <row r="539" spans="11:15">
      <c r="K539" s="87"/>
      <c r="L539" s="87"/>
      <c r="M539" s="87"/>
      <c r="N539" s="87"/>
      <c r="O539" s="87"/>
    </row>
    <row r="540" spans="11:15">
      <c r="K540" s="87"/>
      <c r="L540" s="87"/>
      <c r="M540" s="87"/>
      <c r="N540" s="87"/>
      <c r="O540" s="87"/>
    </row>
    <row r="541" spans="11:15">
      <c r="K541" s="87"/>
      <c r="L541" s="87"/>
      <c r="M541" s="87"/>
      <c r="N541" s="87"/>
      <c r="O541" s="87"/>
    </row>
    <row r="542" spans="11:15">
      <c r="K542" s="87"/>
      <c r="L542" s="87"/>
      <c r="M542" s="87"/>
      <c r="N542" s="87"/>
      <c r="O542" s="87"/>
    </row>
    <row r="543" spans="11:15">
      <c r="K543" s="87"/>
      <c r="L543" s="87"/>
      <c r="M543" s="87"/>
      <c r="N543" s="87"/>
      <c r="O543" s="87"/>
    </row>
    <row r="544" spans="11:15">
      <c r="K544" s="87"/>
      <c r="L544" s="87"/>
      <c r="M544" s="87"/>
      <c r="N544" s="87"/>
      <c r="O544" s="87"/>
    </row>
    <row r="545" spans="11:15">
      <c r="K545" s="87"/>
      <c r="L545" s="87"/>
      <c r="M545" s="87"/>
      <c r="N545" s="87"/>
      <c r="O545" s="87"/>
    </row>
    <row r="546" spans="11:15">
      <c r="K546" s="87"/>
      <c r="L546" s="87"/>
      <c r="M546" s="87"/>
      <c r="N546" s="87"/>
      <c r="O546" s="87"/>
    </row>
    <row r="547" spans="11:15">
      <c r="K547" s="87"/>
      <c r="L547" s="87"/>
      <c r="M547" s="87"/>
      <c r="N547" s="87"/>
      <c r="O547" s="87"/>
    </row>
    <row r="548" spans="11:15">
      <c r="K548" s="87"/>
      <c r="L548" s="87"/>
      <c r="M548" s="87"/>
      <c r="N548" s="87"/>
      <c r="O548" s="87"/>
    </row>
    <row r="549" spans="11:15">
      <c r="K549" s="87"/>
      <c r="L549" s="87"/>
      <c r="M549" s="87"/>
      <c r="N549" s="87"/>
      <c r="O549" s="87"/>
    </row>
    <row r="550" spans="11:15">
      <c r="K550" s="87"/>
      <c r="L550" s="87"/>
      <c r="M550" s="87"/>
      <c r="N550" s="87"/>
      <c r="O550" s="87"/>
    </row>
    <row r="551" spans="11:15">
      <c r="K551" s="87"/>
      <c r="L551" s="87"/>
      <c r="M551" s="87"/>
      <c r="N551" s="87"/>
      <c r="O551" s="87"/>
    </row>
    <row r="552" spans="11:15">
      <c r="K552" s="87"/>
      <c r="L552" s="87"/>
      <c r="M552" s="87"/>
      <c r="N552" s="87"/>
      <c r="O552" s="87"/>
    </row>
    <row r="553" spans="11:15">
      <c r="K553" s="87"/>
      <c r="L553" s="87"/>
      <c r="M553" s="87"/>
      <c r="N553" s="87"/>
      <c r="O553" s="87"/>
    </row>
    <row r="554" spans="11:15">
      <c r="K554" s="87"/>
      <c r="L554" s="87"/>
      <c r="M554" s="87"/>
      <c r="N554" s="87"/>
      <c r="O554" s="87"/>
    </row>
    <row r="555" spans="11:15">
      <c r="K555" s="87"/>
      <c r="L555" s="87"/>
      <c r="M555" s="87"/>
      <c r="N555" s="87"/>
      <c r="O555" s="87"/>
    </row>
    <row r="556" spans="11:15">
      <c r="K556" s="87"/>
      <c r="L556" s="87"/>
      <c r="M556" s="87"/>
      <c r="N556" s="87"/>
      <c r="O556" s="87"/>
    </row>
    <row r="557" spans="11:15">
      <c r="K557" s="87"/>
      <c r="L557" s="87"/>
      <c r="M557" s="87"/>
      <c r="N557" s="87"/>
      <c r="O557" s="87"/>
    </row>
    <row r="558" spans="11:15">
      <c r="K558" s="87"/>
      <c r="L558" s="87"/>
      <c r="M558" s="87"/>
      <c r="N558" s="87"/>
      <c r="O558" s="87"/>
    </row>
    <row r="559" spans="11:15">
      <c r="K559" s="87"/>
      <c r="L559" s="87"/>
      <c r="M559" s="87"/>
      <c r="N559" s="87"/>
      <c r="O559" s="87"/>
    </row>
    <row r="560" spans="11:15">
      <c r="K560" s="87"/>
      <c r="L560" s="87"/>
      <c r="M560" s="87"/>
      <c r="N560" s="87"/>
      <c r="O560" s="87"/>
    </row>
    <row r="561" spans="11:15">
      <c r="K561" s="87"/>
      <c r="L561" s="87"/>
      <c r="M561" s="87"/>
      <c r="N561" s="87"/>
      <c r="O561" s="87"/>
    </row>
    <row r="562" spans="11:15">
      <c r="K562" s="87"/>
      <c r="L562" s="87"/>
      <c r="M562" s="87"/>
      <c r="N562" s="87"/>
      <c r="O562" s="87"/>
    </row>
    <row r="563" spans="11:15">
      <c r="K563" s="87"/>
      <c r="L563" s="87"/>
      <c r="M563" s="87"/>
      <c r="N563" s="87"/>
      <c r="O563" s="87"/>
    </row>
    <row r="564" spans="11:15">
      <c r="K564" s="87"/>
      <c r="L564" s="87"/>
      <c r="M564" s="87"/>
      <c r="N564" s="87"/>
      <c r="O564" s="87"/>
    </row>
    <row r="565" spans="11:15">
      <c r="K565" s="87"/>
      <c r="L565" s="87"/>
      <c r="M565" s="87"/>
      <c r="N565" s="87"/>
      <c r="O565" s="87"/>
    </row>
    <row r="566" spans="11:15">
      <c r="K566" s="87"/>
      <c r="L566" s="87"/>
      <c r="M566" s="87"/>
      <c r="N566" s="87"/>
      <c r="O566" s="87"/>
    </row>
    <row r="567" spans="11:15">
      <c r="K567" s="87"/>
      <c r="L567" s="87"/>
      <c r="M567" s="87"/>
      <c r="N567" s="87"/>
      <c r="O567" s="87"/>
    </row>
    <row r="568" spans="11:15">
      <c r="K568" s="87"/>
      <c r="L568" s="87"/>
      <c r="M568" s="87"/>
      <c r="N568" s="87"/>
      <c r="O568" s="87"/>
    </row>
    <row r="569" spans="11:15">
      <c r="K569" s="87"/>
      <c r="L569" s="87"/>
      <c r="M569" s="87"/>
      <c r="N569" s="87"/>
      <c r="O569" s="87"/>
    </row>
    <row r="570" spans="11:15">
      <c r="K570" s="87"/>
      <c r="L570" s="87"/>
      <c r="M570" s="87"/>
      <c r="N570" s="87"/>
      <c r="O570" s="87"/>
    </row>
  </sheetData>
  <mergeCells count="3">
    <mergeCell ref="A3:B3"/>
    <mergeCell ref="D3:F3"/>
    <mergeCell ref="D8:F8"/>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D62D1-E98D-479F-A637-BD8D0B6BCA20}">
  <dimension ref="A1:P381"/>
  <sheetViews>
    <sheetView zoomScale="43" workbookViewId="0">
      <selection activeCell="F33" sqref="F33"/>
    </sheetView>
  </sheetViews>
  <sheetFormatPr defaultRowHeight="14.45"/>
  <cols>
    <col min="1" max="1" width="19.5703125" bestFit="1" customWidth="1"/>
    <col min="3" max="3" width="11.5703125" bestFit="1" customWidth="1"/>
    <col min="5" max="5" width="11.28515625" bestFit="1" customWidth="1"/>
    <col min="6" max="6" width="17.140625" bestFit="1" customWidth="1"/>
    <col min="7" max="7" width="12.42578125" bestFit="1" customWidth="1"/>
    <col min="8" max="8" width="11.28515625" bestFit="1" customWidth="1"/>
    <col min="9" max="9" width="22.140625" bestFit="1" customWidth="1"/>
    <col min="14" max="14" width="22.140625" bestFit="1" customWidth="1"/>
    <col min="15" max="15" width="25.5703125" bestFit="1" customWidth="1"/>
    <col min="16" max="16" width="36.5703125" bestFit="1" customWidth="1"/>
  </cols>
  <sheetData>
    <row r="1" spans="1:16">
      <c r="A1" t="s">
        <v>290</v>
      </c>
      <c r="B1" t="s">
        <v>291</v>
      </c>
    </row>
    <row r="2" spans="1:16">
      <c r="A2" t="s">
        <v>85</v>
      </c>
    </row>
    <row r="3" spans="1:16">
      <c r="A3" t="s">
        <v>92</v>
      </c>
      <c r="B3">
        <f>'Organized Input Output'!D14</f>
        <v>745</v>
      </c>
    </row>
    <row r="6" spans="1:16">
      <c r="B6" s="298" t="s">
        <v>17</v>
      </c>
      <c r="C6" s="296" t="s">
        <v>18</v>
      </c>
      <c r="D6" s="275" t="s">
        <v>19</v>
      </c>
      <c r="E6" s="275" t="s">
        <v>20</v>
      </c>
      <c r="F6" s="275" t="s">
        <v>21</v>
      </c>
      <c r="G6" s="286" t="s">
        <v>22</v>
      </c>
      <c r="H6" s="286"/>
      <c r="I6" s="286"/>
      <c r="J6" s="275" t="s">
        <v>23</v>
      </c>
      <c r="M6" s="316" t="s">
        <v>292</v>
      </c>
      <c r="N6" s="316"/>
      <c r="O6" s="316"/>
    </row>
    <row r="7" spans="1:16">
      <c r="B7" s="317"/>
      <c r="C7" s="297"/>
      <c r="D7" s="276"/>
      <c r="E7" s="276"/>
      <c r="F7" s="276"/>
      <c r="G7" s="49" t="s">
        <v>37</v>
      </c>
      <c r="H7" s="49" t="s">
        <v>38</v>
      </c>
      <c r="I7" s="49" t="s">
        <v>39</v>
      </c>
      <c r="J7" s="276"/>
      <c r="M7" s="316">
        <f>SUM(I17:I390)</f>
        <v>14</v>
      </c>
      <c r="N7" s="316"/>
      <c r="O7" s="316"/>
    </row>
    <row r="8" spans="1:16" ht="15" customHeight="1">
      <c r="B8" s="317"/>
      <c r="C8" s="103" t="s">
        <v>44</v>
      </c>
      <c r="D8" s="50" t="str">
        <f>'Organized Input Output'!R7</f>
        <v>y</v>
      </c>
      <c r="E8" s="50">
        <f>'Organized Input Output'!S7</f>
        <v>2295.0810000000001</v>
      </c>
      <c r="F8" s="51">
        <f>'Organized Input Output'!T7</f>
        <v>20000</v>
      </c>
      <c r="G8" s="50">
        <f>'Organized Input Output'!U7</f>
        <v>5000</v>
      </c>
      <c r="H8" s="50">
        <f>'Organized Input Output'!V7</f>
        <v>20000</v>
      </c>
      <c r="I8" s="50">
        <f>'Organized Input Output'!W7</f>
        <v>15000</v>
      </c>
      <c r="J8" s="277"/>
    </row>
    <row r="9" spans="1:16" ht="15" customHeight="1">
      <c r="B9" s="317"/>
      <c r="C9" s="246" t="s">
        <v>59</v>
      </c>
      <c r="D9" s="54" t="str">
        <f>'Organized Input Output'!R8</f>
        <v>y</v>
      </c>
      <c r="E9" s="52">
        <f>'Organized Input Output'!S8</f>
        <v>1144.7918999999999</v>
      </c>
      <c r="F9" s="53">
        <f>'Organized Input Output'!T8</f>
        <v>20000</v>
      </c>
      <c r="G9" s="52">
        <f>'Organized Input Output'!U8</f>
        <v>10000</v>
      </c>
      <c r="H9" s="52"/>
      <c r="I9" s="52">
        <f>'Organized Input Output'!W8</f>
        <v>20000</v>
      </c>
      <c r="J9" s="278"/>
    </row>
    <row r="10" spans="1:16" ht="15" customHeight="1">
      <c r="B10" s="317"/>
      <c r="C10" s="246" t="s">
        <v>68</v>
      </c>
      <c r="D10" s="54" t="str">
        <f>'Organized Input Output'!R9</f>
        <v>y</v>
      </c>
      <c r="E10" s="52">
        <f>'Organized Input Output'!S9</f>
        <v>57.308309999999999</v>
      </c>
      <c r="F10" s="53">
        <f>'Organized Input Output'!T9</f>
        <v>20000</v>
      </c>
      <c r="G10" s="52">
        <f>'Organized Input Output'!U9</f>
        <v>20000</v>
      </c>
      <c r="H10" s="52"/>
      <c r="I10" s="52"/>
      <c r="J10" s="279"/>
    </row>
    <row r="11" spans="1:16">
      <c r="B11" s="299"/>
      <c r="C11" s="240" t="s">
        <v>79</v>
      </c>
      <c r="D11" s="54"/>
      <c r="E11" s="52">
        <f>'Organized Input Output'!S10</f>
        <v>3497.1812100000002</v>
      </c>
      <c r="F11" s="1"/>
      <c r="G11" s="104"/>
      <c r="H11" s="104"/>
      <c r="I11" s="104"/>
      <c r="J11" s="59"/>
    </row>
    <row r="15" spans="1:16" ht="29.1">
      <c r="B15" s="188"/>
      <c r="C15" s="188"/>
      <c r="D15" s="188"/>
      <c r="E15" s="188"/>
      <c r="F15" s="188"/>
      <c r="G15" s="188" t="s">
        <v>293</v>
      </c>
      <c r="H15" s="188"/>
      <c r="I15" s="188"/>
      <c r="P15" s="24" t="s">
        <v>294</v>
      </c>
    </row>
    <row r="16" spans="1:16">
      <c r="B16" s="188" t="s">
        <v>295</v>
      </c>
      <c r="C16" s="188" t="s">
        <v>296</v>
      </c>
      <c r="D16" s="188" t="s">
        <v>297</v>
      </c>
      <c r="E16" s="188" t="s">
        <v>298</v>
      </c>
      <c r="F16" s="188" t="s">
        <v>299</v>
      </c>
      <c r="G16" s="188" t="s">
        <v>297</v>
      </c>
      <c r="H16" s="188" t="s">
        <v>298</v>
      </c>
      <c r="I16" s="188" t="s">
        <v>300</v>
      </c>
    </row>
    <row r="17" spans="2:16" ht="29.1">
      <c r="B17" s="188">
        <v>1</v>
      </c>
      <c r="C17" s="188">
        <f>B3</f>
        <v>745</v>
      </c>
      <c r="D17" s="188">
        <f>IF(D9 = "y", C17, 0)</f>
        <v>745</v>
      </c>
      <c r="E17" s="188">
        <f>IF(D10 = "y", C17, 0)</f>
        <v>745</v>
      </c>
      <c r="F17" s="188"/>
      <c r="G17" s="188"/>
      <c r="H17" s="188"/>
      <c r="I17" s="188" t="str">
        <f t="shared" ref="I17:I80" si="0">IF(SUM(F17:H17)&gt;0,1,"")</f>
        <v/>
      </c>
      <c r="J17" s="188" t="str">
        <f>IF(SUM(G17:I17)&gt;0,J17+1,"")</f>
        <v/>
      </c>
      <c r="P17" s="24" t="s">
        <v>301</v>
      </c>
    </row>
    <row r="18" spans="2:16" ht="29.1">
      <c r="B18" s="188">
        <v>2</v>
      </c>
      <c r="C18" s="188">
        <f>IF(C17+$B$3&gt;$F$8,$B$3,C17+$B$3)</f>
        <v>1490</v>
      </c>
      <c r="D18" s="188">
        <f t="shared" ref="D18:D81" si="1">IF($D$17 = 0, 0, IF(D17+$B$3&gt;$F$9,$B$3,D17+$B$3))</f>
        <v>1490</v>
      </c>
      <c r="E18" s="188">
        <f>IF($E$17 = 0, 0, IF(E17+$B$3&gt;$F$10,$B$3,E17+$B$3))</f>
        <v>1490</v>
      </c>
      <c r="F18" s="188">
        <f t="shared" ref="F18:F81" si="2">IF((C18=$B$3),1,0)</f>
        <v>0</v>
      </c>
      <c r="G18" s="188">
        <f t="shared" ref="G18:G81" si="3">IF((D18=$B$3),1,0)</f>
        <v>0</v>
      </c>
      <c r="H18" s="188">
        <f t="shared" ref="H18:H81" si="4">IF((E18=$B$3),1,0)</f>
        <v>0</v>
      </c>
      <c r="I18" s="188" t="str">
        <f t="shared" si="0"/>
        <v/>
      </c>
      <c r="P18" s="24" t="s">
        <v>302</v>
      </c>
    </row>
    <row r="19" spans="2:16">
      <c r="B19" s="188">
        <v>3</v>
      </c>
      <c r="C19" s="188">
        <f t="shared" ref="C19:C81" si="5">IF(C18+$B$3&gt;$F$8,$B$3,C18+$B$3)</f>
        <v>2235</v>
      </c>
      <c r="D19" s="188">
        <f t="shared" si="1"/>
        <v>2235</v>
      </c>
      <c r="E19" s="188">
        <f t="shared" ref="E19:E81" si="6">IF($E$17 = 0, 0, IF(E18+$B$3&gt;$F$10,$B$3,E18+$B$3))</f>
        <v>2235</v>
      </c>
      <c r="F19" s="188">
        <f t="shared" si="2"/>
        <v>0</v>
      </c>
      <c r="G19" s="188">
        <f t="shared" si="3"/>
        <v>0</v>
      </c>
      <c r="H19" s="188">
        <f t="shared" si="4"/>
        <v>0</v>
      </c>
      <c r="I19" s="188" t="str">
        <f t="shared" si="0"/>
        <v/>
      </c>
    </row>
    <row r="20" spans="2:16">
      <c r="B20" s="188">
        <v>4</v>
      </c>
      <c r="C20" s="188">
        <f t="shared" si="5"/>
        <v>2980</v>
      </c>
      <c r="D20" s="188">
        <f t="shared" si="1"/>
        <v>2980</v>
      </c>
      <c r="E20" s="188">
        <f t="shared" si="6"/>
        <v>2980</v>
      </c>
      <c r="F20" s="188">
        <f t="shared" si="2"/>
        <v>0</v>
      </c>
      <c r="G20" s="188">
        <f t="shared" si="3"/>
        <v>0</v>
      </c>
      <c r="H20" s="188">
        <f t="shared" si="4"/>
        <v>0</v>
      </c>
      <c r="I20" s="188" t="str">
        <f t="shared" si="0"/>
        <v/>
      </c>
    </row>
    <row r="21" spans="2:16">
      <c r="B21" s="188">
        <v>5</v>
      </c>
      <c r="C21" s="188">
        <f t="shared" si="5"/>
        <v>3725</v>
      </c>
      <c r="D21" s="188">
        <f t="shared" si="1"/>
        <v>3725</v>
      </c>
      <c r="E21" s="188">
        <f t="shared" si="6"/>
        <v>3725</v>
      </c>
      <c r="F21" s="188">
        <f t="shared" si="2"/>
        <v>0</v>
      </c>
      <c r="G21" s="188">
        <f t="shared" si="3"/>
        <v>0</v>
      </c>
      <c r="H21" s="188">
        <f t="shared" si="4"/>
        <v>0</v>
      </c>
      <c r="I21" s="188" t="str">
        <f t="shared" si="0"/>
        <v/>
      </c>
    </row>
    <row r="22" spans="2:16">
      <c r="B22" s="188">
        <v>6</v>
      </c>
      <c r="C22" s="188">
        <f t="shared" si="5"/>
        <v>4470</v>
      </c>
      <c r="D22" s="188">
        <f t="shared" si="1"/>
        <v>4470</v>
      </c>
      <c r="E22" s="188">
        <f t="shared" si="6"/>
        <v>4470</v>
      </c>
      <c r="F22" s="188">
        <f t="shared" si="2"/>
        <v>0</v>
      </c>
      <c r="G22" s="188">
        <f t="shared" si="3"/>
        <v>0</v>
      </c>
      <c r="H22" s="188">
        <f t="shared" si="4"/>
        <v>0</v>
      </c>
      <c r="I22" s="188" t="str">
        <f t="shared" si="0"/>
        <v/>
      </c>
    </row>
    <row r="23" spans="2:16">
      <c r="B23" s="188">
        <v>7</v>
      </c>
      <c r="C23" s="188">
        <f t="shared" si="5"/>
        <v>5215</v>
      </c>
      <c r="D23" s="188">
        <f t="shared" si="1"/>
        <v>5215</v>
      </c>
      <c r="E23" s="188">
        <f t="shared" si="6"/>
        <v>5215</v>
      </c>
      <c r="F23" s="188">
        <f t="shared" si="2"/>
        <v>0</v>
      </c>
      <c r="G23" s="188">
        <f t="shared" si="3"/>
        <v>0</v>
      </c>
      <c r="H23" s="188">
        <f t="shared" si="4"/>
        <v>0</v>
      </c>
      <c r="I23" s="188" t="str">
        <f t="shared" si="0"/>
        <v/>
      </c>
    </row>
    <row r="24" spans="2:16">
      <c r="B24" s="188">
        <v>8</v>
      </c>
      <c r="C24" s="188">
        <f t="shared" si="5"/>
        <v>5960</v>
      </c>
      <c r="D24" s="188">
        <f t="shared" si="1"/>
        <v>5960</v>
      </c>
      <c r="E24" s="188">
        <f t="shared" si="6"/>
        <v>5960</v>
      </c>
      <c r="F24" s="188">
        <f t="shared" si="2"/>
        <v>0</v>
      </c>
      <c r="G24" s="188">
        <f t="shared" si="3"/>
        <v>0</v>
      </c>
      <c r="H24" s="188">
        <f t="shared" si="4"/>
        <v>0</v>
      </c>
      <c r="I24" s="188" t="str">
        <f t="shared" si="0"/>
        <v/>
      </c>
    </row>
    <row r="25" spans="2:16">
      <c r="B25" s="188">
        <v>9</v>
      </c>
      <c r="C25" s="188">
        <f t="shared" si="5"/>
        <v>6705</v>
      </c>
      <c r="D25" s="188">
        <f t="shared" si="1"/>
        <v>6705</v>
      </c>
      <c r="E25" s="188">
        <f t="shared" si="6"/>
        <v>6705</v>
      </c>
      <c r="F25" s="188">
        <f t="shared" si="2"/>
        <v>0</v>
      </c>
      <c r="G25" s="188">
        <f t="shared" si="3"/>
        <v>0</v>
      </c>
      <c r="H25" s="188">
        <f t="shared" si="4"/>
        <v>0</v>
      </c>
      <c r="I25" s="188" t="str">
        <f t="shared" si="0"/>
        <v/>
      </c>
    </row>
    <row r="26" spans="2:16">
      <c r="B26" s="188">
        <v>10</v>
      </c>
      <c r="C26" s="188">
        <f t="shared" si="5"/>
        <v>7450</v>
      </c>
      <c r="D26" s="188">
        <f t="shared" si="1"/>
        <v>7450</v>
      </c>
      <c r="E26" s="188">
        <f t="shared" si="6"/>
        <v>7450</v>
      </c>
      <c r="F26" s="188">
        <f t="shared" si="2"/>
        <v>0</v>
      </c>
      <c r="G26" s="188">
        <f t="shared" si="3"/>
        <v>0</v>
      </c>
      <c r="H26" s="188">
        <f t="shared" si="4"/>
        <v>0</v>
      </c>
      <c r="I26" s="188" t="str">
        <f t="shared" si="0"/>
        <v/>
      </c>
    </row>
    <row r="27" spans="2:16">
      <c r="B27" s="188">
        <v>11</v>
      </c>
      <c r="C27" s="188">
        <f t="shared" si="5"/>
        <v>8195</v>
      </c>
      <c r="D27" s="188">
        <f t="shared" si="1"/>
        <v>8195</v>
      </c>
      <c r="E27" s="188">
        <f t="shared" si="6"/>
        <v>8195</v>
      </c>
      <c r="F27" s="188">
        <f t="shared" si="2"/>
        <v>0</v>
      </c>
      <c r="G27" s="188">
        <f t="shared" si="3"/>
        <v>0</v>
      </c>
      <c r="H27" s="188">
        <f t="shared" si="4"/>
        <v>0</v>
      </c>
      <c r="I27" s="188" t="str">
        <f t="shared" si="0"/>
        <v/>
      </c>
    </row>
    <row r="28" spans="2:16">
      <c r="B28" s="188">
        <v>12</v>
      </c>
      <c r="C28" s="188">
        <f t="shared" si="5"/>
        <v>8940</v>
      </c>
      <c r="D28" s="188">
        <f t="shared" si="1"/>
        <v>8940</v>
      </c>
      <c r="E28" s="188">
        <f t="shared" si="6"/>
        <v>8940</v>
      </c>
      <c r="F28" s="188">
        <f t="shared" si="2"/>
        <v>0</v>
      </c>
      <c r="G28" s="188">
        <f t="shared" si="3"/>
        <v>0</v>
      </c>
      <c r="H28" s="188">
        <f t="shared" si="4"/>
        <v>0</v>
      </c>
      <c r="I28" s="188" t="str">
        <f t="shared" si="0"/>
        <v/>
      </c>
    </row>
    <row r="29" spans="2:16">
      <c r="B29" s="188">
        <v>13</v>
      </c>
      <c r="C29" s="188">
        <f t="shared" si="5"/>
        <v>9685</v>
      </c>
      <c r="D29" s="188">
        <f t="shared" si="1"/>
        <v>9685</v>
      </c>
      <c r="E29" s="188">
        <f t="shared" si="6"/>
        <v>9685</v>
      </c>
      <c r="F29" s="188">
        <f t="shared" si="2"/>
        <v>0</v>
      </c>
      <c r="G29" s="188">
        <f t="shared" si="3"/>
        <v>0</v>
      </c>
      <c r="H29" s="188">
        <f t="shared" si="4"/>
        <v>0</v>
      </c>
      <c r="I29" s="188" t="str">
        <f t="shared" si="0"/>
        <v/>
      </c>
    </row>
    <row r="30" spans="2:16">
      <c r="B30" s="188">
        <v>14</v>
      </c>
      <c r="C30" s="188">
        <f t="shared" si="5"/>
        <v>10430</v>
      </c>
      <c r="D30" s="188">
        <f t="shared" si="1"/>
        <v>10430</v>
      </c>
      <c r="E30" s="188">
        <f t="shared" si="6"/>
        <v>10430</v>
      </c>
      <c r="F30" s="188">
        <f t="shared" si="2"/>
        <v>0</v>
      </c>
      <c r="G30" s="188">
        <f t="shared" si="3"/>
        <v>0</v>
      </c>
      <c r="H30" s="188">
        <f t="shared" si="4"/>
        <v>0</v>
      </c>
      <c r="I30" s="188" t="str">
        <f t="shared" si="0"/>
        <v/>
      </c>
    </row>
    <row r="31" spans="2:16">
      <c r="B31" s="188">
        <v>15</v>
      </c>
      <c r="C31" s="188">
        <f t="shared" si="5"/>
        <v>11175</v>
      </c>
      <c r="D31" s="188">
        <f t="shared" si="1"/>
        <v>11175</v>
      </c>
      <c r="E31" s="188">
        <f t="shared" si="6"/>
        <v>11175</v>
      </c>
      <c r="F31" s="188">
        <f t="shared" si="2"/>
        <v>0</v>
      </c>
      <c r="G31" s="188">
        <f t="shared" si="3"/>
        <v>0</v>
      </c>
      <c r="H31" s="188">
        <f t="shared" si="4"/>
        <v>0</v>
      </c>
      <c r="I31" s="188" t="str">
        <f t="shared" si="0"/>
        <v/>
      </c>
    </row>
    <row r="32" spans="2:16">
      <c r="B32" s="188">
        <v>16</v>
      </c>
      <c r="C32" s="188">
        <f t="shared" si="5"/>
        <v>11920</v>
      </c>
      <c r="D32" s="188">
        <f t="shared" si="1"/>
        <v>11920</v>
      </c>
      <c r="E32" s="188">
        <f t="shared" si="6"/>
        <v>11920</v>
      </c>
      <c r="F32" s="188">
        <f t="shared" si="2"/>
        <v>0</v>
      </c>
      <c r="G32" s="188">
        <f t="shared" si="3"/>
        <v>0</v>
      </c>
      <c r="H32" s="188">
        <f t="shared" si="4"/>
        <v>0</v>
      </c>
      <c r="I32" s="188" t="str">
        <f t="shared" si="0"/>
        <v/>
      </c>
    </row>
    <row r="33" spans="2:9">
      <c r="B33" s="188">
        <v>17</v>
      </c>
      <c r="C33" s="188">
        <f t="shared" si="5"/>
        <v>12665</v>
      </c>
      <c r="D33" s="188">
        <f t="shared" si="1"/>
        <v>12665</v>
      </c>
      <c r="E33" s="188">
        <f t="shared" si="6"/>
        <v>12665</v>
      </c>
      <c r="F33" s="188">
        <f t="shared" si="2"/>
        <v>0</v>
      </c>
      <c r="G33" s="188">
        <f t="shared" si="3"/>
        <v>0</v>
      </c>
      <c r="H33" s="188">
        <f t="shared" si="4"/>
        <v>0</v>
      </c>
      <c r="I33" s="188" t="str">
        <f t="shared" si="0"/>
        <v/>
      </c>
    </row>
    <row r="34" spans="2:9">
      <c r="B34" s="188">
        <v>18</v>
      </c>
      <c r="C34" s="188">
        <f t="shared" si="5"/>
        <v>13410</v>
      </c>
      <c r="D34" s="188">
        <f t="shared" si="1"/>
        <v>13410</v>
      </c>
      <c r="E34" s="188">
        <f t="shared" si="6"/>
        <v>13410</v>
      </c>
      <c r="F34" s="188">
        <f t="shared" si="2"/>
        <v>0</v>
      </c>
      <c r="G34" s="188">
        <f t="shared" si="3"/>
        <v>0</v>
      </c>
      <c r="H34" s="188">
        <f t="shared" si="4"/>
        <v>0</v>
      </c>
      <c r="I34" s="188" t="str">
        <f t="shared" si="0"/>
        <v/>
      </c>
    </row>
    <row r="35" spans="2:9">
      <c r="B35" s="188">
        <v>19</v>
      </c>
      <c r="C35" s="188">
        <f t="shared" si="5"/>
        <v>14155</v>
      </c>
      <c r="D35" s="188">
        <f t="shared" si="1"/>
        <v>14155</v>
      </c>
      <c r="E35" s="188">
        <f t="shared" si="6"/>
        <v>14155</v>
      </c>
      <c r="F35" s="188">
        <f t="shared" si="2"/>
        <v>0</v>
      </c>
      <c r="G35" s="188">
        <f t="shared" si="3"/>
        <v>0</v>
      </c>
      <c r="H35" s="188">
        <f t="shared" si="4"/>
        <v>0</v>
      </c>
      <c r="I35" s="188" t="str">
        <f t="shared" si="0"/>
        <v/>
      </c>
    </row>
    <row r="36" spans="2:9">
      <c r="B36" s="188">
        <v>20</v>
      </c>
      <c r="C36" s="188">
        <f t="shared" si="5"/>
        <v>14900</v>
      </c>
      <c r="D36" s="188">
        <f t="shared" si="1"/>
        <v>14900</v>
      </c>
      <c r="E36" s="188">
        <f t="shared" si="6"/>
        <v>14900</v>
      </c>
      <c r="F36" s="188">
        <f t="shared" si="2"/>
        <v>0</v>
      </c>
      <c r="G36" s="188">
        <f t="shared" si="3"/>
        <v>0</v>
      </c>
      <c r="H36" s="188">
        <f t="shared" si="4"/>
        <v>0</v>
      </c>
      <c r="I36" s="188" t="str">
        <f t="shared" si="0"/>
        <v/>
      </c>
    </row>
    <row r="37" spans="2:9">
      <c r="B37" s="188">
        <v>21</v>
      </c>
      <c r="C37" s="188">
        <f t="shared" si="5"/>
        <v>15645</v>
      </c>
      <c r="D37" s="188">
        <f t="shared" si="1"/>
        <v>15645</v>
      </c>
      <c r="E37" s="188">
        <f t="shared" si="6"/>
        <v>15645</v>
      </c>
      <c r="F37" s="188">
        <f t="shared" si="2"/>
        <v>0</v>
      </c>
      <c r="G37" s="188">
        <f t="shared" si="3"/>
        <v>0</v>
      </c>
      <c r="H37" s="188">
        <f t="shared" si="4"/>
        <v>0</v>
      </c>
      <c r="I37" s="188" t="str">
        <f t="shared" si="0"/>
        <v/>
      </c>
    </row>
    <row r="38" spans="2:9">
      <c r="B38" s="188">
        <v>22</v>
      </c>
      <c r="C38" s="188">
        <f t="shared" si="5"/>
        <v>16390</v>
      </c>
      <c r="D38" s="188">
        <f t="shared" si="1"/>
        <v>16390</v>
      </c>
      <c r="E38" s="188">
        <f t="shared" si="6"/>
        <v>16390</v>
      </c>
      <c r="F38" s="188">
        <f t="shared" si="2"/>
        <v>0</v>
      </c>
      <c r="G38" s="188">
        <f t="shared" si="3"/>
        <v>0</v>
      </c>
      <c r="H38" s="188">
        <f t="shared" si="4"/>
        <v>0</v>
      </c>
      <c r="I38" s="188" t="str">
        <f t="shared" si="0"/>
        <v/>
      </c>
    </row>
    <row r="39" spans="2:9">
      <c r="B39" s="188">
        <v>23</v>
      </c>
      <c r="C39" s="188">
        <f t="shared" si="5"/>
        <v>17135</v>
      </c>
      <c r="D39" s="188">
        <f t="shared" si="1"/>
        <v>17135</v>
      </c>
      <c r="E39" s="188">
        <f t="shared" si="6"/>
        <v>17135</v>
      </c>
      <c r="F39" s="188">
        <f t="shared" si="2"/>
        <v>0</v>
      </c>
      <c r="G39" s="188">
        <f t="shared" si="3"/>
        <v>0</v>
      </c>
      <c r="H39" s="188">
        <f t="shared" si="4"/>
        <v>0</v>
      </c>
      <c r="I39" s="188" t="str">
        <f t="shared" si="0"/>
        <v/>
      </c>
    </row>
    <row r="40" spans="2:9">
      <c r="B40" s="188">
        <v>24</v>
      </c>
      <c r="C40" s="188">
        <f t="shared" si="5"/>
        <v>17880</v>
      </c>
      <c r="D40" s="188">
        <f t="shared" si="1"/>
        <v>17880</v>
      </c>
      <c r="E40" s="188">
        <f t="shared" si="6"/>
        <v>17880</v>
      </c>
      <c r="F40" s="188">
        <f t="shared" si="2"/>
        <v>0</v>
      </c>
      <c r="G40" s="188">
        <f t="shared" si="3"/>
        <v>0</v>
      </c>
      <c r="H40" s="188">
        <f t="shared" si="4"/>
        <v>0</v>
      </c>
      <c r="I40" s="188" t="str">
        <f t="shared" si="0"/>
        <v/>
      </c>
    </row>
    <row r="41" spans="2:9">
      <c r="B41" s="188">
        <v>25</v>
      </c>
      <c r="C41" s="188">
        <f t="shared" si="5"/>
        <v>18625</v>
      </c>
      <c r="D41" s="188">
        <f t="shared" si="1"/>
        <v>18625</v>
      </c>
      <c r="E41" s="188">
        <f t="shared" si="6"/>
        <v>18625</v>
      </c>
      <c r="F41" s="188">
        <f t="shared" si="2"/>
        <v>0</v>
      </c>
      <c r="G41" s="188">
        <f t="shared" si="3"/>
        <v>0</v>
      </c>
      <c r="H41" s="188">
        <f t="shared" si="4"/>
        <v>0</v>
      </c>
      <c r="I41" s="188" t="str">
        <f t="shared" si="0"/>
        <v/>
      </c>
    </row>
    <row r="42" spans="2:9">
      <c r="B42" s="188">
        <v>26</v>
      </c>
      <c r="C42" s="188">
        <f t="shared" si="5"/>
        <v>19370</v>
      </c>
      <c r="D42" s="188">
        <f t="shared" si="1"/>
        <v>19370</v>
      </c>
      <c r="E42" s="188">
        <f t="shared" si="6"/>
        <v>19370</v>
      </c>
      <c r="F42" s="188">
        <f t="shared" si="2"/>
        <v>0</v>
      </c>
      <c r="G42" s="188">
        <f t="shared" si="3"/>
        <v>0</v>
      </c>
      <c r="H42" s="188">
        <f t="shared" si="4"/>
        <v>0</v>
      </c>
      <c r="I42" s="188" t="str">
        <f t="shared" si="0"/>
        <v/>
      </c>
    </row>
    <row r="43" spans="2:9">
      <c r="B43" s="188">
        <v>27</v>
      </c>
      <c r="C43" s="188">
        <f t="shared" si="5"/>
        <v>745</v>
      </c>
      <c r="D43" s="188">
        <f t="shared" si="1"/>
        <v>745</v>
      </c>
      <c r="E43" s="188">
        <f t="shared" si="6"/>
        <v>745</v>
      </c>
      <c r="F43" s="188">
        <f t="shared" si="2"/>
        <v>1</v>
      </c>
      <c r="G43" s="188">
        <f t="shared" si="3"/>
        <v>1</v>
      </c>
      <c r="H43" s="188">
        <f t="shared" si="4"/>
        <v>1</v>
      </c>
      <c r="I43" s="188">
        <f t="shared" si="0"/>
        <v>1</v>
      </c>
    </row>
    <row r="44" spans="2:9">
      <c r="B44" s="188">
        <v>28</v>
      </c>
      <c r="C44" s="188">
        <f t="shared" si="5"/>
        <v>1490</v>
      </c>
      <c r="D44" s="188">
        <f t="shared" si="1"/>
        <v>1490</v>
      </c>
      <c r="E44" s="188">
        <f t="shared" si="6"/>
        <v>1490</v>
      </c>
      <c r="F44" s="188">
        <f t="shared" si="2"/>
        <v>0</v>
      </c>
      <c r="G44" s="188">
        <f t="shared" si="3"/>
        <v>0</v>
      </c>
      <c r="H44" s="188">
        <f t="shared" si="4"/>
        <v>0</v>
      </c>
      <c r="I44" s="188" t="str">
        <f t="shared" si="0"/>
        <v/>
      </c>
    </row>
    <row r="45" spans="2:9">
      <c r="B45" s="188">
        <v>29</v>
      </c>
      <c r="C45" s="188">
        <f t="shared" si="5"/>
        <v>2235</v>
      </c>
      <c r="D45" s="188">
        <f t="shared" si="1"/>
        <v>2235</v>
      </c>
      <c r="E45" s="188">
        <f t="shared" si="6"/>
        <v>2235</v>
      </c>
      <c r="F45" s="188">
        <f t="shared" si="2"/>
        <v>0</v>
      </c>
      <c r="G45" s="188">
        <f t="shared" si="3"/>
        <v>0</v>
      </c>
      <c r="H45" s="188">
        <f t="shared" si="4"/>
        <v>0</v>
      </c>
      <c r="I45" s="188" t="str">
        <f t="shared" si="0"/>
        <v/>
      </c>
    </row>
    <row r="46" spans="2:9">
      <c r="B46" s="188">
        <v>30</v>
      </c>
      <c r="C46" s="188">
        <f t="shared" si="5"/>
        <v>2980</v>
      </c>
      <c r="D46" s="188">
        <f t="shared" si="1"/>
        <v>2980</v>
      </c>
      <c r="E46" s="188">
        <f t="shared" si="6"/>
        <v>2980</v>
      </c>
      <c r="F46" s="188">
        <f t="shared" si="2"/>
        <v>0</v>
      </c>
      <c r="G46" s="188">
        <f t="shared" si="3"/>
        <v>0</v>
      </c>
      <c r="H46" s="188">
        <f t="shared" si="4"/>
        <v>0</v>
      </c>
      <c r="I46" s="188" t="str">
        <f t="shared" si="0"/>
        <v/>
      </c>
    </row>
    <row r="47" spans="2:9">
      <c r="B47" s="188">
        <v>31</v>
      </c>
      <c r="C47" s="188">
        <f t="shared" si="5"/>
        <v>3725</v>
      </c>
      <c r="D47" s="188">
        <f t="shared" si="1"/>
        <v>3725</v>
      </c>
      <c r="E47" s="188">
        <f t="shared" si="6"/>
        <v>3725</v>
      </c>
      <c r="F47" s="188">
        <f t="shared" si="2"/>
        <v>0</v>
      </c>
      <c r="G47" s="188">
        <f t="shared" si="3"/>
        <v>0</v>
      </c>
      <c r="H47" s="188">
        <f t="shared" si="4"/>
        <v>0</v>
      </c>
      <c r="I47" s="188" t="str">
        <f t="shared" si="0"/>
        <v/>
      </c>
    </row>
    <row r="48" spans="2:9">
      <c r="B48" s="188">
        <v>32</v>
      </c>
      <c r="C48" s="188">
        <f t="shared" si="5"/>
        <v>4470</v>
      </c>
      <c r="D48" s="188">
        <f t="shared" si="1"/>
        <v>4470</v>
      </c>
      <c r="E48" s="188">
        <f t="shared" si="6"/>
        <v>4470</v>
      </c>
      <c r="F48" s="188">
        <f t="shared" si="2"/>
        <v>0</v>
      </c>
      <c r="G48" s="188">
        <f t="shared" si="3"/>
        <v>0</v>
      </c>
      <c r="H48" s="188">
        <f t="shared" si="4"/>
        <v>0</v>
      </c>
      <c r="I48" s="188" t="str">
        <f t="shared" si="0"/>
        <v/>
      </c>
    </row>
    <row r="49" spans="2:9">
      <c r="B49" s="188">
        <v>33</v>
      </c>
      <c r="C49" s="188">
        <f t="shared" si="5"/>
        <v>5215</v>
      </c>
      <c r="D49" s="188">
        <f t="shared" si="1"/>
        <v>5215</v>
      </c>
      <c r="E49" s="188">
        <f t="shared" si="6"/>
        <v>5215</v>
      </c>
      <c r="F49" s="188">
        <f t="shared" si="2"/>
        <v>0</v>
      </c>
      <c r="G49" s="188">
        <f t="shared" si="3"/>
        <v>0</v>
      </c>
      <c r="H49" s="188">
        <f t="shared" si="4"/>
        <v>0</v>
      </c>
      <c r="I49" s="188" t="str">
        <f t="shared" si="0"/>
        <v/>
      </c>
    </row>
    <row r="50" spans="2:9">
      <c r="B50" s="188">
        <v>34</v>
      </c>
      <c r="C50" s="188">
        <f t="shared" si="5"/>
        <v>5960</v>
      </c>
      <c r="D50" s="188">
        <f t="shared" si="1"/>
        <v>5960</v>
      </c>
      <c r="E50" s="188">
        <f t="shared" si="6"/>
        <v>5960</v>
      </c>
      <c r="F50" s="188">
        <f t="shared" si="2"/>
        <v>0</v>
      </c>
      <c r="G50" s="188">
        <f t="shared" si="3"/>
        <v>0</v>
      </c>
      <c r="H50" s="188">
        <f t="shared" si="4"/>
        <v>0</v>
      </c>
      <c r="I50" s="188" t="str">
        <f t="shared" si="0"/>
        <v/>
      </c>
    </row>
    <row r="51" spans="2:9">
      <c r="B51" s="188">
        <v>35</v>
      </c>
      <c r="C51" s="188">
        <f t="shared" si="5"/>
        <v>6705</v>
      </c>
      <c r="D51" s="188">
        <f t="shared" si="1"/>
        <v>6705</v>
      </c>
      <c r="E51" s="188">
        <f t="shared" si="6"/>
        <v>6705</v>
      </c>
      <c r="F51" s="188">
        <f t="shared" si="2"/>
        <v>0</v>
      </c>
      <c r="G51" s="188">
        <f t="shared" si="3"/>
        <v>0</v>
      </c>
      <c r="H51" s="188">
        <f t="shared" si="4"/>
        <v>0</v>
      </c>
      <c r="I51" s="188" t="str">
        <f t="shared" si="0"/>
        <v/>
      </c>
    </row>
    <row r="52" spans="2:9">
      <c r="B52" s="188">
        <v>36</v>
      </c>
      <c r="C52" s="188">
        <f t="shared" si="5"/>
        <v>7450</v>
      </c>
      <c r="D52" s="188">
        <f t="shared" si="1"/>
        <v>7450</v>
      </c>
      <c r="E52" s="188">
        <f t="shared" si="6"/>
        <v>7450</v>
      </c>
      <c r="F52" s="188">
        <f t="shared" si="2"/>
        <v>0</v>
      </c>
      <c r="G52" s="188">
        <f t="shared" si="3"/>
        <v>0</v>
      </c>
      <c r="H52" s="188">
        <f t="shared" si="4"/>
        <v>0</v>
      </c>
      <c r="I52" s="188" t="str">
        <f t="shared" si="0"/>
        <v/>
      </c>
    </row>
    <row r="53" spans="2:9">
      <c r="B53" s="188">
        <v>37</v>
      </c>
      <c r="C53" s="188">
        <f t="shared" si="5"/>
        <v>8195</v>
      </c>
      <c r="D53" s="188">
        <f t="shared" si="1"/>
        <v>8195</v>
      </c>
      <c r="E53" s="188">
        <f t="shared" si="6"/>
        <v>8195</v>
      </c>
      <c r="F53" s="188">
        <f t="shared" si="2"/>
        <v>0</v>
      </c>
      <c r="G53" s="188">
        <f t="shared" si="3"/>
        <v>0</v>
      </c>
      <c r="H53" s="188">
        <f t="shared" si="4"/>
        <v>0</v>
      </c>
      <c r="I53" s="188" t="str">
        <f t="shared" si="0"/>
        <v/>
      </c>
    </row>
    <row r="54" spans="2:9">
      <c r="B54" s="188">
        <v>38</v>
      </c>
      <c r="C54" s="188">
        <f t="shared" si="5"/>
        <v>8940</v>
      </c>
      <c r="D54" s="188">
        <f t="shared" si="1"/>
        <v>8940</v>
      </c>
      <c r="E54" s="188">
        <f t="shared" si="6"/>
        <v>8940</v>
      </c>
      <c r="F54" s="188">
        <f t="shared" si="2"/>
        <v>0</v>
      </c>
      <c r="G54" s="188">
        <f t="shared" si="3"/>
        <v>0</v>
      </c>
      <c r="H54" s="188">
        <f t="shared" si="4"/>
        <v>0</v>
      </c>
      <c r="I54" s="188" t="str">
        <f t="shared" si="0"/>
        <v/>
      </c>
    </row>
    <row r="55" spans="2:9">
      <c r="B55" s="188">
        <v>39</v>
      </c>
      <c r="C55" s="188">
        <f t="shared" si="5"/>
        <v>9685</v>
      </c>
      <c r="D55" s="188">
        <f t="shared" si="1"/>
        <v>9685</v>
      </c>
      <c r="E55" s="188">
        <f t="shared" si="6"/>
        <v>9685</v>
      </c>
      <c r="F55" s="188">
        <f t="shared" si="2"/>
        <v>0</v>
      </c>
      <c r="G55" s="188">
        <f t="shared" si="3"/>
        <v>0</v>
      </c>
      <c r="H55" s="188">
        <f t="shared" si="4"/>
        <v>0</v>
      </c>
      <c r="I55" s="188" t="str">
        <f t="shared" si="0"/>
        <v/>
      </c>
    </row>
    <row r="56" spans="2:9">
      <c r="B56" s="188">
        <v>40</v>
      </c>
      <c r="C56" s="188">
        <f t="shared" si="5"/>
        <v>10430</v>
      </c>
      <c r="D56" s="188">
        <f t="shared" si="1"/>
        <v>10430</v>
      </c>
      <c r="E56" s="188">
        <f t="shared" si="6"/>
        <v>10430</v>
      </c>
      <c r="F56" s="188">
        <f t="shared" si="2"/>
        <v>0</v>
      </c>
      <c r="G56" s="188">
        <f t="shared" si="3"/>
        <v>0</v>
      </c>
      <c r="H56" s="188">
        <f t="shared" si="4"/>
        <v>0</v>
      </c>
      <c r="I56" s="188" t="str">
        <f t="shared" si="0"/>
        <v/>
      </c>
    </row>
    <row r="57" spans="2:9">
      <c r="B57" s="188">
        <v>41</v>
      </c>
      <c r="C57" s="188">
        <f t="shared" si="5"/>
        <v>11175</v>
      </c>
      <c r="D57" s="188">
        <f t="shared" si="1"/>
        <v>11175</v>
      </c>
      <c r="E57" s="188">
        <f t="shared" si="6"/>
        <v>11175</v>
      </c>
      <c r="F57" s="188">
        <f t="shared" si="2"/>
        <v>0</v>
      </c>
      <c r="G57" s="188">
        <f t="shared" si="3"/>
        <v>0</v>
      </c>
      <c r="H57" s="188">
        <f t="shared" si="4"/>
        <v>0</v>
      </c>
      <c r="I57" s="188" t="str">
        <f t="shared" si="0"/>
        <v/>
      </c>
    </row>
    <row r="58" spans="2:9">
      <c r="B58" s="188">
        <v>42</v>
      </c>
      <c r="C58" s="188">
        <f t="shared" si="5"/>
        <v>11920</v>
      </c>
      <c r="D58" s="188">
        <f t="shared" si="1"/>
        <v>11920</v>
      </c>
      <c r="E58" s="188">
        <f t="shared" si="6"/>
        <v>11920</v>
      </c>
      <c r="F58" s="188">
        <f t="shared" si="2"/>
        <v>0</v>
      </c>
      <c r="G58" s="188">
        <f t="shared" si="3"/>
        <v>0</v>
      </c>
      <c r="H58" s="188">
        <f t="shared" si="4"/>
        <v>0</v>
      </c>
      <c r="I58" s="188" t="str">
        <f t="shared" si="0"/>
        <v/>
      </c>
    </row>
    <row r="59" spans="2:9">
      <c r="B59" s="188">
        <v>43</v>
      </c>
      <c r="C59" s="188">
        <f t="shared" si="5"/>
        <v>12665</v>
      </c>
      <c r="D59" s="188">
        <f t="shared" si="1"/>
        <v>12665</v>
      </c>
      <c r="E59" s="188">
        <f t="shared" si="6"/>
        <v>12665</v>
      </c>
      <c r="F59" s="188">
        <f t="shared" si="2"/>
        <v>0</v>
      </c>
      <c r="G59" s="188">
        <f t="shared" si="3"/>
        <v>0</v>
      </c>
      <c r="H59" s="188">
        <f t="shared" si="4"/>
        <v>0</v>
      </c>
      <c r="I59" s="188" t="str">
        <f t="shared" si="0"/>
        <v/>
      </c>
    </row>
    <row r="60" spans="2:9">
      <c r="B60" s="188">
        <v>44</v>
      </c>
      <c r="C60" s="188">
        <f t="shared" si="5"/>
        <v>13410</v>
      </c>
      <c r="D60" s="188">
        <f t="shared" si="1"/>
        <v>13410</v>
      </c>
      <c r="E60" s="188">
        <f t="shared" si="6"/>
        <v>13410</v>
      </c>
      <c r="F60" s="188">
        <f t="shared" si="2"/>
        <v>0</v>
      </c>
      <c r="G60" s="188">
        <f t="shared" si="3"/>
        <v>0</v>
      </c>
      <c r="H60" s="188">
        <f t="shared" si="4"/>
        <v>0</v>
      </c>
      <c r="I60" s="188" t="str">
        <f t="shared" si="0"/>
        <v/>
      </c>
    </row>
    <row r="61" spans="2:9">
      <c r="B61" s="188">
        <v>45</v>
      </c>
      <c r="C61" s="188">
        <f t="shared" si="5"/>
        <v>14155</v>
      </c>
      <c r="D61" s="188">
        <f t="shared" si="1"/>
        <v>14155</v>
      </c>
      <c r="E61" s="188">
        <f t="shared" si="6"/>
        <v>14155</v>
      </c>
      <c r="F61" s="188">
        <f t="shared" si="2"/>
        <v>0</v>
      </c>
      <c r="G61" s="188">
        <f t="shared" si="3"/>
        <v>0</v>
      </c>
      <c r="H61" s="188">
        <f t="shared" si="4"/>
        <v>0</v>
      </c>
      <c r="I61" s="188" t="str">
        <f t="shared" si="0"/>
        <v/>
      </c>
    </row>
    <row r="62" spans="2:9">
      <c r="B62" s="188">
        <v>46</v>
      </c>
      <c r="C62" s="188">
        <f t="shared" si="5"/>
        <v>14900</v>
      </c>
      <c r="D62" s="188">
        <f t="shared" si="1"/>
        <v>14900</v>
      </c>
      <c r="E62" s="188">
        <f t="shared" si="6"/>
        <v>14900</v>
      </c>
      <c r="F62" s="188">
        <f t="shared" si="2"/>
        <v>0</v>
      </c>
      <c r="G62" s="188">
        <f t="shared" si="3"/>
        <v>0</v>
      </c>
      <c r="H62" s="188">
        <f t="shared" si="4"/>
        <v>0</v>
      </c>
      <c r="I62" s="188" t="str">
        <f t="shared" si="0"/>
        <v/>
      </c>
    </row>
    <row r="63" spans="2:9">
      <c r="B63" s="188">
        <v>47</v>
      </c>
      <c r="C63" s="188">
        <f t="shared" si="5"/>
        <v>15645</v>
      </c>
      <c r="D63" s="188">
        <f t="shared" si="1"/>
        <v>15645</v>
      </c>
      <c r="E63" s="188">
        <f t="shared" si="6"/>
        <v>15645</v>
      </c>
      <c r="F63" s="188">
        <f t="shared" si="2"/>
        <v>0</v>
      </c>
      <c r="G63" s="188">
        <f t="shared" si="3"/>
        <v>0</v>
      </c>
      <c r="H63" s="188">
        <f t="shared" si="4"/>
        <v>0</v>
      </c>
      <c r="I63" s="188" t="str">
        <f t="shared" si="0"/>
        <v/>
      </c>
    </row>
    <row r="64" spans="2:9">
      <c r="B64" s="188">
        <v>48</v>
      </c>
      <c r="C64" s="188">
        <f t="shared" si="5"/>
        <v>16390</v>
      </c>
      <c r="D64" s="188">
        <f t="shared" si="1"/>
        <v>16390</v>
      </c>
      <c r="E64" s="188">
        <f t="shared" si="6"/>
        <v>16390</v>
      </c>
      <c r="F64" s="188">
        <f t="shared" si="2"/>
        <v>0</v>
      </c>
      <c r="G64" s="188">
        <f t="shared" si="3"/>
        <v>0</v>
      </c>
      <c r="H64" s="188">
        <f t="shared" si="4"/>
        <v>0</v>
      </c>
      <c r="I64" s="188" t="str">
        <f t="shared" si="0"/>
        <v/>
      </c>
    </row>
    <row r="65" spans="2:9">
      <c r="B65" s="188">
        <v>49</v>
      </c>
      <c r="C65" s="188">
        <f t="shared" si="5"/>
        <v>17135</v>
      </c>
      <c r="D65" s="188">
        <f t="shared" si="1"/>
        <v>17135</v>
      </c>
      <c r="E65" s="188">
        <f t="shared" si="6"/>
        <v>17135</v>
      </c>
      <c r="F65" s="188">
        <f t="shared" si="2"/>
        <v>0</v>
      </c>
      <c r="G65" s="188">
        <f t="shared" si="3"/>
        <v>0</v>
      </c>
      <c r="H65" s="188">
        <f t="shared" si="4"/>
        <v>0</v>
      </c>
      <c r="I65" s="188" t="str">
        <f t="shared" si="0"/>
        <v/>
      </c>
    </row>
    <row r="66" spans="2:9">
      <c r="B66" s="188">
        <v>50</v>
      </c>
      <c r="C66" s="188">
        <f t="shared" si="5"/>
        <v>17880</v>
      </c>
      <c r="D66" s="188">
        <f t="shared" si="1"/>
        <v>17880</v>
      </c>
      <c r="E66" s="188">
        <f t="shared" si="6"/>
        <v>17880</v>
      </c>
      <c r="F66" s="188">
        <f t="shared" si="2"/>
        <v>0</v>
      </c>
      <c r="G66" s="188">
        <f t="shared" si="3"/>
        <v>0</v>
      </c>
      <c r="H66" s="188">
        <f t="shared" si="4"/>
        <v>0</v>
      </c>
      <c r="I66" s="188" t="str">
        <f t="shared" si="0"/>
        <v/>
      </c>
    </row>
    <row r="67" spans="2:9">
      <c r="B67" s="188">
        <v>51</v>
      </c>
      <c r="C67" s="188">
        <f t="shared" si="5"/>
        <v>18625</v>
      </c>
      <c r="D67" s="188">
        <f t="shared" si="1"/>
        <v>18625</v>
      </c>
      <c r="E67" s="188">
        <f t="shared" si="6"/>
        <v>18625</v>
      </c>
      <c r="F67" s="188">
        <f t="shared" si="2"/>
        <v>0</v>
      </c>
      <c r="G67" s="188">
        <f t="shared" si="3"/>
        <v>0</v>
      </c>
      <c r="H67" s="188">
        <f t="shared" si="4"/>
        <v>0</v>
      </c>
      <c r="I67" s="188" t="str">
        <f t="shared" si="0"/>
        <v/>
      </c>
    </row>
    <row r="68" spans="2:9">
      <c r="B68" s="188">
        <v>52</v>
      </c>
      <c r="C68" s="188">
        <f t="shared" si="5"/>
        <v>19370</v>
      </c>
      <c r="D68" s="188">
        <f t="shared" si="1"/>
        <v>19370</v>
      </c>
      <c r="E68" s="188">
        <f t="shared" si="6"/>
        <v>19370</v>
      </c>
      <c r="F68" s="188">
        <f t="shared" si="2"/>
        <v>0</v>
      </c>
      <c r="G68" s="188">
        <f t="shared" si="3"/>
        <v>0</v>
      </c>
      <c r="H68" s="188">
        <f t="shared" si="4"/>
        <v>0</v>
      </c>
      <c r="I68" s="188" t="str">
        <f t="shared" si="0"/>
        <v/>
      </c>
    </row>
    <row r="69" spans="2:9">
      <c r="B69" s="188">
        <v>53</v>
      </c>
      <c r="C69" s="188">
        <f t="shared" si="5"/>
        <v>745</v>
      </c>
      <c r="D69" s="188">
        <f t="shared" si="1"/>
        <v>745</v>
      </c>
      <c r="E69" s="188">
        <f t="shared" si="6"/>
        <v>745</v>
      </c>
      <c r="F69" s="188">
        <f t="shared" si="2"/>
        <v>1</v>
      </c>
      <c r="G69" s="188">
        <f t="shared" si="3"/>
        <v>1</v>
      </c>
      <c r="H69" s="188">
        <f t="shared" si="4"/>
        <v>1</v>
      </c>
      <c r="I69" s="188">
        <f t="shared" si="0"/>
        <v>1</v>
      </c>
    </row>
    <row r="70" spans="2:9">
      <c r="B70" s="188">
        <v>54</v>
      </c>
      <c r="C70" s="188">
        <f t="shared" si="5"/>
        <v>1490</v>
      </c>
      <c r="D70" s="188">
        <f t="shared" si="1"/>
        <v>1490</v>
      </c>
      <c r="E70" s="188">
        <f t="shared" si="6"/>
        <v>1490</v>
      </c>
      <c r="F70" s="188">
        <f t="shared" si="2"/>
        <v>0</v>
      </c>
      <c r="G70" s="188">
        <f t="shared" si="3"/>
        <v>0</v>
      </c>
      <c r="H70" s="188">
        <f t="shared" si="4"/>
        <v>0</v>
      </c>
      <c r="I70" s="188" t="str">
        <f t="shared" si="0"/>
        <v/>
      </c>
    </row>
    <row r="71" spans="2:9">
      <c r="B71" s="188">
        <v>55</v>
      </c>
      <c r="C71" s="188">
        <f t="shared" si="5"/>
        <v>2235</v>
      </c>
      <c r="D71" s="188">
        <f t="shared" si="1"/>
        <v>2235</v>
      </c>
      <c r="E71" s="188">
        <f t="shared" si="6"/>
        <v>2235</v>
      </c>
      <c r="F71" s="188">
        <f t="shared" si="2"/>
        <v>0</v>
      </c>
      <c r="G71" s="188">
        <f t="shared" si="3"/>
        <v>0</v>
      </c>
      <c r="H71" s="188">
        <f t="shared" si="4"/>
        <v>0</v>
      </c>
      <c r="I71" s="188" t="str">
        <f t="shared" si="0"/>
        <v/>
      </c>
    </row>
    <row r="72" spans="2:9">
      <c r="B72" s="188">
        <v>56</v>
      </c>
      <c r="C72" s="188">
        <f t="shared" si="5"/>
        <v>2980</v>
      </c>
      <c r="D72" s="188">
        <f t="shared" si="1"/>
        <v>2980</v>
      </c>
      <c r="E72" s="188">
        <f t="shared" si="6"/>
        <v>2980</v>
      </c>
      <c r="F72" s="188">
        <f t="shared" si="2"/>
        <v>0</v>
      </c>
      <c r="G72" s="188">
        <f t="shared" si="3"/>
        <v>0</v>
      </c>
      <c r="H72" s="188">
        <f t="shared" si="4"/>
        <v>0</v>
      </c>
      <c r="I72" s="188" t="str">
        <f t="shared" si="0"/>
        <v/>
      </c>
    </row>
    <row r="73" spans="2:9">
      <c r="B73" s="188">
        <v>57</v>
      </c>
      <c r="C73" s="188">
        <f t="shared" si="5"/>
        <v>3725</v>
      </c>
      <c r="D73" s="188">
        <f t="shared" si="1"/>
        <v>3725</v>
      </c>
      <c r="E73" s="188">
        <f t="shared" si="6"/>
        <v>3725</v>
      </c>
      <c r="F73" s="188">
        <f t="shared" si="2"/>
        <v>0</v>
      </c>
      <c r="G73" s="188">
        <f t="shared" si="3"/>
        <v>0</v>
      </c>
      <c r="H73" s="188">
        <f t="shared" si="4"/>
        <v>0</v>
      </c>
      <c r="I73" s="188" t="str">
        <f t="shared" si="0"/>
        <v/>
      </c>
    </row>
    <row r="74" spans="2:9">
      <c r="B74" s="188">
        <v>58</v>
      </c>
      <c r="C74" s="188">
        <f t="shared" si="5"/>
        <v>4470</v>
      </c>
      <c r="D74" s="188">
        <f t="shared" si="1"/>
        <v>4470</v>
      </c>
      <c r="E74" s="188">
        <f t="shared" si="6"/>
        <v>4470</v>
      </c>
      <c r="F74" s="188">
        <f t="shared" si="2"/>
        <v>0</v>
      </c>
      <c r="G74" s="188">
        <f t="shared" si="3"/>
        <v>0</v>
      </c>
      <c r="H74" s="188">
        <f t="shared" si="4"/>
        <v>0</v>
      </c>
      <c r="I74" s="188" t="str">
        <f t="shared" si="0"/>
        <v/>
      </c>
    </row>
    <row r="75" spans="2:9">
      <c r="B75" s="188">
        <v>59</v>
      </c>
      <c r="C75" s="188">
        <f t="shared" si="5"/>
        <v>5215</v>
      </c>
      <c r="D75" s="188">
        <f t="shared" si="1"/>
        <v>5215</v>
      </c>
      <c r="E75" s="188">
        <f t="shared" si="6"/>
        <v>5215</v>
      </c>
      <c r="F75" s="188">
        <f t="shared" si="2"/>
        <v>0</v>
      </c>
      <c r="G75" s="188">
        <f t="shared" si="3"/>
        <v>0</v>
      </c>
      <c r="H75" s="188">
        <f t="shared" si="4"/>
        <v>0</v>
      </c>
      <c r="I75" s="188" t="str">
        <f t="shared" si="0"/>
        <v/>
      </c>
    </row>
    <row r="76" spans="2:9">
      <c r="B76" s="188">
        <v>60</v>
      </c>
      <c r="C76" s="188">
        <f t="shared" si="5"/>
        <v>5960</v>
      </c>
      <c r="D76" s="188">
        <f t="shared" si="1"/>
        <v>5960</v>
      </c>
      <c r="E76" s="188">
        <f t="shared" si="6"/>
        <v>5960</v>
      </c>
      <c r="F76" s="188">
        <f t="shared" si="2"/>
        <v>0</v>
      </c>
      <c r="G76" s="188">
        <f t="shared" si="3"/>
        <v>0</v>
      </c>
      <c r="H76" s="188">
        <f t="shared" si="4"/>
        <v>0</v>
      </c>
      <c r="I76" s="188" t="str">
        <f t="shared" si="0"/>
        <v/>
      </c>
    </row>
    <row r="77" spans="2:9">
      <c r="B77" s="188">
        <v>61</v>
      </c>
      <c r="C77" s="188">
        <f t="shared" si="5"/>
        <v>6705</v>
      </c>
      <c r="D77" s="188">
        <f t="shared" si="1"/>
        <v>6705</v>
      </c>
      <c r="E77" s="188">
        <f t="shared" si="6"/>
        <v>6705</v>
      </c>
      <c r="F77" s="188">
        <f t="shared" si="2"/>
        <v>0</v>
      </c>
      <c r="G77" s="188">
        <f t="shared" si="3"/>
        <v>0</v>
      </c>
      <c r="H77" s="188">
        <f t="shared" si="4"/>
        <v>0</v>
      </c>
      <c r="I77" s="188" t="str">
        <f t="shared" si="0"/>
        <v/>
      </c>
    </row>
    <row r="78" spans="2:9">
      <c r="B78" s="188">
        <v>62</v>
      </c>
      <c r="C78" s="188">
        <f t="shared" si="5"/>
        <v>7450</v>
      </c>
      <c r="D78" s="188">
        <f t="shared" si="1"/>
        <v>7450</v>
      </c>
      <c r="E78" s="188">
        <f t="shared" si="6"/>
        <v>7450</v>
      </c>
      <c r="F78" s="188">
        <f t="shared" si="2"/>
        <v>0</v>
      </c>
      <c r="G78" s="188">
        <f t="shared" si="3"/>
        <v>0</v>
      </c>
      <c r="H78" s="188">
        <f t="shared" si="4"/>
        <v>0</v>
      </c>
      <c r="I78" s="188" t="str">
        <f t="shared" si="0"/>
        <v/>
      </c>
    </row>
    <row r="79" spans="2:9">
      <c r="B79" s="188">
        <v>63</v>
      </c>
      <c r="C79" s="188">
        <f t="shared" si="5"/>
        <v>8195</v>
      </c>
      <c r="D79" s="188">
        <f t="shared" si="1"/>
        <v>8195</v>
      </c>
      <c r="E79" s="188">
        <f t="shared" si="6"/>
        <v>8195</v>
      </c>
      <c r="F79" s="188">
        <f t="shared" si="2"/>
        <v>0</v>
      </c>
      <c r="G79" s="188">
        <f t="shared" si="3"/>
        <v>0</v>
      </c>
      <c r="H79" s="188">
        <f t="shared" si="4"/>
        <v>0</v>
      </c>
      <c r="I79" s="188" t="str">
        <f t="shared" si="0"/>
        <v/>
      </c>
    </row>
    <row r="80" spans="2:9">
      <c r="B80" s="188">
        <v>64</v>
      </c>
      <c r="C80" s="188">
        <f t="shared" si="5"/>
        <v>8940</v>
      </c>
      <c r="D80" s="188">
        <f t="shared" si="1"/>
        <v>8940</v>
      </c>
      <c r="E80" s="188">
        <f t="shared" si="6"/>
        <v>8940</v>
      </c>
      <c r="F80" s="188">
        <f t="shared" si="2"/>
        <v>0</v>
      </c>
      <c r="G80" s="188">
        <f t="shared" si="3"/>
        <v>0</v>
      </c>
      <c r="H80" s="188">
        <f t="shared" si="4"/>
        <v>0</v>
      </c>
      <c r="I80" s="188" t="str">
        <f t="shared" si="0"/>
        <v/>
      </c>
    </row>
    <row r="81" spans="2:9">
      <c r="B81" s="188">
        <v>65</v>
      </c>
      <c r="C81" s="188">
        <f t="shared" si="5"/>
        <v>9685</v>
      </c>
      <c r="D81" s="188">
        <f t="shared" si="1"/>
        <v>9685</v>
      </c>
      <c r="E81" s="188">
        <f t="shared" si="6"/>
        <v>9685</v>
      </c>
      <c r="F81" s="188">
        <f t="shared" si="2"/>
        <v>0</v>
      </c>
      <c r="G81" s="188">
        <f t="shared" si="3"/>
        <v>0</v>
      </c>
      <c r="H81" s="188">
        <f t="shared" si="4"/>
        <v>0</v>
      </c>
      <c r="I81" s="188" t="str">
        <f t="shared" ref="I81:I144" si="7">IF(SUM(F81:H81)&gt;0,1,"")</f>
        <v/>
      </c>
    </row>
    <row r="82" spans="2:9">
      <c r="B82" s="188">
        <v>66</v>
      </c>
      <c r="C82" s="188">
        <f t="shared" ref="C82:C145" si="8">IF(C81+$B$3&gt;$F$8,$B$3,C81+$B$3)</f>
        <v>10430</v>
      </c>
      <c r="D82" s="188">
        <f t="shared" ref="D82:D145" si="9">IF($D$17 = 0, 0, IF(D81+$B$3&gt;$F$9,$B$3,D81+$B$3))</f>
        <v>10430</v>
      </c>
      <c r="E82" s="188">
        <f t="shared" ref="E82:E145" si="10">IF($E$17 = 0, 0, IF(E81+$B$3&gt;$F$10,$B$3,E81+$B$3))</f>
        <v>10430</v>
      </c>
      <c r="F82" s="188">
        <f t="shared" ref="F82:F145" si="11">IF((C82=$B$3),1,0)</f>
        <v>0</v>
      </c>
      <c r="G82" s="188">
        <f t="shared" ref="G82:G145" si="12">IF((D82=$B$3),1,0)</f>
        <v>0</v>
      </c>
      <c r="H82" s="188">
        <f t="shared" ref="H82:H145" si="13">IF((E82=$B$3),1,0)</f>
        <v>0</v>
      </c>
      <c r="I82" s="188" t="str">
        <f t="shared" si="7"/>
        <v/>
      </c>
    </row>
    <row r="83" spans="2:9">
      <c r="B83" s="188">
        <v>67</v>
      </c>
      <c r="C83" s="188">
        <f t="shared" si="8"/>
        <v>11175</v>
      </c>
      <c r="D83" s="188">
        <f t="shared" si="9"/>
        <v>11175</v>
      </c>
      <c r="E83" s="188">
        <f t="shared" si="10"/>
        <v>11175</v>
      </c>
      <c r="F83" s="188">
        <f t="shared" si="11"/>
        <v>0</v>
      </c>
      <c r="G83" s="188">
        <f t="shared" si="12"/>
        <v>0</v>
      </c>
      <c r="H83" s="188">
        <f t="shared" si="13"/>
        <v>0</v>
      </c>
      <c r="I83" s="188" t="str">
        <f t="shared" si="7"/>
        <v/>
      </c>
    </row>
    <row r="84" spans="2:9">
      <c r="B84" s="188">
        <v>68</v>
      </c>
      <c r="C84" s="188">
        <f t="shared" si="8"/>
        <v>11920</v>
      </c>
      <c r="D84" s="188">
        <f t="shared" si="9"/>
        <v>11920</v>
      </c>
      <c r="E84" s="188">
        <f t="shared" si="10"/>
        <v>11920</v>
      </c>
      <c r="F84" s="188">
        <f t="shared" si="11"/>
        <v>0</v>
      </c>
      <c r="G84" s="188">
        <f t="shared" si="12"/>
        <v>0</v>
      </c>
      <c r="H84" s="188">
        <f t="shared" si="13"/>
        <v>0</v>
      </c>
      <c r="I84" s="188" t="str">
        <f t="shared" si="7"/>
        <v/>
      </c>
    </row>
    <row r="85" spans="2:9">
      <c r="B85" s="188">
        <v>69</v>
      </c>
      <c r="C85" s="188">
        <f t="shared" si="8"/>
        <v>12665</v>
      </c>
      <c r="D85" s="188">
        <f t="shared" si="9"/>
        <v>12665</v>
      </c>
      <c r="E85" s="188">
        <f t="shared" si="10"/>
        <v>12665</v>
      </c>
      <c r="F85" s="188">
        <f t="shared" si="11"/>
        <v>0</v>
      </c>
      <c r="G85" s="188">
        <f t="shared" si="12"/>
        <v>0</v>
      </c>
      <c r="H85" s="188">
        <f t="shared" si="13"/>
        <v>0</v>
      </c>
      <c r="I85" s="188" t="str">
        <f t="shared" si="7"/>
        <v/>
      </c>
    </row>
    <row r="86" spans="2:9">
      <c r="B86" s="188">
        <v>70</v>
      </c>
      <c r="C86" s="188">
        <f t="shared" si="8"/>
        <v>13410</v>
      </c>
      <c r="D86" s="188">
        <f t="shared" si="9"/>
        <v>13410</v>
      </c>
      <c r="E86" s="188">
        <f t="shared" si="10"/>
        <v>13410</v>
      </c>
      <c r="F86" s="188">
        <f t="shared" si="11"/>
        <v>0</v>
      </c>
      <c r="G86" s="188">
        <f t="shared" si="12"/>
        <v>0</v>
      </c>
      <c r="H86" s="188">
        <f t="shared" si="13"/>
        <v>0</v>
      </c>
      <c r="I86" s="188" t="str">
        <f t="shared" si="7"/>
        <v/>
      </c>
    </row>
    <row r="87" spans="2:9">
      <c r="B87" s="188">
        <v>71</v>
      </c>
      <c r="C87" s="188">
        <f t="shared" si="8"/>
        <v>14155</v>
      </c>
      <c r="D87" s="188">
        <f t="shared" si="9"/>
        <v>14155</v>
      </c>
      <c r="E87" s="188">
        <f t="shared" si="10"/>
        <v>14155</v>
      </c>
      <c r="F87" s="188">
        <f t="shared" si="11"/>
        <v>0</v>
      </c>
      <c r="G87" s="188">
        <f t="shared" si="12"/>
        <v>0</v>
      </c>
      <c r="H87" s="188">
        <f t="shared" si="13"/>
        <v>0</v>
      </c>
      <c r="I87" s="188" t="str">
        <f t="shared" si="7"/>
        <v/>
      </c>
    </row>
    <row r="88" spans="2:9">
      <c r="B88" s="188">
        <v>72</v>
      </c>
      <c r="C88" s="188">
        <f t="shared" si="8"/>
        <v>14900</v>
      </c>
      <c r="D88" s="188">
        <f t="shared" si="9"/>
        <v>14900</v>
      </c>
      <c r="E88" s="188">
        <f t="shared" si="10"/>
        <v>14900</v>
      </c>
      <c r="F88" s="188">
        <f t="shared" si="11"/>
        <v>0</v>
      </c>
      <c r="G88" s="188">
        <f t="shared" si="12"/>
        <v>0</v>
      </c>
      <c r="H88" s="188">
        <f t="shared" si="13"/>
        <v>0</v>
      </c>
      <c r="I88" s="188" t="str">
        <f t="shared" si="7"/>
        <v/>
      </c>
    </row>
    <row r="89" spans="2:9">
      <c r="B89" s="188">
        <v>73</v>
      </c>
      <c r="C89" s="188">
        <f t="shared" si="8"/>
        <v>15645</v>
      </c>
      <c r="D89" s="188">
        <f t="shared" si="9"/>
        <v>15645</v>
      </c>
      <c r="E89" s="188">
        <f t="shared" si="10"/>
        <v>15645</v>
      </c>
      <c r="F89" s="188">
        <f t="shared" si="11"/>
        <v>0</v>
      </c>
      <c r="G89" s="188">
        <f t="shared" si="12"/>
        <v>0</v>
      </c>
      <c r="H89" s="188">
        <f t="shared" si="13"/>
        <v>0</v>
      </c>
      <c r="I89" s="188" t="str">
        <f t="shared" si="7"/>
        <v/>
      </c>
    </row>
    <row r="90" spans="2:9">
      <c r="B90" s="188">
        <v>74</v>
      </c>
      <c r="C90" s="188">
        <f t="shared" si="8"/>
        <v>16390</v>
      </c>
      <c r="D90" s="188">
        <f t="shared" si="9"/>
        <v>16390</v>
      </c>
      <c r="E90" s="188">
        <f t="shared" si="10"/>
        <v>16390</v>
      </c>
      <c r="F90" s="188">
        <f t="shared" si="11"/>
        <v>0</v>
      </c>
      <c r="G90" s="188">
        <f t="shared" si="12"/>
        <v>0</v>
      </c>
      <c r="H90" s="188">
        <f t="shared" si="13"/>
        <v>0</v>
      </c>
      <c r="I90" s="188" t="str">
        <f t="shared" si="7"/>
        <v/>
      </c>
    </row>
    <row r="91" spans="2:9">
      <c r="B91" s="188">
        <v>75</v>
      </c>
      <c r="C91" s="188">
        <f t="shared" si="8"/>
        <v>17135</v>
      </c>
      <c r="D91" s="188">
        <f t="shared" si="9"/>
        <v>17135</v>
      </c>
      <c r="E91" s="188">
        <f t="shared" si="10"/>
        <v>17135</v>
      </c>
      <c r="F91" s="188">
        <f t="shared" si="11"/>
        <v>0</v>
      </c>
      <c r="G91" s="188">
        <f t="shared" si="12"/>
        <v>0</v>
      </c>
      <c r="H91" s="188">
        <f t="shared" si="13"/>
        <v>0</v>
      </c>
      <c r="I91" s="188" t="str">
        <f t="shared" si="7"/>
        <v/>
      </c>
    </row>
    <row r="92" spans="2:9">
      <c r="B92" s="188">
        <v>76</v>
      </c>
      <c r="C92" s="188">
        <f t="shared" si="8"/>
        <v>17880</v>
      </c>
      <c r="D92" s="188">
        <f t="shared" si="9"/>
        <v>17880</v>
      </c>
      <c r="E92" s="188">
        <f t="shared" si="10"/>
        <v>17880</v>
      </c>
      <c r="F92" s="188">
        <f t="shared" si="11"/>
        <v>0</v>
      </c>
      <c r="G92" s="188">
        <f t="shared" si="12"/>
        <v>0</v>
      </c>
      <c r="H92" s="188">
        <f t="shared" si="13"/>
        <v>0</v>
      </c>
      <c r="I92" s="188" t="str">
        <f t="shared" si="7"/>
        <v/>
      </c>
    </row>
    <row r="93" spans="2:9">
      <c r="B93" s="188">
        <v>77</v>
      </c>
      <c r="C93" s="188">
        <f t="shared" si="8"/>
        <v>18625</v>
      </c>
      <c r="D93" s="188">
        <f t="shared" si="9"/>
        <v>18625</v>
      </c>
      <c r="E93" s="188">
        <f t="shared" si="10"/>
        <v>18625</v>
      </c>
      <c r="F93" s="188">
        <f t="shared" si="11"/>
        <v>0</v>
      </c>
      <c r="G93" s="188">
        <f t="shared" si="12"/>
        <v>0</v>
      </c>
      <c r="H93" s="188">
        <f t="shared" si="13"/>
        <v>0</v>
      </c>
      <c r="I93" s="188" t="str">
        <f t="shared" si="7"/>
        <v/>
      </c>
    </row>
    <row r="94" spans="2:9">
      <c r="B94" s="188">
        <v>78</v>
      </c>
      <c r="C94" s="188">
        <f t="shared" si="8"/>
        <v>19370</v>
      </c>
      <c r="D94" s="188">
        <f t="shared" si="9"/>
        <v>19370</v>
      </c>
      <c r="E94" s="188">
        <f t="shared" si="10"/>
        <v>19370</v>
      </c>
      <c r="F94" s="188">
        <f t="shared" si="11"/>
        <v>0</v>
      </c>
      <c r="G94" s="188">
        <f t="shared" si="12"/>
        <v>0</v>
      </c>
      <c r="H94" s="188">
        <f t="shared" si="13"/>
        <v>0</v>
      </c>
      <c r="I94" s="188" t="str">
        <f t="shared" si="7"/>
        <v/>
      </c>
    </row>
    <row r="95" spans="2:9">
      <c r="B95" s="188">
        <v>79</v>
      </c>
      <c r="C95" s="188">
        <f t="shared" si="8"/>
        <v>745</v>
      </c>
      <c r="D95" s="188">
        <f t="shared" si="9"/>
        <v>745</v>
      </c>
      <c r="E95" s="188">
        <f t="shared" si="10"/>
        <v>745</v>
      </c>
      <c r="F95" s="188">
        <f t="shared" si="11"/>
        <v>1</v>
      </c>
      <c r="G95" s="188">
        <f t="shared" si="12"/>
        <v>1</v>
      </c>
      <c r="H95" s="188">
        <f t="shared" si="13"/>
        <v>1</v>
      </c>
      <c r="I95" s="188">
        <f t="shared" si="7"/>
        <v>1</v>
      </c>
    </row>
    <row r="96" spans="2:9">
      <c r="B96" s="188">
        <v>80</v>
      </c>
      <c r="C96" s="188">
        <f t="shared" si="8"/>
        <v>1490</v>
      </c>
      <c r="D96" s="188">
        <f t="shared" si="9"/>
        <v>1490</v>
      </c>
      <c r="E96" s="188">
        <f t="shared" si="10"/>
        <v>1490</v>
      </c>
      <c r="F96" s="188">
        <f t="shared" si="11"/>
        <v>0</v>
      </c>
      <c r="G96" s="188">
        <f t="shared" si="12"/>
        <v>0</v>
      </c>
      <c r="H96" s="188">
        <f t="shared" si="13"/>
        <v>0</v>
      </c>
      <c r="I96" s="188" t="str">
        <f t="shared" si="7"/>
        <v/>
      </c>
    </row>
    <row r="97" spans="2:9">
      <c r="B97" s="188">
        <v>81</v>
      </c>
      <c r="C97" s="188">
        <f t="shared" si="8"/>
        <v>2235</v>
      </c>
      <c r="D97" s="188">
        <f t="shared" si="9"/>
        <v>2235</v>
      </c>
      <c r="E97" s="188">
        <f t="shared" si="10"/>
        <v>2235</v>
      </c>
      <c r="F97" s="188">
        <f t="shared" si="11"/>
        <v>0</v>
      </c>
      <c r="G97" s="188">
        <f t="shared" si="12"/>
        <v>0</v>
      </c>
      <c r="H97" s="188">
        <f t="shared" si="13"/>
        <v>0</v>
      </c>
      <c r="I97" s="188" t="str">
        <f t="shared" si="7"/>
        <v/>
      </c>
    </row>
    <row r="98" spans="2:9">
      <c r="B98" s="188">
        <v>82</v>
      </c>
      <c r="C98" s="188">
        <f t="shared" si="8"/>
        <v>2980</v>
      </c>
      <c r="D98" s="188">
        <f t="shared" si="9"/>
        <v>2980</v>
      </c>
      <c r="E98" s="188">
        <f t="shared" si="10"/>
        <v>2980</v>
      </c>
      <c r="F98" s="188">
        <f t="shared" si="11"/>
        <v>0</v>
      </c>
      <c r="G98" s="188">
        <f t="shared" si="12"/>
        <v>0</v>
      </c>
      <c r="H98" s="188">
        <f t="shared" si="13"/>
        <v>0</v>
      </c>
      <c r="I98" s="188" t="str">
        <f t="shared" si="7"/>
        <v/>
      </c>
    </row>
    <row r="99" spans="2:9">
      <c r="B99" s="188">
        <v>83</v>
      </c>
      <c r="C99" s="188">
        <f t="shared" si="8"/>
        <v>3725</v>
      </c>
      <c r="D99" s="188">
        <f t="shared" si="9"/>
        <v>3725</v>
      </c>
      <c r="E99" s="188">
        <f t="shared" si="10"/>
        <v>3725</v>
      </c>
      <c r="F99" s="188">
        <f t="shared" si="11"/>
        <v>0</v>
      </c>
      <c r="G99" s="188">
        <f t="shared" si="12"/>
        <v>0</v>
      </c>
      <c r="H99" s="188">
        <f t="shared" si="13"/>
        <v>0</v>
      </c>
      <c r="I99" s="188" t="str">
        <f t="shared" si="7"/>
        <v/>
      </c>
    </row>
    <row r="100" spans="2:9">
      <c r="B100" s="188">
        <v>84</v>
      </c>
      <c r="C100" s="188">
        <f t="shared" si="8"/>
        <v>4470</v>
      </c>
      <c r="D100" s="188">
        <f t="shared" si="9"/>
        <v>4470</v>
      </c>
      <c r="E100" s="188">
        <f t="shared" si="10"/>
        <v>4470</v>
      </c>
      <c r="F100" s="188">
        <f t="shared" si="11"/>
        <v>0</v>
      </c>
      <c r="G100" s="188">
        <f t="shared" si="12"/>
        <v>0</v>
      </c>
      <c r="H100" s="188">
        <f t="shared" si="13"/>
        <v>0</v>
      </c>
      <c r="I100" s="188" t="str">
        <f t="shared" si="7"/>
        <v/>
      </c>
    </row>
    <row r="101" spans="2:9">
      <c r="B101" s="188">
        <v>85</v>
      </c>
      <c r="C101" s="188">
        <f t="shared" si="8"/>
        <v>5215</v>
      </c>
      <c r="D101" s="188">
        <f t="shared" si="9"/>
        <v>5215</v>
      </c>
      <c r="E101" s="188">
        <f t="shared" si="10"/>
        <v>5215</v>
      </c>
      <c r="F101" s="188">
        <f t="shared" si="11"/>
        <v>0</v>
      </c>
      <c r="G101" s="188">
        <f t="shared" si="12"/>
        <v>0</v>
      </c>
      <c r="H101" s="188">
        <f t="shared" si="13"/>
        <v>0</v>
      </c>
      <c r="I101" s="188" t="str">
        <f t="shared" si="7"/>
        <v/>
      </c>
    </row>
    <row r="102" spans="2:9">
      <c r="B102" s="188">
        <v>86</v>
      </c>
      <c r="C102" s="188">
        <f t="shared" si="8"/>
        <v>5960</v>
      </c>
      <c r="D102" s="188">
        <f t="shared" si="9"/>
        <v>5960</v>
      </c>
      <c r="E102" s="188">
        <f t="shared" si="10"/>
        <v>5960</v>
      </c>
      <c r="F102" s="188">
        <f t="shared" si="11"/>
        <v>0</v>
      </c>
      <c r="G102" s="188">
        <f t="shared" si="12"/>
        <v>0</v>
      </c>
      <c r="H102" s="188">
        <f t="shared" si="13"/>
        <v>0</v>
      </c>
      <c r="I102" s="188" t="str">
        <f t="shared" si="7"/>
        <v/>
      </c>
    </row>
    <row r="103" spans="2:9">
      <c r="B103" s="188">
        <v>87</v>
      </c>
      <c r="C103" s="188">
        <f t="shared" si="8"/>
        <v>6705</v>
      </c>
      <c r="D103" s="188">
        <f t="shared" si="9"/>
        <v>6705</v>
      </c>
      <c r="E103" s="188">
        <f t="shared" si="10"/>
        <v>6705</v>
      </c>
      <c r="F103" s="188">
        <f t="shared" si="11"/>
        <v>0</v>
      </c>
      <c r="G103" s="188">
        <f t="shared" si="12"/>
        <v>0</v>
      </c>
      <c r="H103" s="188">
        <f t="shared" si="13"/>
        <v>0</v>
      </c>
      <c r="I103" s="188" t="str">
        <f t="shared" si="7"/>
        <v/>
      </c>
    </row>
    <row r="104" spans="2:9">
      <c r="B104" s="188">
        <v>88</v>
      </c>
      <c r="C104" s="188">
        <f t="shared" si="8"/>
        <v>7450</v>
      </c>
      <c r="D104" s="188">
        <f t="shared" si="9"/>
        <v>7450</v>
      </c>
      <c r="E104" s="188">
        <f t="shared" si="10"/>
        <v>7450</v>
      </c>
      <c r="F104" s="188">
        <f t="shared" si="11"/>
        <v>0</v>
      </c>
      <c r="G104" s="188">
        <f t="shared" si="12"/>
        <v>0</v>
      </c>
      <c r="H104" s="188">
        <f t="shared" si="13"/>
        <v>0</v>
      </c>
      <c r="I104" s="188" t="str">
        <f t="shared" si="7"/>
        <v/>
      </c>
    </row>
    <row r="105" spans="2:9">
      <c r="B105" s="188">
        <v>89</v>
      </c>
      <c r="C105" s="188">
        <f t="shared" si="8"/>
        <v>8195</v>
      </c>
      <c r="D105" s="188">
        <f t="shared" si="9"/>
        <v>8195</v>
      </c>
      <c r="E105" s="188">
        <f t="shared" si="10"/>
        <v>8195</v>
      </c>
      <c r="F105" s="188">
        <f t="shared" si="11"/>
        <v>0</v>
      </c>
      <c r="G105" s="188">
        <f t="shared" si="12"/>
        <v>0</v>
      </c>
      <c r="H105" s="188">
        <f t="shared" si="13"/>
        <v>0</v>
      </c>
      <c r="I105" s="188" t="str">
        <f t="shared" si="7"/>
        <v/>
      </c>
    </row>
    <row r="106" spans="2:9">
      <c r="B106" s="188">
        <v>90</v>
      </c>
      <c r="C106" s="188">
        <f t="shared" si="8"/>
        <v>8940</v>
      </c>
      <c r="D106" s="188">
        <f t="shared" si="9"/>
        <v>8940</v>
      </c>
      <c r="E106" s="188">
        <f t="shared" si="10"/>
        <v>8940</v>
      </c>
      <c r="F106" s="188">
        <f t="shared" si="11"/>
        <v>0</v>
      </c>
      <c r="G106" s="188">
        <f t="shared" si="12"/>
        <v>0</v>
      </c>
      <c r="H106" s="188">
        <f t="shared" si="13"/>
        <v>0</v>
      </c>
      <c r="I106" s="188" t="str">
        <f t="shared" si="7"/>
        <v/>
      </c>
    </row>
    <row r="107" spans="2:9">
      <c r="B107" s="188">
        <v>91</v>
      </c>
      <c r="C107" s="188">
        <f t="shared" si="8"/>
        <v>9685</v>
      </c>
      <c r="D107" s="188">
        <f t="shared" si="9"/>
        <v>9685</v>
      </c>
      <c r="E107" s="188">
        <f t="shared" si="10"/>
        <v>9685</v>
      </c>
      <c r="F107" s="188">
        <f t="shared" si="11"/>
        <v>0</v>
      </c>
      <c r="G107" s="188">
        <f t="shared" si="12"/>
        <v>0</v>
      </c>
      <c r="H107" s="188">
        <f t="shared" si="13"/>
        <v>0</v>
      </c>
      <c r="I107" s="188" t="str">
        <f t="shared" si="7"/>
        <v/>
      </c>
    </row>
    <row r="108" spans="2:9">
      <c r="B108" s="188">
        <v>92</v>
      </c>
      <c r="C108" s="188">
        <f t="shared" si="8"/>
        <v>10430</v>
      </c>
      <c r="D108" s="188">
        <f t="shared" si="9"/>
        <v>10430</v>
      </c>
      <c r="E108" s="188">
        <f t="shared" si="10"/>
        <v>10430</v>
      </c>
      <c r="F108" s="188">
        <f t="shared" si="11"/>
        <v>0</v>
      </c>
      <c r="G108" s="188">
        <f t="shared" si="12"/>
        <v>0</v>
      </c>
      <c r="H108" s="188">
        <f t="shared" si="13"/>
        <v>0</v>
      </c>
      <c r="I108" s="188" t="str">
        <f t="shared" si="7"/>
        <v/>
      </c>
    </row>
    <row r="109" spans="2:9">
      <c r="B109" s="188">
        <v>93</v>
      </c>
      <c r="C109" s="188">
        <f t="shared" si="8"/>
        <v>11175</v>
      </c>
      <c r="D109" s="188">
        <f t="shared" si="9"/>
        <v>11175</v>
      </c>
      <c r="E109" s="188">
        <f t="shared" si="10"/>
        <v>11175</v>
      </c>
      <c r="F109" s="188">
        <f t="shared" si="11"/>
        <v>0</v>
      </c>
      <c r="G109" s="188">
        <f t="shared" si="12"/>
        <v>0</v>
      </c>
      <c r="H109" s="188">
        <f t="shared" si="13"/>
        <v>0</v>
      </c>
      <c r="I109" s="188" t="str">
        <f t="shared" si="7"/>
        <v/>
      </c>
    </row>
    <row r="110" spans="2:9">
      <c r="B110" s="188">
        <v>94</v>
      </c>
      <c r="C110" s="188">
        <f t="shared" si="8"/>
        <v>11920</v>
      </c>
      <c r="D110" s="188">
        <f t="shared" si="9"/>
        <v>11920</v>
      </c>
      <c r="E110" s="188">
        <f t="shared" si="10"/>
        <v>11920</v>
      </c>
      <c r="F110" s="188">
        <f t="shared" si="11"/>
        <v>0</v>
      </c>
      <c r="G110" s="188">
        <f t="shared" si="12"/>
        <v>0</v>
      </c>
      <c r="H110" s="188">
        <f t="shared" si="13"/>
        <v>0</v>
      </c>
      <c r="I110" s="188" t="str">
        <f t="shared" si="7"/>
        <v/>
      </c>
    </row>
    <row r="111" spans="2:9">
      <c r="B111" s="188">
        <v>95</v>
      </c>
      <c r="C111" s="188">
        <f t="shared" si="8"/>
        <v>12665</v>
      </c>
      <c r="D111" s="188">
        <f t="shared" si="9"/>
        <v>12665</v>
      </c>
      <c r="E111" s="188">
        <f t="shared" si="10"/>
        <v>12665</v>
      </c>
      <c r="F111" s="188">
        <f t="shared" si="11"/>
        <v>0</v>
      </c>
      <c r="G111" s="188">
        <f t="shared" si="12"/>
        <v>0</v>
      </c>
      <c r="H111" s="188">
        <f t="shared" si="13"/>
        <v>0</v>
      </c>
      <c r="I111" s="188" t="str">
        <f t="shared" si="7"/>
        <v/>
      </c>
    </row>
    <row r="112" spans="2:9">
      <c r="B112" s="188">
        <v>96</v>
      </c>
      <c r="C112" s="188">
        <f t="shared" si="8"/>
        <v>13410</v>
      </c>
      <c r="D112" s="188">
        <f t="shared" si="9"/>
        <v>13410</v>
      </c>
      <c r="E112" s="188">
        <f t="shared" si="10"/>
        <v>13410</v>
      </c>
      <c r="F112" s="188">
        <f t="shared" si="11"/>
        <v>0</v>
      </c>
      <c r="G112" s="188">
        <f t="shared" si="12"/>
        <v>0</v>
      </c>
      <c r="H112" s="188">
        <f t="shared" si="13"/>
        <v>0</v>
      </c>
      <c r="I112" s="188" t="str">
        <f t="shared" si="7"/>
        <v/>
      </c>
    </row>
    <row r="113" spans="2:9">
      <c r="B113" s="188">
        <v>97</v>
      </c>
      <c r="C113" s="188">
        <f t="shared" si="8"/>
        <v>14155</v>
      </c>
      <c r="D113" s="188">
        <f t="shared" si="9"/>
        <v>14155</v>
      </c>
      <c r="E113" s="188">
        <f t="shared" si="10"/>
        <v>14155</v>
      </c>
      <c r="F113" s="188">
        <f t="shared" si="11"/>
        <v>0</v>
      </c>
      <c r="G113" s="188">
        <f t="shared" si="12"/>
        <v>0</v>
      </c>
      <c r="H113" s="188">
        <f t="shared" si="13"/>
        <v>0</v>
      </c>
      <c r="I113" s="188" t="str">
        <f t="shared" si="7"/>
        <v/>
      </c>
    </row>
    <row r="114" spans="2:9">
      <c r="B114" s="188">
        <v>98</v>
      </c>
      <c r="C114" s="188">
        <f t="shared" si="8"/>
        <v>14900</v>
      </c>
      <c r="D114" s="188">
        <f t="shared" si="9"/>
        <v>14900</v>
      </c>
      <c r="E114" s="188">
        <f t="shared" si="10"/>
        <v>14900</v>
      </c>
      <c r="F114" s="188">
        <f t="shared" si="11"/>
        <v>0</v>
      </c>
      <c r="G114" s="188">
        <f t="shared" si="12"/>
        <v>0</v>
      </c>
      <c r="H114" s="188">
        <f t="shared" si="13"/>
        <v>0</v>
      </c>
      <c r="I114" s="188" t="str">
        <f t="shared" si="7"/>
        <v/>
      </c>
    </row>
    <row r="115" spans="2:9">
      <c r="B115" s="188">
        <v>99</v>
      </c>
      <c r="C115" s="188">
        <f t="shared" si="8"/>
        <v>15645</v>
      </c>
      <c r="D115" s="188">
        <f t="shared" si="9"/>
        <v>15645</v>
      </c>
      <c r="E115" s="188">
        <f t="shared" si="10"/>
        <v>15645</v>
      </c>
      <c r="F115" s="188">
        <f t="shared" si="11"/>
        <v>0</v>
      </c>
      <c r="G115" s="188">
        <f t="shared" si="12"/>
        <v>0</v>
      </c>
      <c r="H115" s="188">
        <f t="shared" si="13"/>
        <v>0</v>
      </c>
      <c r="I115" s="188" t="str">
        <f t="shared" si="7"/>
        <v/>
      </c>
    </row>
    <row r="116" spans="2:9">
      <c r="B116" s="188">
        <v>100</v>
      </c>
      <c r="C116" s="188">
        <f t="shared" si="8"/>
        <v>16390</v>
      </c>
      <c r="D116" s="188">
        <f t="shared" si="9"/>
        <v>16390</v>
      </c>
      <c r="E116" s="188">
        <f t="shared" si="10"/>
        <v>16390</v>
      </c>
      <c r="F116" s="188">
        <f t="shared" si="11"/>
        <v>0</v>
      </c>
      <c r="G116" s="188">
        <f t="shared" si="12"/>
        <v>0</v>
      </c>
      <c r="H116" s="188">
        <f t="shared" si="13"/>
        <v>0</v>
      </c>
      <c r="I116" s="188" t="str">
        <f t="shared" si="7"/>
        <v/>
      </c>
    </row>
    <row r="117" spans="2:9">
      <c r="B117" s="188">
        <v>101</v>
      </c>
      <c r="C117" s="188">
        <f t="shared" si="8"/>
        <v>17135</v>
      </c>
      <c r="D117" s="188">
        <f t="shared" si="9"/>
        <v>17135</v>
      </c>
      <c r="E117" s="188">
        <f t="shared" si="10"/>
        <v>17135</v>
      </c>
      <c r="F117" s="188">
        <f t="shared" si="11"/>
        <v>0</v>
      </c>
      <c r="G117" s="188">
        <f t="shared" si="12"/>
        <v>0</v>
      </c>
      <c r="H117" s="188">
        <f t="shared" si="13"/>
        <v>0</v>
      </c>
      <c r="I117" s="188" t="str">
        <f t="shared" si="7"/>
        <v/>
      </c>
    </row>
    <row r="118" spans="2:9">
      <c r="B118" s="188">
        <v>102</v>
      </c>
      <c r="C118" s="188">
        <f t="shared" si="8"/>
        <v>17880</v>
      </c>
      <c r="D118" s="188">
        <f t="shared" si="9"/>
        <v>17880</v>
      </c>
      <c r="E118" s="188">
        <f t="shared" si="10"/>
        <v>17880</v>
      </c>
      <c r="F118" s="188">
        <f t="shared" si="11"/>
        <v>0</v>
      </c>
      <c r="G118" s="188">
        <f t="shared" si="12"/>
        <v>0</v>
      </c>
      <c r="H118" s="188">
        <f t="shared" si="13"/>
        <v>0</v>
      </c>
      <c r="I118" s="188" t="str">
        <f t="shared" si="7"/>
        <v/>
      </c>
    </row>
    <row r="119" spans="2:9">
      <c r="B119" s="188">
        <v>103</v>
      </c>
      <c r="C119" s="188">
        <f t="shared" si="8"/>
        <v>18625</v>
      </c>
      <c r="D119" s="188">
        <f t="shared" si="9"/>
        <v>18625</v>
      </c>
      <c r="E119" s="188">
        <f t="shared" si="10"/>
        <v>18625</v>
      </c>
      <c r="F119" s="188">
        <f t="shared" si="11"/>
        <v>0</v>
      </c>
      <c r="G119" s="188">
        <f t="shared" si="12"/>
        <v>0</v>
      </c>
      <c r="H119" s="188">
        <f t="shared" si="13"/>
        <v>0</v>
      </c>
      <c r="I119" s="188" t="str">
        <f t="shared" si="7"/>
        <v/>
      </c>
    </row>
    <row r="120" spans="2:9">
      <c r="B120" s="188">
        <v>104</v>
      </c>
      <c r="C120" s="188">
        <f t="shared" si="8"/>
        <v>19370</v>
      </c>
      <c r="D120" s="188">
        <f t="shared" si="9"/>
        <v>19370</v>
      </c>
      <c r="E120" s="188">
        <f t="shared" si="10"/>
        <v>19370</v>
      </c>
      <c r="F120" s="188">
        <f t="shared" si="11"/>
        <v>0</v>
      </c>
      <c r="G120" s="188">
        <f t="shared" si="12"/>
        <v>0</v>
      </c>
      <c r="H120" s="188">
        <f t="shared" si="13"/>
        <v>0</v>
      </c>
      <c r="I120" s="188" t="str">
        <f t="shared" si="7"/>
        <v/>
      </c>
    </row>
    <row r="121" spans="2:9">
      <c r="B121" s="188">
        <v>105</v>
      </c>
      <c r="C121" s="188">
        <f t="shared" si="8"/>
        <v>745</v>
      </c>
      <c r="D121" s="188">
        <f t="shared" si="9"/>
        <v>745</v>
      </c>
      <c r="E121" s="188">
        <f t="shared" si="10"/>
        <v>745</v>
      </c>
      <c r="F121" s="188">
        <f t="shared" si="11"/>
        <v>1</v>
      </c>
      <c r="G121" s="188">
        <f t="shared" si="12"/>
        <v>1</v>
      </c>
      <c r="H121" s="188">
        <f t="shared" si="13"/>
        <v>1</v>
      </c>
      <c r="I121" s="188">
        <f t="shared" si="7"/>
        <v>1</v>
      </c>
    </row>
    <row r="122" spans="2:9">
      <c r="B122" s="188">
        <v>106</v>
      </c>
      <c r="C122" s="188">
        <f t="shared" si="8"/>
        <v>1490</v>
      </c>
      <c r="D122" s="188">
        <f t="shared" si="9"/>
        <v>1490</v>
      </c>
      <c r="E122" s="188">
        <f t="shared" si="10"/>
        <v>1490</v>
      </c>
      <c r="F122" s="188">
        <f t="shared" si="11"/>
        <v>0</v>
      </c>
      <c r="G122" s="188">
        <f t="shared" si="12"/>
        <v>0</v>
      </c>
      <c r="H122" s="188">
        <f t="shared" si="13"/>
        <v>0</v>
      </c>
      <c r="I122" s="188" t="str">
        <f t="shared" si="7"/>
        <v/>
      </c>
    </row>
    <row r="123" spans="2:9">
      <c r="B123" s="188">
        <v>107</v>
      </c>
      <c r="C123" s="188">
        <f t="shared" si="8"/>
        <v>2235</v>
      </c>
      <c r="D123" s="188">
        <f t="shared" si="9"/>
        <v>2235</v>
      </c>
      <c r="E123" s="188">
        <f t="shared" si="10"/>
        <v>2235</v>
      </c>
      <c r="F123" s="188">
        <f t="shared" si="11"/>
        <v>0</v>
      </c>
      <c r="G123" s="188">
        <f t="shared" si="12"/>
        <v>0</v>
      </c>
      <c r="H123" s="188">
        <f t="shared" si="13"/>
        <v>0</v>
      </c>
      <c r="I123" s="188" t="str">
        <f t="shared" si="7"/>
        <v/>
      </c>
    </row>
    <row r="124" spans="2:9">
      <c r="B124" s="188">
        <v>108</v>
      </c>
      <c r="C124" s="188">
        <f t="shared" si="8"/>
        <v>2980</v>
      </c>
      <c r="D124" s="188">
        <f t="shared" si="9"/>
        <v>2980</v>
      </c>
      <c r="E124" s="188">
        <f t="shared" si="10"/>
        <v>2980</v>
      </c>
      <c r="F124" s="188">
        <f t="shared" si="11"/>
        <v>0</v>
      </c>
      <c r="G124" s="188">
        <f t="shared" si="12"/>
        <v>0</v>
      </c>
      <c r="H124" s="188">
        <f t="shared" si="13"/>
        <v>0</v>
      </c>
      <c r="I124" s="188" t="str">
        <f t="shared" si="7"/>
        <v/>
      </c>
    </row>
    <row r="125" spans="2:9">
      <c r="B125" s="188">
        <v>109</v>
      </c>
      <c r="C125" s="188">
        <f t="shared" si="8"/>
        <v>3725</v>
      </c>
      <c r="D125" s="188">
        <f t="shared" si="9"/>
        <v>3725</v>
      </c>
      <c r="E125" s="188">
        <f t="shared" si="10"/>
        <v>3725</v>
      </c>
      <c r="F125" s="188">
        <f t="shared" si="11"/>
        <v>0</v>
      </c>
      <c r="G125" s="188">
        <f t="shared" si="12"/>
        <v>0</v>
      </c>
      <c r="H125" s="188">
        <f t="shared" si="13"/>
        <v>0</v>
      </c>
      <c r="I125" s="188" t="str">
        <f t="shared" si="7"/>
        <v/>
      </c>
    </row>
    <row r="126" spans="2:9">
      <c r="B126" s="188">
        <v>110</v>
      </c>
      <c r="C126" s="188">
        <f t="shared" si="8"/>
        <v>4470</v>
      </c>
      <c r="D126" s="188">
        <f t="shared" si="9"/>
        <v>4470</v>
      </c>
      <c r="E126" s="188">
        <f t="shared" si="10"/>
        <v>4470</v>
      </c>
      <c r="F126" s="188">
        <f t="shared" si="11"/>
        <v>0</v>
      </c>
      <c r="G126" s="188">
        <f t="shared" si="12"/>
        <v>0</v>
      </c>
      <c r="H126" s="188">
        <f t="shared" si="13"/>
        <v>0</v>
      </c>
      <c r="I126" s="188" t="str">
        <f t="shared" si="7"/>
        <v/>
      </c>
    </row>
    <row r="127" spans="2:9">
      <c r="B127" s="188">
        <v>111</v>
      </c>
      <c r="C127" s="188">
        <f t="shared" si="8"/>
        <v>5215</v>
      </c>
      <c r="D127" s="188">
        <f t="shared" si="9"/>
        <v>5215</v>
      </c>
      <c r="E127" s="188">
        <f t="shared" si="10"/>
        <v>5215</v>
      </c>
      <c r="F127" s="188">
        <f t="shared" si="11"/>
        <v>0</v>
      </c>
      <c r="G127" s="188">
        <f t="shared" si="12"/>
        <v>0</v>
      </c>
      <c r="H127" s="188">
        <f t="shared" si="13"/>
        <v>0</v>
      </c>
      <c r="I127" s="188" t="str">
        <f t="shared" si="7"/>
        <v/>
      </c>
    </row>
    <row r="128" spans="2:9">
      <c r="B128" s="188">
        <v>112</v>
      </c>
      <c r="C128" s="188">
        <f t="shared" si="8"/>
        <v>5960</v>
      </c>
      <c r="D128" s="188">
        <f t="shared" si="9"/>
        <v>5960</v>
      </c>
      <c r="E128" s="188">
        <f t="shared" si="10"/>
        <v>5960</v>
      </c>
      <c r="F128" s="188">
        <f t="shared" si="11"/>
        <v>0</v>
      </c>
      <c r="G128" s="188">
        <f t="shared" si="12"/>
        <v>0</v>
      </c>
      <c r="H128" s="188">
        <f t="shared" si="13"/>
        <v>0</v>
      </c>
      <c r="I128" s="188" t="str">
        <f t="shared" si="7"/>
        <v/>
      </c>
    </row>
    <row r="129" spans="2:9">
      <c r="B129" s="188">
        <v>113</v>
      </c>
      <c r="C129" s="188">
        <f t="shared" si="8"/>
        <v>6705</v>
      </c>
      <c r="D129" s="188">
        <f t="shared" si="9"/>
        <v>6705</v>
      </c>
      <c r="E129" s="188">
        <f t="shared" si="10"/>
        <v>6705</v>
      </c>
      <c r="F129" s="188">
        <f t="shared" si="11"/>
        <v>0</v>
      </c>
      <c r="G129" s="188">
        <f t="shared" si="12"/>
        <v>0</v>
      </c>
      <c r="H129" s="188">
        <f t="shared" si="13"/>
        <v>0</v>
      </c>
      <c r="I129" s="188" t="str">
        <f t="shared" si="7"/>
        <v/>
      </c>
    </row>
    <row r="130" spans="2:9">
      <c r="B130" s="188">
        <v>114</v>
      </c>
      <c r="C130" s="188">
        <f t="shared" si="8"/>
        <v>7450</v>
      </c>
      <c r="D130" s="188">
        <f t="shared" si="9"/>
        <v>7450</v>
      </c>
      <c r="E130" s="188">
        <f t="shared" si="10"/>
        <v>7450</v>
      </c>
      <c r="F130" s="188">
        <f t="shared" si="11"/>
        <v>0</v>
      </c>
      <c r="G130" s="188">
        <f t="shared" si="12"/>
        <v>0</v>
      </c>
      <c r="H130" s="188">
        <f t="shared" si="13"/>
        <v>0</v>
      </c>
      <c r="I130" s="188" t="str">
        <f t="shared" si="7"/>
        <v/>
      </c>
    </row>
    <row r="131" spans="2:9">
      <c r="B131" s="188">
        <v>115</v>
      </c>
      <c r="C131" s="188">
        <f t="shared" si="8"/>
        <v>8195</v>
      </c>
      <c r="D131" s="188">
        <f t="shared" si="9"/>
        <v>8195</v>
      </c>
      <c r="E131" s="188">
        <f t="shared" si="10"/>
        <v>8195</v>
      </c>
      <c r="F131" s="188">
        <f t="shared" si="11"/>
        <v>0</v>
      </c>
      <c r="G131" s="188">
        <f t="shared" si="12"/>
        <v>0</v>
      </c>
      <c r="H131" s="188">
        <f t="shared" si="13"/>
        <v>0</v>
      </c>
      <c r="I131" s="188" t="str">
        <f t="shared" si="7"/>
        <v/>
      </c>
    </row>
    <row r="132" spans="2:9">
      <c r="B132" s="188">
        <v>116</v>
      </c>
      <c r="C132" s="188">
        <f t="shared" si="8"/>
        <v>8940</v>
      </c>
      <c r="D132" s="188">
        <f t="shared" si="9"/>
        <v>8940</v>
      </c>
      <c r="E132" s="188">
        <f t="shared" si="10"/>
        <v>8940</v>
      </c>
      <c r="F132" s="188">
        <f t="shared" si="11"/>
        <v>0</v>
      </c>
      <c r="G132" s="188">
        <f t="shared" si="12"/>
        <v>0</v>
      </c>
      <c r="H132" s="188">
        <f t="shared" si="13"/>
        <v>0</v>
      </c>
      <c r="I132" s="188" t="str">
        <f t="shared" si="7"/>
        <v/>
      </c>
    </row>
    <row r="133" spans="2:9">
      <c r="B133" s="188">
        <v>117</v>
      </c>
      <c r="C133" s="188">
        <f t="shared" si="8"/>
        <v>9685</v>
      </c>
      <c r="D133" s="188">
        <f t="shared" si="9"/>
        <v>9685</v>
      </c>
      <c r="E133" s="188">
        <f t="shared" si="10"/>
        <v>9685</v>
      </c>
      <c r="F133" s="188">
        <f t="shared" si="11"/>
        <v>0</v>
      </c>
      <c r="G133" s="188">
        <f t="shared" si="12"/>
        <v>0</v>
      </c>
      <c r="H133" s="188">
        <f t="shared" si="13"/>
        <v>0</v>
      </c>
      <c r="I133" s="188" t="str">
        <f t="shared" si="7"/>
        <v/>
      </c>
    </row>
    <row r="134" spans="2:9">
      <c r="B134" s="188">
        <v>118</v>
      </c>
      <c r="C134" s="188">
        <f t="shared" si="8"/>
        <v>10430</v>
      </c>
      <c r="D134" s="188">
        <f t="shared" si="9"/>
        <v>10430</v>
      </c>
      <c r="E134" s="188">
        <f t="shared" si="10"/>
        <v>10430</v>
      </c>
      <c r="F134" s="188">
        <f t="shared" si="11"/>
        <v>0</v>
      </c>
      <c r="G134" s="188">
        <f t="shared" si="12"/>
        <v>0</v>
      </c>
      <c r="H134" s="188">
        <f t="shared" si="13"/>
        <v>0</v>
      </c>
      <c r="I134" s="188" t="str">
        <f t="shared" si="7"/>
        <v/>
      </c>
    </row>
    <row r="135" spans="2:9">
      <c r="B135" s="188">
        <v>119</v>
      </c>
      <c r="C135" s="188">
        <f t="shared" si="8"/>
        <v>11175</v>
      </c>
      <c r="D135" s="188">
        <f t="shared" si="9"/>
        <v>11175</v>
      </c>
      <c r="E135" s="188">
        <f t="shared" si="10"/>
        <v>11175</v>
      </c>
      <c r="F135" s="188">
        <f t="shared" si="11"/>
        <v>0</v>
      </c>
      <c r="G135" s="188">
        <f t="shared" si="12"/>
        <v>0</v>
      </c>
      <c r="H135" s="188">
        <f t="shared" si="13"/>
        <v>0</v>
      </c>
      <c r="I135" s="188" t="str">
        <f t="shared" si="7"/>
        <v/>
      </c>
    </row>
    <row r="136" spans="2:9">
      <c r="B136" s="188">
        <v>120</v>
      </c>
      <c r="C136" s="188">
        <f t="shared" si="8"/>
        <v>11920</v>
      </c>
      <c r="D136" s="188">
        <f t="shared" si="9"/>
        <v>11920</v>
      </c>
      <c r="E136" s="188">
        <f t="shared" si="10"/>
        <v>11920</v>
      </c>
      <c r="F136" s="188">
        <f t="shared" si="11"/>
        <v>0</v>
      </c>
      <c r="G136" s="188">
        <f t="shared" si="12"/>
        <v>0</v>
      </c>
      <c r="H136" s="188">
        <f t="shared" si="13"/>
        <v>0</v>
      </c>
      <c r="I136" s="188" t="str">
        <f t="shared" si="7"/>
        <v/>
      </c>
    </row>
    <row r="137" spans="2:9">
      <c r="B137" s="188">
        <v>121</v>
      </c>
      <c r="C137" s="188">
        <f t="shared" si="8"/>
        <v>12665</v>
      </c>
      <c r="D137" s="188">
        <f t="shared" si="9"/>
        <v>12665</v>
      </c>
      <c r="E137" s="188">
        <f t="shared" si="10"/>
        <v>12665</v>
      </c>
      <c r="F137" s="188">
        <f t="shared" si="11"/>
        <v>0</v>
      </c>
      <c r="G137" s="188">
        <f t="shared" si="12"/>
        <v>0</v>
      </c>
      <c r="H137" s="188">
        <f t="shared" si="13"/>
        <v>0</v>
      </c>
      <c r="I137" s="188" t="str">
        <f t="shared" si="7"/>
        <v/>
      </c>
    </row>
    <row r="138" spans="2:9">
      <c r="B138" s="188">
        <v>122</v>
      </c>
      <c r="C138" s="188">
        <f t="shared" si="8"/>
        <v>13410</v>
      </c>
      <c r="D138" s="188">
        <f t="shared" si="9"/>
        <v>13410</v>
      </c>
      <c r="E138" s="188">
        <f t="shared" si="10"/>
        <v>13410</v>
      </c>
      <c r="F138" s="188">
        <f t="shared" si="11"/>
        <v>0</v>
      </c>
      <c r="G138" s="188">
        <f t="shared" si="12"/>
        <v>0</v>
      </c>
      <c r="H138" s="188">
        <f t="shared" si="13"/>
        <v>0</v>
      </c>
      <c r="I138" s="188" t="str">
        <f t="shared" si="7"/>
        <v/>
      </c>
    </row>
    <row r="139" spans="2:9">
      <c r="B139" s="188">
        <v>123</v>
      </c>
      <c r="C139" s="188">
        <f t="shared" si="8"/>
        <v>14155</v>
      </c>
      <c r="D139" s="188">
        <f t="shared" si="9"/>
        <v>14155</v>
      </c>
      <c r="E139" s="188">
        <f t="shared" si="10"/>
        <v>14155</v>
      </c>
      <c r="F139" s="188">
        <f t="shared" si="11"/>
        <v>0</v>
      </c>
      <c r="G139" s="188">
        <f t="shared" si="12"/>
        <v>0</v>
      </c>
      <c r="H139" s="188">
        <f t="shared" si="13"/>
        <v>0</v>
      </c>
      <c r="I139" s="188" t="str">
        <f t="shared" si="7"/>
        <v/>
      </c>
    </row>
    <row r="140" spans="2:9">
      <c r="B140" s="188">
        <v>124</v>
      </c>
      <c r="C140" s="188">
        <f t="shared" si="8"/>
        <v>14900</v>
      </c>
      <c r="D140" s="188">
        <f t="shared" si="9"/>
        <v>14900</v>
      </c>
      <c r="E140" s="188">
        <f t="shared" si="10"/>
        <v>14900</v>
      </c>
      <c r="F140" s="188">
        <f t="shared" si="11"/>
        <v>0</v>
      </c>
      <c r="G140" s="188">
        <f t="shared" si="12"/>
        <v>0</v>
      </c>
      <c r="H140" s="188">
        <f t="shared" si="13"/>
        <v>0</v>
      </c>
      <c r="I140" s="188" t="str">
        <f t="shared" si="7"/>
        <v/>
      </c>
    </row>
    <row r="141" spans="2:9">
      <c r="B141" s="188">
        <v>125</v>
      </c>
      <c r="C141" s="188">
        <f t="shared" si="8"/>
        <v>15645</v>
      </c>
      <c r="D141" s="188">
        <f t="shared" si="9"/>
        <v>15645</v>
      </c>
      <c r="E141" s="188">
        <f t="shared" si="10"/>
        <v>15645</v>
      </c>
      <c r="F141" s="188">
        <f t="shared" si="11"/>
        <v>0</v>
      </c>
      <c r="G141" s="188">
        <f t="shared" si="12"/>
        <v>0</v>
      </c>
      <c r="H141" s="188">
        <f t="shared" si="13"/>
        <v>0</v>
      </c>
      <c r="I141" s="188" t="str">
        <f t="shared" si="7"/>
        <v/>
      </c>
    </row>
    <row r="142" spans="2:9">
      <c r="B142" s="188">
        <v>126</v>
      </c>
      <c r="C142" s="188">
        <f t="shared" si="8"/>
        <v>16390</v>
      </c>
      <c r="D142" s="188">
        <f t="shared" si="9"/>
        <v>16390</v>
      </c>
      <c r="E142" s="188">
        <f t="shared" si="10"/>
        <v>16390</v>
      </c>
      <c r="F142" s="188">
        <f t="shared" si="11"/>
        <v>0</v>
      </c>
      <c r="G142" s="188">
        <f t="shared" si="12"/>
        <v>0</v>
      </c>
      <c r="H142" s="188">
        <f t="shared" si="13"/>
        <v>0</v>
      </c>
      <c r="I142" s="188" t="str">
        <f t="shared" si="7"/>
        <v/>
      </c>
    </row>
    <row r="143" spans="2:9">
      <c r="B143" s="188">
        <v>127</v>
      </c>
      <c r="C143" s="188">
        <f t="shared" si="8"/>
        <v>17135</v>
      </c>
      <c r="D143" s="188">
        <f t="shared" si="9"/>
        <v>17135</v>
      </c>
      <c r="E143" s="188">
        <f t="shared" si="10"/>
        <v>17135</v>
      </c>
      <c r="F143" s="188">
        <f t="shared" si="11"/>
        <v>0</v>
      </c>
      <c r="G143" s="188">
        <f t="shared" si="12"/>
        <v>0</v>
      </c>
      <c r="H143" s="188">
        <f t="shared" si="13"/>
        <v>0</v>
      </c>
      <c r="I143" s="188" t="str">
        <f t="shared" si="7"/>
        <v/>
      </c>
    </row>
    <row r="144" spans="2:9">
      <c r="B144" s="188">
        <v>128</v>
      </c>
      <c r="C144" s="188">
        <f t="shared" si="8"/>
        <v>17880</v>
      </c>
      <c r="D144" s="188">
        <f t="shared" si="9"/>
        <v>17880</v>
      </c>
      <c r="E144" s="188">
        <f t="shared" si="10"/>
        <v>17880</v>
      </c>
      <c r="F144" s="188">
        <f t="shared" si="11"/>
        <v>0</v>
      </c>
      <c r="G144" s="188">
        <f t="shared" si="12"/>
        <v>0</v>
      </c>
      <c r="H144" s="188">
        <f t="shared" si="13"/>
        <v>0</v>
      </c>
      <c r="I144" s="188" t="str">
        <f t="shared" si="7"/>
        <v/>
      </c>
    </row>
    <row r="145" spans="2:9">
      <c r="B145" s="188">
        <v>129</v>
      </c>
      <c r="C145" s="188">
        <f t="shared" si="8"/>
        <v>18625</v>
      </c>
      <c r="D145" s="188">
        <f t="shared" si="9"/>
        <v>18625</v>
      </c>
      <c r="E145" s="188">
        <f t="shared" si="10"/>
        <v>18625</v>
      </c>
      <c r="F145" s="188">
        <f t="shared" si="11"/>
        <v>0</v>
      </c>
      <c r="G145" s="188">
        <f t="shared" si="12"/>
        <v>0</v>
      </c>
      <c r="H145" s="188">
        <f t="shared" si="13"/>
        <v>0</v>
      </c>
      <c r="I145" s="188" t="str">
        <f t="shared" ref="I145:I208" si="14">IF(SUM(F145:H145)&gt;0,1,"")</f>
        <v/>
      </c>
    </row>
    <row r="146" spans="2:9">
      <c r="B146" s="188">
        <v>130</v>
      </c>
      <c r="C146" s="188">
        <f t="shared" ref="C146:C209" si="15">IF(C145+$B$3&gt;$F$8,$B$3,C145+$B$3)</f>
        <v>19370</v>
      </c>
      <c r="D146" s="188">
        <f t="shared" ref="D146:D209" si="16">IF($D$17 = 0, 0, IF(D145+$B$3&gt;$F$9,$B$3,D145+$B$3))</f>
        <v>19370</v>
      </c>
      <c r="E146" s="188">
        <f t="shared" ref="E146:E209" si="17">IF($E$17 = 0, 0, IF(E145+$B$3&gt;$F$10,$B$3,E145+$B$3))</f>
        <v>19370</v>
      </c>
      <c r="F146" s="188">
        <f t="shared" ref="F146:F209" si="18">IF((C146=$B$3),1,0)</f>
        <v>0</v>
      </c>
      <c r="G146" s="188">
        <f t="shared" ref="G146:G209" si="19">IF((D146=$B$3),1,0)</f>
        <v>0</v>
      </c>
      <c r="H146" s="188">
        <f t="shared" ref="H146:H209" si="20">IF((E146=$B$3),1,0)</f>
        <v>0</v>
      </c>
      <c r="I146" s="188" t="str">
        <f t="shared" si="14"/>
        <v/>
      </c>
    </row>
    <row r="147" spans="2:9">
      <c r="B147" s="188">
        <v>131</v>
      </c>
      <c r="C147" s="188">
        <f t="shared" si="15"/>
        <v>745</v>
      </c>
      <c r="D147" s="188">
        <f t="shared" si="16"/>
        <v>745</v>
      </c>
      <c r="E147" s="188">
        <f t="shared" si="17"/>
        <v>745</v>
      </c>
      <c r="F147" s="188">
        <f t="shared" si="18"/>
        <v>1</v>
      </c>
      <c r="G147" s="188">
        <f t="shared" si="19"/>
        <v>1</v>
      </c>
      <c r="H147" s="188">
        <f t="shared" si="20"/>
        <v>1</v>
      </c>
      <c r="I147" s="188">
        <f t="shared" si="14"/>
        <v>1</v>
      </c>
    </row>
    <row r="148" spans="2:9">
      <c r="B148" s="188">
        <v>132</v>
      </c>
      <c r="C148" s="188">
        <f t="shared" si="15"/>
        <v>1490</v>
      </c>
      <c r="D148" s="188">
        <f t="shared" si="16"/>
        <v>1490</v>
      </c>
      <c r="E148" s="188">
        <f t="shared" si="17"/>
        <v>1490</v>
      </c>
      <c r="F148" s="188">
        <f t="shared" si="18"/>
        <v>0</v>
      </c>
      <c r="G148" s="188">
        <f t="shared" si="19"/>
        <v>0</v>
      </c>
      <c r="H148" s="188">
        <f t="shared" si="20"/>
        <v>0</v>
      </c>
      <c r="I148" s="188" t="str">
        <f t="shared" si="14"/>
        <v/>
      </c>
    </row>
    <row r="149" spans="2:9">
      <c r="B149" s="188">
        <v>133</v>
      </c>
      <c r="C149" s="188">
        <f t="shared" si="15"/>
        <v>2235</v>
      </c>
      <c r="D149" s="188">
        <f t="shared" si="16"/>
        <v>2235</v>
      </c>
      <c r="E149" s="188">
        <f t="shared" si="17"/>
        <v>2235</v>
      </c>
      <c r="F149" s="188">
        <f t="shared" si="18"/>
        <v>0</v>
      </c>
      <c r="G149" s="188">
        <f t="shared" si="19"/>
        <v>0</v>
      </c>
      <c r="H149" s="188">
        <f t="shared" si="20"/>
        <v>0</v>
      </c>
      <c r="I149" s="188" t="str">
        <f t="shared" si="14"/>
        <v/>
      </c>
    </row>
    <row r="150" spans="2:9">
      <c r="B150" s="188">
        <v>134</v>
      </c>
      <c r="C150" s="188">
        <f t="shared" si="15"/>
        <v>2980</v>
      </c>
      <c r="D150" s="188">
        <f t="shared" si="16"/>
        <v>2980</v>
      </c>
      <c r="E150" s="188">
        <f t="shared" si="17"/>
        <v>2980</v>
      </c>
      <c r="F150" s="188">
        <f t="shared" si="18"/>
        <v>0</v>
      </c>
      <c r="G150" s="188">
        <f t="shared" si="19"/>
        <v>0</v>
      </c>
      <c r="H150" s="188">
        <f t="shared" si="20"/>
        <v>0</v>
      </c>
      <c r="I150" s="188" t="str">
        <f t="shared" si="14"/>
        <v/>
      </c>
    </row>
    <row r="151" spans="2:9">
      <c r="B151" s="188">
        <v>135</v>
      </c>
      <c r="C151" s="188">
        <f t="shared" si="15"/>
        <v>3725</v>
      </c>
      <c r="D151" s="188">
        <f t="shared" si="16"/>
        <v>3725</v>
      </c>
      <c r="E151" s="188">
        <f t="shared" si="17"/>
        <v>3725</v>
      </c>
      <c r="F151" s="188">
        <f t="shared" si="18"/>
        <v>0</v>
      </c>
      <c r="G151" s="188">
        <f t="shared" si="19"/>
        <v>0</v>
      </c>
      <c r="H151" s="188">
        <f t="shared" si="20"/>
        <v>0</v>
      </c>
      <c r="I151" s="188" t="str">
        <f t="shared" si="14"/>
        <v/>
      </c>
    </row>
    <row r="152" spans="2:9">
      <c r="B152" s="188">
        <v>136</v>
      </c>
      <c r="C152" s="188">
        <f t="shared" si="15"/>
        <v>4470</v>
      </c>
      <c r="D152" s="188">
        <f t="shared" si="16"/>
        <v>4470</v>
      </c>
      <c r="E152" s="188">
        <f t="shared" si="17"/>
        <v>4470</v>
      </c>
      <c r="F152" s="188">
        <f t="shared" si="18"/>
        <v>0</v>
      </c>
      <c r="G152" s="188">
        <f t="shared" si="19"/>
        <v>0</v>
      </c>
      <c r="H152" s="188">
        <f t="shared" si="20"/>
        <v>0</v>
      </c>
      <c r="I152" s="188" t="str">
        <f t="shared" si="14"/>
        <v/>
      </c>
    </row>
    <row r="153" spans="2:9">
      <c r="B153" s="188">
        <v>137</v>
      </c>
      <c r="C153" s="188">
        <f t="shared" si="15"/>
        <v>5215</v>
      </c>
      <c r="D153" s="188">
        <f t="shared" si="16"/>
        <v>5215</v>
      </c>
      <c r="E153" s="188">
        <f t="shared" si="17"/>
        <v>5215</v>
      </c>
      <c r="F153" s="188">
        <f t="shared" si="18"/>
        <v>0</v>
      </c>
      <c r="G153" s="188">
        <f t="shared" si="19"/>
        <v>0</v>
      </c>
      <c r="H153" s="188">
        <f t="shared" si="20"/>
        <v>0</v>
      </c>
      <c r="I153" s="188" t="str">
        <f t="shared" si="14"/>
        <v/>
      </c>
    </row>
    <row r="154" spans="2:9">
      <c r="B154" s="188">
        <v>138</v>
      </c>
      <c r="C154" s="188">
        <f t="shared" si="15"/>
        <v>5960</v>
      </c>
      <c r="D154" s="188">
        <f t="shared" si="16"/>
        <v>5960</v>
      </c>
      <c r="E154" s="188">
        <f t="shared" si="17"/>
        <v>5960</v>
      </c>
      <c r="F154" s="188">
        <f t="shared" si="18"/>
        <v>0</v>
      </c>
      <c r="G154" s="188">
        <f t="shared" si="19"/>
        <v>0</v>
      </c>
      <c r="H154" s="188">
        <f t="shared" si="20"/>
        <v>0</v>
      </c>
      <c r="I154" s="188" t="str">
        <f t="shared" si="14"/>
        <v/>
      </c>
    </row>
    <row r="155" spans="2:9">
      <c r="B155" s="188">
        <v>139</v>
      </c>
      <c r="C155" s="188">
        <f t="shared" si="15"/>
        <v>6705</v>
      </c>
      <c r="D155" s="188">
        <f t="shared" si="16"/>
        <v>6705</v>
      </c>
      <c r="E155" s="188">
        <f t="shared" si="17"/>
        <v>6705</v>
      </c>
      <c r="F155" s="188">
        <f t="shared" si="18"/>
        <v>0</v>
      </c>
      <c r="G155" s="188">
        <f t="shared" si="19"/>
        <v>0</v>
      </c>
      <c r="H155" s="188">
        <f t="shared" si="20"/>
        <v>0</v>
      </c>
      <c r="I155" s="188" t="str">
        <f t="shared" si="14"/>
        <v/>
      </c>
    </row>
    <row r="156" spans="2:9">
      <c r="B156" s="188">
        <v>140</v>
      </c>
      <c r="C156" s="188">
        <f t="shared" si="15"/>
        <v>7450</v>
      </c>
      <c r="D156" s="188">
        <f t="shared" si="16"/>
        <v>7450</v>
      </c>
      <c r="E156" s="188">
        <f t="shared" si="17"/>
        <v>7450</v>
      </c>
      <c r="F156" s="188">
        <f t="shared" si="18"/>
        <v>0</v>
      </c>
      <c r="G156" s="188">
        <f t="shared" si="19"/>
        <v>0</v>
      </c>
      <c r="H156" s="188">
        <f t="shared" si="20"/>
        <v>0</v>
      </c>
      <c r="I156" s="188" t="str">
        <f t="shared" si="14"/>
        <v/>
      </c>
    </row>
    <row r="157" spans="2:9">
      <c r="B157" s="188">
        <v>141</v>
      </c>
      <c r="C157" s="188">
        <f t="shared" si="15"/>
        <v>8195</v>
      </c>
      <c r="D157" s="188">
        <f t="shared" si="16"/>
        <v>8195</v>
      </c>
      <c r="E157" s="188">
        <f t="shared" si="17"/>
        <v>8195</v>
      </c>
      <c r="F157" s="188">
        <f t="shared" si="18"/>
        <v>0</v>
      </c>
      <c r="G157" s="188">
        <f t="shared" si="19"/>
        <v>0</v>
      </c>
      <c r="H157" s="188">
        <f t="shared" si="20"/>
        <v>0</v>
      </c>
      <c r="I157" s="188" t="str">
        <f t="shared" si="14"/>
        <v/>
      </c>
    </row>
    <row r="158" spans="2:9">
      <c r="B158" s="188">
        <v>142</v>
      </c>
      <c r="C158" s="188">
        <f t="shared" si="15"/>
        <v>8940</v>
      </c>
      <c r="D158" s="188">
        <f t="shared" si="16"/>
        <v>8940</v>
      </c>
      <c r="E158" s="188">
        <f t="shared" si="17"/>
        <v>8940</v>
      </c>
      <c r="F158" s="188">
        <f t="shared" si="18"/>
        <v>0</v>
      </c>
      <c r="G158" s="188">
        <f t="shared" si="19"/>
        <v>0</v>
      </c>
      <c r="H158" s="188">
        <f t="shared" si="20"/>
        <v>0</v>
      </c>
      <c r="I158" s="188" t="str">
        <f t="shared" si="14"/>
        <v/>
      </c>
    </row>
    <row r="159" spans="2:9">
      <c r="B159" s="188">
        <v>143</v>
      </c>
      <c r="C159" s="188">
        <f t="shared" si="15"/>
        <v>9685</v>
      </c>
      <c r="D159" s="188">
        <f t="shared" si="16"/>
        <v>9685</v>
      </c>
      <c r="E159" s="188">
        <f t="shared" si="17"/>
        <v>9685</v>
      </c>
      <c r="F159" s="188">
        <f t="shared" si="18"/>
        <v>0</v>
      </c>
      <c r="G159" s="188">
        <f t="shared" si="19"/>
        <v>0</v>
      </c>
      <c r="H159" s="188">
        <f t="shared" si="20"/>
        <v>0</v>
      </c>
      <c r="I159" s="188" t="str">
        <f t="shared" si="14"/>
        <v/>
      </c>
    </row>
    <row r="160" spans="2:9">
      <c r="B160" s="188">
        <v>144</v>
      </c>
      <c r="C160" s="188">
        <f t="shared" si="15"/>
        <v>10430</v>
      </c>
      <c r="D160" s="188">
        <f t="shared" si="16"/>
        <v>10430</v>
      </c>
      <c r="E160" s="188">
        <f t="shared" si="17"/>
        <v>10430</v>
      </c>
      <c r="F160" s="188">
        <f t="shared" si="18"/>
        <v>0</v>
      </c>
      <c r="G160" s="188">
        <f t="shared" si="19"/>
        <v>0</v>
      </c>
      <c r="H160" s="188">
        <f t="shared" si="20"/>
        <v>0</v>
      </c>
      <c r="I160" s="188" t="str">
        <f t="shared" si="14"/>
        <v/>
      </c>
    </row>
    <row r="161" spans="2:9">
      <c r="B161" s="188">
        <v>145</v>
      </c>
      <c r="C161" s="188">
        <f t="shared" si="15"/>
        <v>11175</v>
      </c>
      <c r="D161" s="188">
        <f t="shared" si="16"/>
        <v>11175</v>
      </c>
      <c r="E161" s="188">
        <f t="shared" si="17"/>
        <v>11175</v>
      </c>
      <c r="F161" s="188">
        <f t="shared" si="18"/>
        <v>0</v>
      </c>
      <c r="G161" s="188">
        <f t="shared" si="19"/>
        <v>0</v>
      </c>
      <c r="H161" s="188">
        <f t="shared" si="20"/>
        <v>0</v>
      </c>
      <c r="I161" s="188" t="str">
        <f t="shared" si="14"/>
        <v/>
      </c>
    </row>
    <row r="162" spans="2:9">
      <c r="B162" s="188">
        <v>146</v>
      </c>
      <c r="C162" s="188">
        <f t="shared" si="15"/>
        <v>11920</v>
      </c>
      <c r="D162" s="188">
        <f t="shared" si="16"/>
        <v>11920</v>
      </c>
      <c r="E162" s="188">
        <f t="shared" si="17"/>
        <v>11920</v>
      </c>
      <c r="F162" s="188">
        <f t="shared" si="18"/>
        <v>0</v>
      </c>
      <c r="G162" s="188">
        <f t="shared" si="19"/>
        <v>0</v>
      </c>
      <c r="H162" s="188">
        <f t="shared" si="20"/>
        <v>0</v>
      </c>
      <c r="I162" s="188" t="str">
        <f t="shared" si="14"/>
        <v/>
      </c>
    </row>
    <row r="163" spans="2:9">
      <c r="B163" s="188">
        <v>147</v>
      </c>
      <c r="C163" s="188">
        <f t="shared" si="15"/>
        <v>12665</v>
      </c>
      <c r="D163" s="188">
        <f t="shared" si="16"/>
        <v>12665</v>
      </c>
      <c r="E163" s="188">
        <f t="shared" si="17"/>
        <v>12665</v>
      </c>
      <c r="F163" s="188">
        <f t="shared" si="18"/>
        <v>0</v>
      </c>
      <c r="G163" s="188">
        <f t="shared" si="19"/>
        <v>0</v>
      </c>
      <c r="H163" s="188">
        <f t="shared" si="20"/>
        <v>0</v>
      </c>
      <c r="I163" s="188" t="str">
        <f t="shared" si="14"/>
        <v/>
      </c>
    </row>
    <row r="164" spans="2:9">
      <c r="B164" s="188">
        <v>148</v>
      </c>
      <c r="C164" s="188">
        <f t="shared" si="15"/>
        <v>13410</v>
      </c>
      <c r="D164" s="188">
        <f t="shared" si="16"/>
        <v>13410</v>
      </c>
      <c r="E164" s="188">
        <f t="shared" si="17"/>
        <v>13410</v>
      </c>
      <c r="F164" s="188">
        <f t="shared" si="18"/>
        <v>0</v>
      </c>
      <c r="G164" s="188">
        <f t="shared" si="19"/>
        <v>0</v>
      </c>
      <c r="H164" s="188">
        <f t="shared" si="20"/>
        <v>0</v>
      </c>
      <c r="I164" s="188" t="str">
        <f t="shared" si="14"/>
        <v/>
      </c>
    </row>
    <row r="165" spans="2:9">
      <c r="B165" s="188">
        <v>149</v>
      </c>
      <c r="C165" s="188">
        <f t="shared" si="15"/>
        <v>14155</v>
      </c>
      <c r="D165" s="188">
        <f t="shared" si="16"/>
        <v>14155</v>
      </c>
      <c r="E165" s="188">
        <f t="shared" si="17"/>
        <v>14155</v>
      </c>
      <c r="F165" s="188">
        <f t="shared" si="18"/>
        <v>0</v>
      </c>
      <c r="G165" s="188">
        <f t="shared" si="19"/>
        <v>0</v>
      </c>
      <c r="H165" s="188">
        <f t="shared" si="20"/>
        <v>0</v>
      </c>
      <c r="I165" s="188" t="str">
        <f t="shared" si="14"/>
        <v/>
      </c>
    </row>
    <row r="166" spans="2:9">
      <c r="B166" s="188">
        <v>150</v>
      </c>
      <c r="C166" s="188">
        <f t="shared" si="15"/>
        <v>14900</v>
      </c>
      <c r="D166" s="188">
        <f t="shared" si="16"/>
        <v>14900</v>
      </c>
      <c r="E166" s="188">
        <f t="shared" si="17"/>
        <v>14900</v>
      </c>
      <c r="F166" s="188">
        <f t="shared" si="18"/>
        <v>0</v>
      </c>
      <c r="G166" s="188">
        <f t="shared" si="19"/>
        <v>0</v>
      </c>
      <c r="H166" s="188">
        <f t="shared" si="20"/>
        <v>0</v>
      </c>
      <c r="I166" s="188" t="str">
        <f t="shared" si="14"/>
        <v/>
      </c>
    </row>
    <row r="167" spans="2:9">
      <c r="B167" s="188">
        <v>151</v>
      </c>
      <c r="C167" s="188">
        <f t="shared" si="15"/>
        <v>15645</v>
      </c>
      <c r="D167" s="188">
        <f t="shared" si="16"/>
        <v>15645</v>
      </c>
      <c r="E167" s="188">
        <f t="shared" si="17"/>
        <v>15645</v>
      </c>
      <c r="F167" s="188">
        <f t="shared" si="18"/>
        <v>0</v>
      </c>
      <c r="G167" s="188">
        <f t="shared" si="19"/>
        <v>0</v>
      </c>
      <c r="H167" s="188">
        <f t="shared" si="20"/>
        <v>0</v>
      </c>
      <c r="I167" s="188" t="str">
        <f t="shared" si="14"/>
        <v/>
      </c>
    </row>
    <row r="168" spans="2:9">
      <c r="B168" s="188">
        <v>152</v>
      </c>
      <c r="C168" s="188">
        <f t="shared" si="15"/>
        <v>16390</v>
      </c>
      <c r="D168" s="188">
        <f t="shared" si="16"/>
        <v>16390</v>
      </c>
      <c r="E168" s="188">
        <f t="shared" si="17"/>
        <v>16390</v>
      </c>
      <c r="F168" s="188">
        <f t="shared" si="18"/>
        <v>0</v>
      </c>
      <c r="G168" s="188">
        <f t="shared" si="19"/>
        <v>0</v>
      </c>
      <c r="H168" s="188">
        <f t="shared" si="20"/>
        <v>0</v>
      </c>
      <c r="I168" s="188" t="str">
        <f t="shared" si="14"/>
        <v/>
      </c>
    </row>
    <row r="169" spans="2:9">
      <c r="B169" s="188">
        <v>153</v>
      </c>
      <c r="C169" s="188">
        <f t="shared" si="15"/>
        <v>17135</v>
      </c>
      <c r="D169" s="188">
        <f t="shared" si="16"/>
        <v>17135</v>
      </c>
      <c r="E169" s="188">
        <f t="shared" si="17"/>
        <v>17135</v>
      </c>
      <c r="F169" s="188">
        <f t="shared" si="18"/>
        <v>0</v>
      </c>
      <c r="G169" s="188">
        <f t="shared" si="19"/>
        <v>0</v>
      </c>
      <c r="H169" s="188">
        <f t="shared" si="20"/>
        <v>0</v>
      </c>
      <c r="I169" s="188" t="str">
        <f t="shared" si="14"/>
        <v/>
      </c>
    </row>
    <row r="170" spans="2:9">
      <c r="B170" s="188">
        <v>154</v>
      </c>
      <c r="C170" s="188">
        <f t="shared" si="15"/>
        <v>17880</v>
      </c>
      <c r="D170" s="188">
        <f t="shared" si="16"/>
        <v>17880</v>
      </c>
      <c r="E170" s="188">
        <f t="shared" si="17"/>
        <v>17880</v>
      </c>
      <c r="F170" s="188">
        <f t="shared" si="18"/>
        <v>0</v>
      </c>
      <c r="G170" s="188">
        <f t="shared" si="19"/>
        <v>0</v>
      </c>
      <c r="H170" s="188">
        <f t="shared" si="20"/>
        <v>0</v>
      </c>
      <c r="I170" s="188" t="str">
        <f t="shared" si="14"/>
        <v/>
      </c>
    </row>
    <row r="171" spans="2:9">
      <c r="B171" s="188">
        <v>155</v>
      </c>
      <c r="C171" s="188">
        <f t="shared" si="15"/>
        <v>18625</v>
      </c>
      <c r="D171" s="188">
        <f t="shared" si="16"/>
        <v>18625</v>
      </c>
      <c r="E171" s="188">
        <f t="shared" si="17"/>
        <v>18625</v>
      </c>
      <c r="F171" s="188">
        <f t="shared" si="18"/>
        <v>0</v>
      </c>
      <c r="G171" s="188">
        <f t="shared" si="19"/>
        <v>0</v>
      </c>
      <c r="H171" s="188">
        <f t="shared" si="20"/>
        <v>0</v>
      </c>
      <c r="I171" s="188" t="str">
        <f t="shared" si="14"/>
        <v/>
      </c>
    </row>
    <row r="172" spans="2:9">
      <c r="B172" s="188">
        <v>156</v>
      </c>
      <c r="C172" s="188">
        <f t="shared" si="15"/>
        <v>19370</v>
      </c>
      <c r="D172" s="188">
        <f t="shared" si="16"/>
        <v>19370</v>
      </c>
      <c r="E172" s="188">
        <f t="shared" si="17"/>
        <v>19370</v>
      </c>
      <c r="F172" s="188">
        <f t="shared" si="18"/>
        <v>0</v>
      </c>
      <c r="G172" s="188">
        <f t="shared" si="19"/>
        <v>0</v>
      </c>
      <c r="H172" s="188">
        <f t="shared" si="20"/>
        <v>0</v>
      </c>
      <c r="I172" s="188" t="str">
        <f t="shared" si="14"/>
        <v/>
      </c>
    </row>
    <row r="173" spans="2:9">
      <c r="B173" s="188">
        <v>157</v>
      </c>
      <c r="C173" s="188">
        <f t="shared" si="15"/>
        <v>745</v>
      </c>
      <c r="D173" s="188">
        <f t="shared" si="16"/>
        <v>745</v>
      </c>
      <c r="E173" s="188">
        <f t="shared" si="17"/>
        <v>745</v>
      </c>
      <c r="F173" s="188">
        <f t="shared" si="18"/>
        <v>1</v>
      </c>
      <c r="G173" s="188">
        <f t="shared" si="19"/>
        <v>1</v>
      </c>
      <c r="H173" s="188">
        <f t="shared" si="20"/>
        <v>1</v>
      </c>
      <c r="I173" s="188">
        <f t="shared" si="14"/>
        <v>1</v>
      </c>
    </row>
    <row r="174" spans="2:9">
      <c r="B174" s="188">
        <v>158</v>
      </c>
      <c r="C174" s="188">
        <f t="shared" si="15"/>
        <v>1490</v>
      </c>
      <c r="D174" s="188">
        <f t="shared" si="16"/>
        <v>1490</v>
      </c>
      <c r="E174" s="188">
        <f t="shared" si="17"/>
        <v>1490</v>
      </c>
      <c r="F174" s="188">
        <f t="shared" si="18"/>
        <v>0</v>
      </c>
      <c r="G174" s="188">
        <f t="shared" si="19"/>
        <v>0</v>
      </c>
      <c r="H174" s="188">
        <f t="shared" si="20"/>
        <v>0</v>
      </c>
      <c r="I174" s="188" t="str">
        <f t="shared" si="14"/>
        <v/>
      </c>
    </row>
    <row r="175" spans="2:9">
      <c r="B175" s="188">
        <v>159</v>
      </c>
      <c r="C175" s="188">
        <f t="shared" si="15"/>
        <v>2235</v>
      </c>
      <c r="D175" s="188">
        <f t="shared" si="16"/>
        <v>2235</v>
      </c>
      <c r="E175" s="188">
        <f t="shared" si="17"/>
        <v>2235</v>
      </c>
      <c r="F175" s="188">
        <f t="shared" si="18"/>
        <v>0</v>
      </c>
      <c r="G175" s="188">
        <f t="shared" si="19"/>
        <v>0</v>
      </c>
      <c r="H175" s="188">
        <f t="shared" si="20"/>
        <v>0</v>
      </c>
      <c r="I175" s="188" t="str">
        <f t="shared" si="14"/>
        <v/>
      </c>
    </row>
    <row r="176" spans="2:9">
      <c r="B176" s="188">
        <v>160</v>
      </c>
      <c r="C176" s="188">
        <f t="shared" si="15"/>
        <v>2980</v>
      </c>
      <c r="D176" s="188">
        <f t="shared" si="16"/>
        <v>2980</v>
      </c>
      <c r="E176" s="188">
        <f t="shared" si="17"/>
        <v>2980</v>
      </c>
      <c r="F176" s="188">
        <f t="shared" si="18"/>
        <v>0</v>
      </c>
      <c r="G176" s="188">
        <f t="shared" si="19"/>
        <v>0</v>
      </c>
      <c r="H176" s="188">
        <f t="shared" si="20"/>
        <v>0</v>
      </c>
      <c r="I176" s="188" t="str">
        <f t="shared" si="14"/>
        <v/>
      </c>
    </row>
    <row r="177" spans="2:9">
      <c r="B177" s="188">
        <v>161</v>
      </c>
      <c r="C177" s="188">
        <f t="shared" si="15"/>
        <v>3725</v>
      </c>
      <c r="D177" s="188">
        <f t="shared" si="16"/>
        <v>3725</v>
      </c>
      <c r="E177" s="188">
        <f t="shared" si="17"/>
        <v>3725</v>
      </c>
      <c r="F177" s="188">
        <f t="shared" si="18"/>
        <v>0</v>
      </c>
      <c r="G177" s="188">
        <f t="shared" si="19"/>
        <v>0</v>
      </c>
      <c r="H177" s="188">
        <f t="shared" si="20"/>
        <v>0</v>
      </c>
      <c r="I177" s="188" t="str">
        <f t="shared" si="14"/>
        <v/>
      </c>
    </row>
    <row r="178" spans="2:9">
      <c r="B178" s="188">
        <v>162</v>
      </c>
      <c r="C178" s="188">
        <f t="shared" si="15"/>
        <v>4470</v>
      </c>
      <c r="D178" s="188">
        <f t="shared" si="16"/>
        <v>4470</v>
      </c>
      <c r="E178" s="188">
        <f t="shared" si="17"/>
        <v>4470</v>
      </c>
      <c r="F178" s="188">
        <f t="shared" si="18"/>
        <v>0</v>
      </c>
      <c r="G178" s="188">
        <f t="shared" si="19"/>
        <v>0</v>
      </c>
      <c r="H178" s="188">
        <f t="shared" si="20"/>
        <v>0</v>
      </c>
      <c r="I178" s="188" t="str">
        <f t="shared" si="14"/>
        <v/>
      </c>
    </row>
    <row r="179" spans="2:9">
      <c r="B179" s="188">
        <v>163</v>
      </c>
      <c r="C179" s="188">
        <f t="shared" si="15"/>
        <v>5215</v>
      </c>
      <c r="D179" s="188">
        <f t="shared" si="16"/>
        <v>5215</v>
      </c>
      <c r="E179" s="188">
        <f t="shared" si="17"/>
        <v>5215</v>
      </c>
      <c r="F179" s="188">
        <f t="shared" si="18"/>
        <v>0</v>
      </c>
      <c r="G179" s="188">
        <f t="shared" si="19"/>
        <v>0</v>
      </c>
      <c r="H179" s="188">
        <f t="shared" si="20"/>
        <v>0</v>
      </c>
      <c r="I179" s="188" t="str">
        <f t="shared" si="14"/>
        <v/>
      </c>
    </row>
    <row r="180" spans="2:9">
      <c r="B180" s="188">
        <v>164</v>
      </c>
      <c r="C180" s="188">
        <f t="shared" si="15"/>
        <v>5960</v>
      </c>
      <c r="D180" s="188">
        <f t="shared" si="16"/>
        <v>5960</v>
      </c>
      <c r="E180" s="188">
        <f t="shared" si="17"/>
        <v>5960</v>
      </c>
      <c r="F180" s="188">
        <f t="shared" si="18"/>
        <v>0</v>
      </c>
      <c r="G180" s="188">
        <f t="shared" si="19"/>
        <v>0</v>
      </c>
      <c r="H180" s="188">
        <f t="shared" si="20"/>
        <v>0</v>
      </c>
      <c r="I180" s="188" t="str">
        <f t="shared" si="14"/>
        <v/>
      </c>
    </row>
    <row r="181" spans="2:9">
      <c r="B181" s="188">
        <v>165</v>
      </c>
      <c r="C181" s="188">
        <f t="shared" si="15"/>
        <v>6705</v>
      </c>
      <c r="D181" s="188">
        <f t="shared" si="16"/>
        <v>6705</v>
      </c>
      <c r="E181" s="188">
        <f t="shared" si="17"/>
        <v>6705</v>
      </c>
      <c r="F181" s="188">
        <f t="shared" si="18"/>
        <v>0</v>
      </c>
      <c r="G181" s="188">
        <f t="shared" si="19"/>
        <v>0</v>
      </c>
      <c r="H181" s="188">
        <f t="shared" si="20"/>
        <v>0</v>
      </c>
      <c r="I181" s="188" t="str">
        <f t="shared" si="14"/>
        <v/>
      </c>
    </row>
    <row r="182" spans="2:9">
      <c r="B182" s="188">
        <v>166</v>
      </c>
      <c r="C182" s="188">
        <f t="shared" si="15"/>
        <v>7450</v>
      </c>
      <c r="D182" s="188">
        <f t="shared" si="16"/>
        <v>7450</v>
      </c>
      <c r="E182" s="188">
        <f t="shared" si="17"/>
        <v>7450</v>
      </c>
      <c r="F182" s="188">
        <f t="shared" si="18"/>
        <v>0</v>
      </c>
      <c r="G182" s="188">
        <f t="shared" si="19"/>
        <v>0</v>
      </c>
      <c r="H182" s="188">
        <f t="shared" si="20"/>
        <v>0</v>
      </c>
      <c r="I182" s="188" t="str">
        <f t="shared" si="14"/>
        <v/>
      </c>
    </row>
    <row r="183" spans="2:9">
      <c r="B183" s="188">
        <v>167</v>
      </c>
      <c r="C183" s="188">
        <f t="shared" si="15"/>
        <v>8195</v>
      </c>
      <c r="D183" s="188">
        <f t="shared" si="16"/>
        <v>8195</v>
      </c>
      <c r="E183" s="188">
        <f t="shared" si="17"/>
        <v>8195</v>
      </c>
      <c r="F183" s="188">
        <f t="shared" si="18"/>
        <v>0</v>
      </c>
      <c r="G183" s="188">
        <f t="shared" si="19"/>
        <v>0</v>
      </c>
      <c r="H183" s="188">
        <f t="shared" si="20"/>
        <v>0</v>
      </c>
      <c r="I183" s="188" t="str">
        <f t="shared" si="14"/>
        <v/>
      </c>
    </row>
    <row r="184" spans="2:9">
      <c r="B184" s="188">
        <v>168</v>
      </c>
      <c r="C184" s="188">
        <f t="shared" si="15"/>
        <v>8940</v>
      </c>
      <c r="D184" s="188">
        <f t="shared" si="16"/>
        <v>8940</v>
      </c>
      <c r="E184" s="188">
        <f t="shared" si="17"/>
        <v>8940</v>
      </c>
      <c r="F184" s="188">
        <f t="shared" si="18"/>
        <v>0</v>
      </c>
      <c r="G184" s="188">
        <f t="shared" si="19"/>
        <v>0</v>
      </c>
      <c r="H184" s="188">
        <f t="shared" si="20"/>
        <v>0</v>
      </c>
      <c r="I184" s="188" t="str">
        <f t="shared" si="14"/>
        <v/>
      </c>
    </row>
    <row r="185" spans="2:9">
      <c r="B185" s="188">
        <v>169</v>
      </c>
      <c r="C185" s="188">
        <f t="shared" si="15"/>
        <v>9685</v>
      </c>
      <c r="D185" s="188">
        <f t="shared" si="16"/>
        <v>9685</v>
      </c>
      <c r="E185" s="188">
        <f t="shared" si="17"/>
        <v>9685</v>
      </c>
      <c r="F185" s="188">
        <f t="shared" si="18"/>
        <v>0</v>
      </c>
      <c r="G185" s="188">
        <f t="shared" si="19"/>
        <v>0</v>
      </c>
      <c r="H185" s="188">
        <f t="shared" si="20"/>
        <v>0</v>
      </c>
      <c r="I185" s="188" t="str">
        <f t="shared" si="14"/>
        <v/>
      </c>
    </row>
    <row r="186" spans="2:9">
      <c r="B186" s="188">
        <v>170</v>
      </c>
      <c r="C186" s="188">
        <f t="shared" si="15"/>
        <v>10430</v>
      </c>
      <c r="D186" s="188">
        <f t="shared" si="16"/>
        <v>10430</v>
      </c>
      <c r="E186" s="188">
        <f t="shared" si="17"/>
        <v>10430</v>
      </c>
      <c r="F186" s="188">
        <f t="shared" si="18"/>
        <v>0</v>
      </c>
      <c r="G186" s="188">
        <f t="shared" si="19"/>
        <v>0</v>
      </c>
      <c r="H186" s="188">
        <f t="shared" si="20"/>
        <v>0</v>
      </c>
      <c r="I186" s="188" t="str">
        <f t="shared" si="14"/>
        <v/>
      </c>
    </row>
    <row r="187" spans="2:9">
      <c r="B187" s="188">
        <v>171</v>
      </c>
      <c r="C187" s="188">
        <f t="shared" si="15"/>
        <v>11175</v>
      </c>
      <c r="D187" s="188">
        <f t="shared" si="16"/>
        <v>11175</v>
      </c>
      <c r="E187" s="188">
        <f t="shared" si="17"/>
        <v>11175</v>
      </c>
      <c r="F187" s="188">
        <f t="shared" si="18"/>
        <v>0</v>
      </c>
      <c r="G187" s="188">
        <f t="shared" si="19"/>
        <v>0</v>
      </c>
      <c r="H187" s="188">
        <f t="shared" si="20"/>
        <v>0</v>
      </c>
      <c r="I187" s="188" t="str">
        <f t="shared" si="14"/>
        <v/>
      </c>
    </row>
    <row r="188" spans="2:9">
      <c r="B188" s="188">
        <v>172</v>
      </c>
      <c r="C188" s="188">
        <f t="shared" si="15"/>
        <v>11920</v>
      </c>
      <c r="D188" s="188">
        <f t="shared" si="16"/>
        <v>11920</v>
      </c>
      <c r="E188" s="188">
        <f t="shared" si="17"/>
        <v>11920</v>
      </c>
      <c r="F188" s="188">
        <f t="shared" si="18"/>
        <v>0</v>
      </c>
      <c r="G188" s="188">
        <f t="shared" si="19"/>
        <v>0</v>
      </c>
      <c r="H188" s="188">
        <f t="shared" si="20"/>
        <v>0</v>
      </c>
      <c r="I188" s="188" t="str">
        <f t="shared" si="14"/>
        <v/>
      </c>
    </row>
    <row r="189" spans="2:9">
      <c r="B189" s="188">
        <v>173</v>
      </c>
      <c r="C189" s="188">
        <f t="shared" si="15"/>
        <v>12665</v>
      </c>
      <c r="D189" s="188">
        <f t="shared" si="16"/>
        <v>12665</v>
      </c>
      <c r="E189" s="188">
        <f t="shared" si="17"/>
        <v>12665</v>
      </c>
      <c r="F189" s="188">
        <f t="shared" si="18"/>
        <v>0</v>
      </c>
      <c r="G189" s="188">
        <f t="shared" si="19"/>
        <v>0</v>
      </c>
      <c r="H189" s="188">
        <f t="shared" si="20"/>
        <v>0</v>
      </c>
      <c r="I189" s="188" t="str">
        <f t="shared" si="14"/>
        <v/>
      </c>
    </row>
    <row r="190" spans="2:9">
      <c r="B190" s="188">
        <v>174</v>
      </c>
      <c r="C190" s="188">
        <f t="shared" si="15"/>
        <v>13410</v>
      </c>
      <c r="D190" s="188">
        <f t="shared" si="16"/>
        <v>13410</v>
      </c>
      <c r="E190" s="188">
        <f t="shared" si="17"/>
        <v>13410</v>
      </c>
      <c r="F190" s="188">
        <f t="shared" si="18"/>
        <v>0</v>
      </c>
      <c r="G190" s="188">
        <f t="shared" si="19"/>
        <v>0</v>
      </c>
      <c r="H190" s="188">
        <f t="shared" si="20"/>
        <v>0</v>
      </c>
      <c r="I190" s="188" t="str">
        <f t="shared" si="14"/>
        <v/>
      </c>
    </row>
    <row r="191" spans="2:9">
      <c r="B191" s="188">
        <v>175</v>
      </c>
      <c r="C191" s="188">
        <f t="shared" si="15"/>
        <v>14155</v>
      </c>
      <c r="D191" s="188">
        <f t="shared" si="16"/>
        <v>14155</v>
      </c>
      <c r="E191" s="188">
        <f t="shared" si="17"/>
        <v>14155</v>
      </c>
      <c r="F191" s="188">
        <f t="shared" si="18"/>
        <v>0</v>
      </c>
      <c r="G191" s="188">
        <f t="shared" si="19"/>
        <v>0</v>
      </c>
      <c r="H191" s="188">
        <f t="shared" si="20"/>
        <v>0</v>
      </c>
      <c r="I191" s="188" t="str">
        <f t="shared" si="14"/>
        <v/>
      </c>
    </row>
    <row r="192" spans="2:9">
      <c r="B192" s="188">
        <v>176</v>
      </c>
      <c r="C192" s="188">
        <f t="shared" si="15"/>
        <v>14900</v>
      </c>
      <c r="D192" s="188">
        <f t="shared" si="16"/>
        <v>14900</v>
      </c>
      <c r="E192" s="188">
        <f t="shared" si="17"/>
        <v>14900</v>
      </c>
      <c r="F192" s="188">
        <f t="shared" si="18"/>
        <v>0</v>
      </c>
      <c r="G192" s="188">
        <f t="shared" si="19"/>
        <v>0</v>
      </c>
      <c r="H192" s="188">
        <f t="shared" si="20"/>
        <v>0</v>
      </c>
      <c r="I192" s="188" t="str">
        <f t="shared" si="14"/>
        <v/>
      </c>
    </row>
    <row r="193" spans="2:9">
      <c r="B193" s="188">
        <v>177</v>
      </c>
      <c r="C193" s="188">
        <f t="shared" si="15"/>
        <v>15645</v>
      </c>
      <c r="D193" s="188">
        <f t="shared" si="16"/>
        <v>15645</v>
      </c>
      <c r="E193" s="188">
        <f t="shared" si="17"/>
        <v>15645</v>
      </c>
      <c r="F193" s="188">
        <f t="shared" si="18"/>
        <v>0</v>
      </c>
      <c r="G193" s="188">
        <f t="shared" si="19"/>
        <v>0</v>
      </c>
      <c r="H193" s="188">
        <f t="shared" si="20"/>
        <v>0</v>
      </c>
      <c r="I193" s="188" t="str">
        <f t="shared" si="14"/>
        <v/>
      </c>
    </row>
    <row r="194" spans="2:9">
      <c r="B194" s="188">
        <v>178</v>
      </c>
      <c r="C194" s="188">
        <f t="shared" si="15"/>
        <v>16390</v>
      </c>
      <c r="D194" s="188">
        <f t="shared" si="16"/>
        <v>16390</v>
      </c>
      <c r="E194" s="188">
        <f t="shared" si="17"/>
        <v>16390</v>
      </c>
      <c r="F194" s="188">
        <f t="shared" si="18"/>
        <v>0</v>
      </c>
      <c r="G194" s="188">
        <f t="shared" si="19"/>
        <v>0</v>
      </c>
      <c r="H194" s="188">
        <f t="shared" si="20"/>
        <v>0</v>
      </c>
      <c r="I194" s="188" t="str">
        <f t="shared" si="14"/>
        <v/>
      </c>
    </row>
    <row r="195" spans="2:9">
      <c r="B195" s="188">
        <v>179</v>
      </c>
      <c r="C195" s="188">
        <f t="shared" si="15"/>
        <v>17135</v>
      </c>
      <c r="D195" s="188">
        <f t="shared" si="16"/>
        <v>17135</v>
      </c>
      <c r="E195" s="188">
        <f t="shared" si="17"/>
        <v>17135</v>
      </c>
      <c r="F195" s="188">
        <f t="shared" si="18"/>
        <v>0</v>
      </c>
      <c r="G195" s="188">
        <f t="shared" si="19"/>
        <v>0</v>
      </c>
      <c r="H195" s="188">
        <f t="shared" si="20"/>
        <v>0</v>
      </c>
      <c r="I195" s="188" t="str">
        <f t="shared" si="14"/>
        <v/>
      </c>
    </row>
    <row r="196" spans="2:9">
      <c r="B196" s="188">
        <v>180</v>
      </c>
      <c r="C196" s="188">
        <f t="shared" si="15"/>
        <v>17880</v>
      </c>
      <c r="D196" s="188">
        <f t="shared" si="16"/>
        <v>17880</v>
      </c>
      <c r="E196" s="188">
        <f t="shared" si="17"/>
        <v>17880</v>
      </c>
      <c r="F196" s="188">
        <f t="shared" si="18"/>
        <v>0</v>
      </c>
      <c r="G196" s="188">
        <f t="shared" si="19"/>
        <v>0</v>
      </c>
      <c r="H196" s="188">
        <f t="shared" si="20"/>
        <v>0</v>
      </c>
      <c r="I196" s="188" t="str">
        <f t="shared" si="14"/>
        <v/>
      </c>
    </row>
    <row r="197" spans="2:9">
      <c r="B197" s="188">
        <v>181</v>
      </c>
      <c r="C197" s="188">
        <f t="shared" si="15"/>
        <v>18625</v>
      </c>
      <c r="D197" s="188">
        <f t="shared" si="16"/>
        <v>18625</v>
      </c>
      <c r="E197" s="188">
        <f t="shared" si="17"/>
        <v>18625</v>
      </c>
      <c r="F197" s="188">
        <f t="shared" si="18"/>
        <v>0</v>
      </c>
      <c r="G197" s="188">
        <f t="shared" si="19"/>
        <v>0</v>
      </c>
      <c r="H197" s="188">
        <f t="shared" si="20"/>
        <v>0</v>
      </c>
      <c r="I197" s="188" t="str">
        <f t="shared" si="14"/>
        <v/>
      </c>
    </row>
    <row r="198" spans="2:9">
      <c r="B198" s="188">
        <v>182</v>
      </c>
      <c r="C198" s="188">
        <f t="shared" si="15"/>
        <v>19370</v>
      </c>
      <c r="D198" s="188">
        <f t="shared" si="16"/>
        <v>19370</v>
      </c>
      <c r="E198" s="188">
        <f t="shared" si="17"/>
        <v>19370</v>
      </c>
      <c r="F198" s="188">
        <f t="shared" si="18"/>
        <v>0</v>
      </c>
      <c r="G198" s="188">
        <f t="shared" si="19"/>
        <v>0</v>
      </c>
      <c r="H198" s="188">
        <f t="shared" si="20"/>
        <v>0</v>
      </c>
      <c r="I198" s="188" t="str">
        <f t="shared" si="14"/>
        <v/>
      </c>
    </row>
    <row r="199" spans="2:9">
      <c r="B199" s="188">
        <v>183</v>
      </c>
      <c r="C199" s="188">
        <f t="shared" si="15"/>
        <v>745</v>
      </c>
      <c r="D199" s="188">
        <f t="shared" si="16"/>
        <v>745</v>
      </c>
      <c r="E199" s="188">
        <f t="shared" si="17"/>
        <v>745</v>
      </c>
      <c r="F199" s="188">
        <f t="shared" si="18"/>
        <v>1</v>
      </c>
      <c r="G199" s="188">
        <f t="shared" si="19"/>
        <v>1</v>
      </c>
      <c r="H199" s="188">
        <f t="shared" si="20"/>
        <v>1</v>
      </c>
      <c r="I199" s="188">
        <f t="shared" si="14"/>
        <v>1</v>
      </c>
    </row>
    <row r="200" spans="2:9">
      <c r="B200" s="188">
        <v>184</v>
      </c>
      <c r="C200" s="188">
        <f t="shared" si="15"/>
        <v>1490</v>
      </c>
      <c r="D200" s="188">
        <f t="shared" si="16"/>
        <v>1490</v>
      </c>
      <c r="E200" s="188">
        <f t="shared" si="17"/>
        <v>1490</v>
      </c>
      <c r="F200" s="188">
        <f t="shared" si="18"/>
        <v>0</v>
      </c>
      <c r="G200" s="188">
        <f t="shared" si="19"/>
        <v>0</v>
      </c>
      <c r="H200" s="188">
        <f t="shared" si="20"/>
        <v>0</v>
      </c>
      <c r="I200" s="188" t="str">
        <f t="shared" si="14"/>
        <v/>
      </c>
    </row>
    <row r="201" spans="2:9">
      <c r="B201" s="188">
        <v>185</v>
      </c>
      <c r="C201" s="188">
        <f t="shared" si="15"/>
        <v>2235</v>
      </c>
      <c r="D201" s="188">
        <f t="shared" si="16"/>
        <v>2235</v>
      </c>
      <c r="E201" s="188">
        <f t="shared" si="17"/>
        <v>2235</v>
      </c>
      <c r="F201" s="188">
        <f t="shared" si="18"/>
        <v>0</v>
      </c>
      <c r="G201" s="188">
        <f t="shared" si="19"/>
        <v>0</v>
      </c>
      <c r="H201" s="188">
        <f t="shared" si="20"/>
        <v>0</v>
      </c>
      <c r="I201" s="188" t="str">
        <f t="shared" si="14"/>
        <v/>
      </c>
    </row>
    <row r="202" spans="2:9">
      <c r="B202" s="188">
        <v>186</v>
      </c>
      <c r="C202" s="188">
        <f t="shared" si="15"/>
        <v>2980</v>
      </c>
      <c r="D202" s="188">
        <f t="shared" si="16"/>
        <v>2980</v>
      </c>
      <c r="E202" s="188">
        <f t="shared" si="17"/>
        <v>2980</v>
      </c>
      <c r="F202" s="188">
        <f t="shared" si="18"/>
        <v>0</v>
      </c>
      <c r="G202" s="188">
        <f t="shared" si="19"/>
        <v>0</v>
      </c>
      <c r="H202" s="188">
        <f t="shared" si="20"/>
        <v>0</v>
      </c>
      <c r="I202" s="188" t="str">
        <f t="shared" si="14"/>
        <v/>
      </c>
    </row>
    <row r="203" spans="2:9">
      <c r="B203" s="188">
        <v>187</v>
      </c>
      <c r="C203" s="188">
        <f t="shared" si="15"/>
        <v>3725</v>
      </c>
      <c r="D203" s="188">
        <f t="shared" si="16"/>
        <v>3725</v>
      </c>
      <c r="E203" s="188">
        <f t="shared" si="17"/>
        <v>3725</v>
      </c>
      <c r="F203" s="188">
        <f t="shared" si="18"/>
        <v>0</v>
      </c>
      <c r="G203" s="188">
        <f t="shared" si="19"/>
        <v>0</v>
      </c>
      <c r="H203" s="188">
        <f t="shared" si="20"/>
        <v>0</v>
      </c>
      <c r="I203" s="188" t="str">
        <f t="shared" si="14"/>
        <v/>
      </c>
    </row>
    <row r="204" spans="2:9">
      <c r="B204" s="188">
        <v>188</v>
      </c>
      <c r="C204" s="188">
        <f t="shared" si="15"/>
        <v>4470</v>
      </c>
      <c r="D204" s="188">
        <f t="shared" si="16"/>
        <v>4470</v>
      </c>
      <c r="E204" s="188">
        <f t="shared" si="17"/>
        <v>4470</v>
      </c>
      <c r="F204" s="188">
        <f t="shared" si="18"/>
        <v>0</v>
      </c>
      <c r="G204" s="188">
        <f t="shared" si="19"/>
        <v>0</v>
      </c>
      <c r="H204" s="188">
        <f t="shared" si="20"/>
        <v>0</v>
      </c>
      <c r="I204" s="188" t="str">
        <f t="shared" si="14"/>
        <v/>
      </c>
    </row>
    <row r="205" spans="2:9">
      <c r="B205" s="188">
        <v>189</v>
      </c>
      <c r="C205" s="188">
        <f t="shared" si="15"/>
        <v>5215</v>
      </c>
      <c r="D205" s="188">
        <f t="shared" si="16"/>
        <v>5215</v>
      </c>
      <c r="E205" s="188">
        <f t="shared" si="17"/>
        <v>5215</v>
      </c>
      <c r="F205" s="188">
        <f t="shared" si="18"/>
        <v>0</v>
      </c>
      <c r="G205" s="188">
        <f t="shared" si="19"/>
        <v>0</v>
      </c>
      <c r="H205" s="188">
        <f t="shared" si="20"/>
        <v>0</v>
      </c>
      <c r="I205" s="188" t="str">
        <f t="shared" si="14"/>
        <v/>
      </c>
    </row>
    <row r="206" spans="2:9">
      <c r="B206" s="188">
        <v>190</v>
      </c>
      <c r="C206" s="188">
        <f t="shared" si="15"/>
        <v>5960</v>
      </c>
      <c r="D206" s="188">
        <f t="shared" si="16"/>
        <v>5960</v>
      </c>
      <c r="E206" s="188">
        <f t="shared" si="17"/>
        <v>5960</v>
      </c>
      <c r="F206" s="188">
        <f t="shared" si="18"/>
        <v>0</v>
      </c>
      <c r="G206" s="188">
        <f t="shared" si="19"/>
        <v>0</v>
      </c>
      <c r="H206" s="188">
        <f t="shared" si="20"/>
        <v>0</v>
      </c>
      <c r="I206" s="188" t="str">
        <f t="shared" si="14"/>
        <v/>
      </c>
    </row>
    <row r="207" spans="2:9">
      <c r="B207" s="188">
        <v>191</v>
      </c>
      <c r="C207" s="188">
        <f t="shared" si="15"/>
        <v>6705</v>
      </c>
      <c r="D207" s="188">
        <f t="shared" si="16"/>
        <v>6705</v>
      </c>
      <c r="E207" s="188">
        <f t="shared" si="17"/>
        <v>6705</v>
      </c>
      <c r="F207" s="188">
        <f t="shared" si="18"/>
        <v>0</v>
      </c>
      <c r="G207" s="188">
        <f t="shared" si="19"/>
        <v>0</v>
      </c>
      <c r="H207" s="188">
        <f t="shared" si="20"/>
        <v>0</v>
      </c>
      <c r="I207" s="188" t="str">
        <f t="shared" si="14"/>
        <v/>
      </c>
    </row>
    <row r="208" spans="2:9">
      <c r="B208" s="188">
        <v>192</v>
      </c>
      <c r="C208" s="188">
        <f t="shared" si="15"/>
        <v>7450</v>
      </c>
      <c r="D208" s="188">
        <f t="shared" si="16"/>
        <v>7450</v>
      </c>
      <c r="E208" s="188">
        <f t="shared" si="17"/>
        <v>7450</v>
      </c>
      <c r="F208" s="188">
        <f t="shared" si="18"/>
        <v>0</v>
      </c>
      <c r="G208" s="188">
        <f t="shared" si="19"/>
        <v>0</v>
      </c>
      <c r="H208" s="188">
        <f t="shared" si="20"/>
        <v>0</v>
      </c>
      <c r="I208" s="188" t="str">
        <f t="shared" si="14"/>
        <v/>
      </c>
    </row>
    <row r="209" spans="2:9">
      <c r="B209" s="188">
        <v>193</v>
      </c>
      <c r="C209" s="188">
        <f t="shared" si="15"/>
        <v>8195</v>
      </c>
      <c r="D209" s="188">
        <f t="shared" si="16"/>
        <v>8195</v>
      </c>
      <c r="E209" s="188">
        <f t="shared" si="17"/>
        <v>8195</v>
      </c>
      <c r="F209" s="188">
        <f t="shared" si="18"/>
        <v>0</v>
      </c>
      <c r="G209" s="188">
        <f t="shared" si="19"/>
        <v>0</v>
      </c>
      <c r="H209" s="188">
        <f t="shared" si="20"/>
        <v>0</v>
      </c>
      <c r="I209" s="188" t="str">
        <f t="shared" ref="I209:I272" si="21">IF(SUM(F209:H209)&gt;0,1,"")</f>
        <v/>
      </c>
    </row>
    <row r="210" spans="2:9">
      <c r="B210" s="188">
        <v>194</v>
      </c>
      <c r="C210" s="188">
        <f t="shared" ref="C210:C273" si="22">IF(C209+$B$3&gt;$F$8,$B$3,C209+$B$3)</f>
        <v>8940</v>
      </c>
      <c r="D210" s="188">
        <f t="shared" ref="D210:D273" si="23">IF($D$17 = 0, 0, IF(D209+$B$3&gt;$F$9,$B$3,D209+$B$3))</f>
        <v>8940</v>
      </c>
      <c r="E210" s="188">
        <f t="shared" ref="E210:E273" si="24">IF($E$17 = 0, 0, IF(E209+$B$3&gt;$F$10,$B$3,E209+$B$3))</f>
        <v>8940</v>
      </c>
      <c r="F210" s="188">
        <f t="shared" ref="F210:F273" si="25">IF((C210=$B$3),1,0)</f>
        <v>0</v>
      </c>
      <c r="G210" s="188">
        <f t="shared" ref="G210:G273" si="26">IF((D210=$B$3),1,0)</f>
        <v>0</v>
      </c>
      <c r="H210" s="188">
        <f t="shared" ref="H210:H273" si="27">IF((E210=$B$3),1,0)</f>
        <v>0</v>
      </c>
      <c r="I210" s="188" t="str">
        <f t="shared" si="21"/>
        <v/>
      </c>
    </row>
    <row r="211" spans="2:9">
      <c r="B211" s="188">
        <v>195</v>
      </c>
      <c r="C211" s="188">
        <f t="shared" si="22"/>
        <v>9685</v>
      </c>
      <c r="D211" s="188">
        <f t="shared" si="23"/>
        <v>9685</v>
      </c>
      <c r="E211" s="188">
        <f t="shared" si="24"/>
        <v>9685</v>
      </c>
      <c r="F211" s="188">
        <f t="shared" si="25"/>
        <v>0</v>
      </c>
      <c r="G211" s="188">
        <f t="shared" si="26"/>
        <v>0</v>
      </c>
      <c r="H211" s="188">
        <f t="shared" si="27"/>
        <v>0</v>
      </c>
      <c r="I211" s="188" t="str">
        <f t="shared" si="21"/>
        <v/>
      </c>
    </row>
    <row r="212" spans="2:9">
      <c r="B212" s="188">
        <v>196</v>
      </c>
      <c r="C212" s="188">
        <f t="shared" si="22"/>
        <v>10430</v>
      </c>
      <c r="D212" s="188">
        <f t="shared" si="23"/>
        <v>10430</v>
      </c>
      <c r="E212" s="188">
        <f t="shared" si="24"/>
        <v>10430</v>
      </c>
      <c r="F212" s="188">
        <f t="shared" si="25"/>
        <v>0</v>
      </c>
      <c r="G212" s="188">
        <f t="shared" si="26"/>
        <v>0</v>
      </c>
      <c r="H212" s="188">
        <f t="shared" si="27"/>
        <v>0</v>
      </c>
      <c r="I212" s="188" t="str">
        <f t="shared" si="21"/>
        <v/>
      </c>
    </row>
    <row r="213" spans="2:9">
      <c r="B213" s="188">
        <v>197</v>
      </c>
      <c r="C213" s="188">
        <f t="shared" si="22"/>
        <v>11175</v>
      </c>
      <c r="D213" s="188">
        <f t="shared" si="23"/>
        <v>11175</v>
      </c>
      <c r="E213" s="188">
        <f t="shared" si="24"/>
        <v>11175</v>
      </c>
      <c r="F213" s="188">
        <f t="shared" si="25"/>
        <v>0</v>
      </c>
      <c r="G213" s="188">
        <f t="shared" si="26"/>
        <v>0</v>
      </c>
      <c r="H213" s="188">
        <f t="shared" si="27"/>
        <v>0</v>
      </c>
      <c r="I213" s="188" t="str">
        <f t="shared" si="21"/>
        <v/>
      </c>
    </row>
    <row r="214" spans="2:9">
      <c r="B214" s="188">
        <v>198</v>
      </c>
      <c r="C214" s="188">
        <f t="shared" si="22"/>
        <v>11920</v>
      </c>
      <c r="D214" s="188">
        <f t="shared" si="23"/>
        <v>11920</v>
      </c>
      <c r="E214" s="188">
        <f t="shared" si="24"/>
        <v>11920</v>
      </c>
      <c r="F214" s="188">
        <f t="shared" si="25"/>
        <v>0</v>
      </c>
      <c r="G214" s="188">
        <f t="shared" si="26"/>
        <v>0</v>
      </c>
      <c r="H214" s="188">
        <f t="shared" si="27"/>
        <v>0</v>
      </c>
      <c r="I214" s="188" t="str">
        <f t="shared" si="21"/>
        <v/>
      </c>
    </row>
    <row r="215" spans="2:9">
      <c r="B215" s="188">
        <v>199</v>
      </c>
      <c r="C215" s="188">
        <f t="shared" si="22"/>
        <v>12665</v>
      </c>
      <c r="D215" s="188">
        <f t="shared" si="23"/>
        <v>12665</v>
      </c>
      <c r="E215" s="188">
        <f t="shared" si="24"/>
        <v>12665</v>
      </c>
      <c r="F215" s="188">
        <f t="shared" si="25"/>
        <v>0</v>
      </c>
      <c r="G215" s="188">
        <f t="shared" si="26"/>
        <v>0</v>
      </c>
      <c r="H215" s="188">
        <f t="shared" si="27"/>
        <v>0</v>
      </c>
      <c r="I215" s="188" t="str">
        <f t="shared" si="21"/>
        <v/>
      </c>
    </row>
    <row r="216" spans="2:9">
      <c r="B216" s="188">
        <v>200</v>
      </c>
      <c r="C216" s="188">
        <f t="shared" si="22"/>
        <v>13410</v>
      </c>
      <c r="D216" s="188">
        <f t="shared" si="23"/>
        <v>13410</v>
      </c>
      <c r="E216" s="188">
        <f t="shared" si="24"/>
        <v>13410</v>
      </c>
      <c r="F216" s="188">
        <f t="shared" si="25"/>
        <v>0</v>
      </c>
      <c r="G216" s="188">
        <f t="shared" si="26"/>
        <v>0</v>
      </c>
      <c r="H216" s="188">
        <f t="shared" si="27"/>
        <v>0</v>
      </c>
      <c r="I216" s="188" t="str">
        <f t="shared" si="21"/>
        <v/>
      </c>
    </row>
    <row r="217" spans="2:9">
      <c r="B217" s="188">
        <v>201</v>
      </c>
      <c r="C217" s="188">
        <f t="shared" si="22"/>
        <v>14155</v>
      </c>
      <c r="D217" s="188">
        <f t="shared" si="23"/>
        <v>14155</v>
      </c>
      <c r="E217" s="188">
        <f t="shared" si="24"/>
        <v>14155</v>
      </c>
      <c r="F217" s="188">
        <f t="shared" si="25"/>
        <v>0</v>
      </c>
      <c r="G217" s="188">
        <f t="shared" si="26"/>
        <v>0</v>
      </c>
      <c r="H217" s="188">
        <f t="shared" si="27"/>
        <v>0</v>
      </c>
      <c r="I217" s="188" t="str">
        <f t="shared" si="21"/>
        <v/>
      </c>
    </row>
    <row r="218" spans="2:9">
      <c r="B218" s="188">
        <v>202</v>
      </c>
      <c r="C218" s="188">
        <f t="shared" si="22"/>
        <v>14900</v>
      </c>
      <c r="D218" s="188">
        <f t="shared" si="23"/>
        <v>14900</v>
      </c>
      <c r="E218" s="188">
        <f t="shared" si="24"/>
        <v>14900</v>
      </c>
      <c r="F218" s="188">
        <f t="shared" si="25"/>
        <v>0</v>
      </c>
      <c r="G218" s="188">
        <f t="shared" si="26"/>
        <v>0</v>
      </c>
      <c r="H218" s="188">
        <f t="shared" si="27"/>
        <v>0</v>
      </c>
      <c r="I218" s="188" t="str">
        <f t="shared" si="21"/>
        <v/>
      </c>
    </row>
    <row r="219" spans="2:9">
      <c r="B219" s="188">
        <v>203</v>
      </c>
      <c r="C219" s="188">
        <f t="shared" si="22"/>
        <v>15645</v>
      </c>
      <c r="D219" s="188">
        <f t="shared" si="23"/>
        <v>15645</v>
      </c>
      <c r="E219" s="188">
        <f t="shared" si="24"/>
        <v>15645</v>
      </c>
      <c r="F219" s="188">
        <f t="shared" si="25"/>
        <v>0</v>
      </c>
      <c r="G219" s="188">
        <f t="shared" si="26"/>
        <v>0</v>
      </c>
      <c r="H219" s="188">
        <f t="shared" si="27"/>
        <v>0</v>
      </c>
      <c r="I219" s="188" t="str">
        <f t="shared" si="21"/>
        <v/>
      </c>
    </row>
    <row r="220" spans="2:9">
      <c r="B220" s="188">
        <v>204</v>
      </c>
      <c r="C220" s="188">
        <f t="shared" si="22"/>
        <v>16390</v>
      </c>
      <c r="D220" s="188">
        <f t="shared" si="23"/>
        <v>16390</v>
      </c>
      <c r="E220" s="188">
        <f t="shared" si="24"/>
        <v>16390</v>
      </c>
      <c r="F220" s="188">
        <f t="shared" si="25"/>
        <v>0</v>
      </c>
      <c r="G220" s="188">
        <f t="shared" si="26"/>
        <v>0</v>
      </c>
      <c r="H220" s="188">
        <f t="shared" si="27"/>
        <v>0</v>
      </c>
      <c r="I220" s="188" t="str">
        <f t="shared" si="21"/>
        <v/>
      </c>
    </row>
    <row r="221" spans="2:9">
      <c r="B221" s="188">
        <v>205</v>
      </c>
      <c r="C221" s="188">
        <f t="shared" si="22"/>
        <v>17135</v>
      </c>
      <c r="D221" s="188">
        <f t="shared" si="23"/>
        <v>17135</v>
      </c>
      <c r="E221" s="188">
        <f t="shared" si="24"/>
        <v>17135</v>
      </c>
      <c r="F221" s="188">
        <f t="shared" si="25"/>
        <v>0</v>
      </c>
      <c r="G221" s="188">
        <f t="shared" si="26"/>
        <v>0</v>
      </c>
      <c r="H221" s="188">
        <f t="shared" si="27"/>
        <v>0</v>
      </c>
      <c r="I221" s="188" t="str">
        <f t="shared" si="21"/>
        <v/>
      </c>
    </row>
    <row r="222" spans="2:9">
      <c r="B222" s="188">
        <v>206</v>
      </c>
      <c r="C222" s="188">
        <f t="shared" si="22"/>
        <v>17880</v>
      </c>
      <c r="D222" s="188">
        <f t="shared" si="23"/>
        <v>17880</v>
      </c>
      <c r="E222" s="188">
        <f t="shared" si="24"/>
        <v>17880</v>
      </c>
      <c r="F222" s="188">
        <f t="shared" si="25"/>
        <v>0</v>
      </c>
      <c r="G222" s="188">
        <f t="shared" si="26"/>
        <v>0</v>
      </c>
      <c r="H222" s="188">
        <f t="shared" si="27"/>
        <v>0</v>
      </c>
      <c r="I222" s="188" t="str">
        <f t="shared" si="21"/>
        <v/>
      </c>
    </row>
    <row r="223" spans="2:9">
      <c r="B223" s="188">
        <v>207</v>
      </c>
      <c r="C223" s="188">
        <f t="shared" si="22"/>
        <v>18625</v>
      </c>
      <c r="D223" s="188">
        <f t="shared" si="23"/>
        <v>18625</v>
      </c>
      <c r="E223" s="188">
        <f t="shared" si="24"/>
        <v>18625</v>
      </c>
      <c r="F223" s="188">
        <f t="shared" si="25"/>
        <v>0</v>
      </c>
      <c r="G223" s="188">
        <f t="shared" si="26"/>
        <v>0</v>
      </c>
      <c r="H223" s="188">
        <f t="shared" si="27"/>
        <v>0</v>
      </c>
      <c r="I223" s="188" t="str">
        <f t="shared" si="21"/>
        <v/>
      </c>
    </row>
    <row r="224" spans="2:9">
      <c r="B224" s="188">
        <v>208</v>
      </c>
      <c r="C224" s="188">
        <f t="shared" si="22"/>
        <v>19370</v>
      </c>
      <c r="D224" s="188">
        <f t="shared" si="23"/>
        <v>19370</v>
      </c>
      <c r="E224" s="188">
        <f t="shared" si="24"/>
        <v>19370</v>
      </c>
      <c r="F224" s="188">
        <f t="shared" si="25"/>
        <v>0</v>
      </c>
      <c r="G224" s="188">
        <f t="shared" si="26"/>
        <v>0</v>
      </c>
      <c r="H224" s="188">
        <f t="shared" si="27"/>
        <v>0</v>
      </c>
      <c r="I224" s="188" t="str">
        <f t="shared" si="21"/>
        <v/>
      </c>
    </row>
    <row r="225" spans="2:9">
      <c r="B225" s="188">
        <v>209</v>
      </c>
      <c r="C225" s="188">
        <f t="shared" si="22"/>
        <v>745</v>
      </c>
      <c r="D225" s="188">
        <f t="shared" si="23"/>
        <v>745</v>
      </c>
      <c r="E225" s="188">
        <f t="shared" si="24"/>
        <v>745</v>
      </c>
      <c r="F225" s="188">
        <f t="shared" si="25"/>
        <v>1</v>
      </c>
      <c r="G225" s="188">
        <f t="shared" si="26"/>
        <v>1</v>
      </c>
      <c r="H225" s="188">
        <f t="shared" si="27"/>
        <v>1</v>
      </c>
      <c r="I225" s="188">
        <f t="shared" si="21"/>
        <v>1</v>
      </c>
    </row>
    <row r="226" spans="2:9">
      <c r="B226" s="188">
        <v>210</v>
      </c>
      <c r="C226" s="188">
        <f t="shared" si="22"/>
        <v>1490</v>
      </c>
      <c r="D226" s="188">
        <f t="shared" si="23"/>
        <v>1490</v>
      </c>
      <c r="E226" s="188">
        <f t="shared" si="24"/>
        <v>1490</v>
      </c>
      <c r="F226" s="188">
        <f t="shared" si="25"/>
        <v>0</v>
      </c>
      <c r="G226" s="188">
        <f t="shared" si="26"/>
        <v>0</v>
      </c>
      <c r="H226" s="188">
        <f t="shared" si="27"/>
        <v>0</v>
      </c>
      <c r="I226" s="188" t="str">
        <f t="shared" si="21"/>
        <v/>
      </c>
    </row>
    <row r="227" spans="2:9">
      <c r="B227" s="188">
        <v>211</v>
      </c>
      <c r="C227" s="188">
        <f t="shared" si="22"/>
        <v>2235</v>
      </c>
      <c r="D227" s="188">
        <f t="shared" si="23"/>
        <v>2235</v>
      </c>
      <c r="E227" s="188">
        <f t="shared" si="24"/>
        <v>2235</v>
      </c>
      <c r="F227" s="188">
        <f t="shared" si="25"/>
        <v>0</v>
      </c>
      <c r="G227" s="188">
        <f t="shared" si="26"/>
        <v>0</v>
      </c>
      <c r="H227" s="188">
        <f t="shared" si="27"/>
        <v>0</v>
      </c>
      <c r="I227" s="188" t="str">
        <f t="shared" si="21"/>
        <v/>
      </c>
    </row>
    <row r="228" spans="2:9">
      <c r="B228" s="188">
        <v>212</v>
      </c>
      <c r="C228" s="188">
        <f t="shared" si="22"/>
        <v>2980</v>
      </c>
      <c r="D228" s="188">
        <f t="shared" si="23"/>
        <v>2980</v>
      </c>
      <c r="E228" s="188">
        <f t="shared" si="24"/>
        <v>2980</v>
      </c>
      <c r="F228" s="188">
        <f t="shared" si="25"/>
        <v>0</v>
      </c>
      <c r="G228" s="188">
        <f t="shared" si="26"/>
        <v>0</v>
      </c>
      <c r="H228" s="188">
        <f t="shared" si="27"/>
        <v>0</v>
      </c>
      <c r="I228" s="188" t="str">
        <f t="shared" si="21"/>
        <v/>
      </c>
    </row>
    <row r="229" spans="2:9">
      <c r="B229" s="188">
        <v>213</v>
      </c>
      <c r="C229" s="188">
        <f t="shared" si="22"/>
        <v>3725</v>
      </c>
      <c r="D229" s="188">
        <f t="shared" si="23"/>
        <v>3725</v>
      </c>
      <c r="E229" s="188">
        <f t="shared" si="24"/>
        <v>3725</v>
      </c>
      <c r="F229" s="188">
        <f t="shared" si="25"/>
        <v>0</v>
      </c>
      <c r="G229" s="188">
        <f t="shared" si="26"/>
        <v>0</v>
      </c>
      <c r="H229" s="188">
        <f t="shared" si="27"/>
        <v>0</v>
      </c>
      <c r="I229" s="188" t="str">
        <f t="shared" si="21"/>
        <v/>
      </c>
    </row>
    <row r="230" spans="2:9">
      <c r="B230" s="188">
        <v>214</v>
      </c>
      <c r="C230" s="188">
        <f t="shared" si="22"/>
        <v>4470</v>
      </c>
      <c r="D230" s="188">
        <f t="shared" si="23"/>
        <v>4470</v>
      </c>
      <c r="E230" s="188">
        <f t="shared" si="24"/>
        <v>4470</v>
      </c>
      <c r="F230" s="188">
        <f t="shared" si="25"/>
        <v>0</v>
      </c>
      <c r="G230" s="188">
        <f t="shared" si="26"/>
        <v>0</v>
      </c>
      <c r="H230" s="188">
        <f t="shared" si="27"/>
        <v>0</v>
      </c>
      <c r="I230" s="188" t="str">
        <f t="shared" si="21"/>
        <v/>
      </c>
    </row>
    <row r="231" spans="2:9">
      <c r="B231" s="188">
        <v>215</v>
      </c>
      <c r="C231" s="188">
        <f t="shared" si="22"/>
        <v>5215</v>
      </c>
      <c r="D231" s="188">
        <f t="shared" si="23"/>
        <v>5215</v>
      </c>
      <c r="E231" s="188">
        <f t="shared" si="24"/>
        <v>5215</v>
      </c>
      <c r="F231" s="188">
        <f t="shared" si="25"/>
        <v>0</v>
      </c>
      <c r="G231" s="188">
        <f t="shared" si="26"/>
        <v>0</v>
      </c>
      <c r="H231" s="188">
        <f t="shared" si="27"/>
        <v>0</v>
      </c>
      <c r="I231" s="188" t="str">
        <f t="shared" si="21"/>
        <v/>
      </c>
    </row>
    <row r="232" spans="2:9">
      <c r="B232" s="188">
        <v>216</v>
      </c>
      <c r="C232" s="188">
        <f t="shared" si="22"/>
        <v>5960</v>
      </c>
      <c r="D232" s="188">
        <f t="shared" si="23"/>
        <v>5960</v>
      </c>
      <c r="E232" s="188">
        <f t="shared" si="24"/>
        <v>5960</v>
      </c>
      <c r="F232" s="188">
        <f t="shared" si="25"/>
        <v>0</v>
      </c>
      <c r="G232" s="188">
        <f t="shared" si="26"/>
        <v>0</v>
      </c>
      <c r="H232" s="188">
        <f t="shared" si="27"/>
        <v>0</v>
      </c>
      <c r="I232" s="188" t="str">
        <f t="shared" si="21"/>
        <v/>
      </c>
    </row>
    <row r="233" spans="2:9">
      <c r="B233" s="188">
        <v>217</v>
      </c>
      <c r="C233" s="188">
        <f t="shared" si="22"/>
        <v>6705</v>
      </c>
      <c r="D233" s="188">
        <f t="shared" si="23"/>
        <v>6705</v>
      </c>
      <c r="E233" s="188">
        <f t="shared" si="24"/>
        <v>6705</v>
      </c>
      <c r="F233" s="188">
        <f t="shared" si="25"/>
        <v>0</v>
      </c>
      <c r="G233" s="188">
        <f t="shared" si="26"/>
        <v>0</v>
      </c>
      <c r="H233" s="188">
        <f t="shared" si="27"/>
        <v>0</v>
      </c>
      <c r="I233" s="188" t="str">
        <f t="shared" si="21"/>
        <v/>
      </c>
    </row>
    <row r="234" spans="2:9">
      <c r="B234" s="188">
        <v>218</v>
      </c>
      <c r="C234" s="188">
        <f t="shared" si="22"/>
        <v>7450</v>
      </c>
      <c r="D234" s="188">
        <f t="shared" si="23"/>
        <v>7450</v>
      </c>
      <c r="E234" s="188">
        <f t="shared" si="24"/>
        <v>7450</v>
      </c>
      <c r="F234" s="188">
        <f t="shared" si="25"/>
        <v>0</v>
      </c>
      <c r="G234" s="188">
        <f t="shared" si="26"/>
        <v>0</v>
      </c>
      <c r="H234" s="188">
        <f t="shared" si="27"/>
        <v>0</v>
      </c>
      <c r="I234" s="188" t="str">
        <f t="shared" si="21"/>
        <v/>
      </c>
    </row>
    <row r="235" spans="2:9">
      <c r="B235" s="188">
        <v>219</v>
      </c>
      <c r="C235" s="188">
        <f t="shared" si="22"/>
        <v>8195</v>
      </c>
      <c r="D235" s="188">
        <f t="shared" si="23"/>
        <v>8195</v>
      </c>
      <c r="E235" s="188">
        <f t="shared" si="24"/>
        <v>8195</v>
      </c>
      <c r="F235" s="188">
        <f t="shared" si="25"/>
        <v>0</v>
      </c>
      <c r="G235" s="188">
        <f t="shared" si="26"/>
        <v>0</v>
      </c>
      <c r="H235" s="188">
        <f t="shared" si="27"/>
        <v>0</v>
      </c>
      <c r="I235" s="188" t="str">
        <f t="shared" si="21"/>
        <v/>
      </c>
    </row>
    <row r="236" spans="2:9">
      <c r="B236" s="188">
        <v>220</v>
      </c>
      <c r="C236" s="188">
        <f t="shared" si="22"/>
        <v>8940</v>
      </c>
      <c r="D236" s="188">
        <f t="shared" si="23"/>
        <v>8940</v>
      </c>
      <c r="E236" s="188">
        <f t="shared" si="24"/>
        <v>8940</v>
      </c>
      <c r="F236" s="188">
        <f t="shared" si="25"/>
        <v>0</v>
      </c>
      <c r="G236" s="188">
        <f t="shared" si="26"/>
        <v>0</v>
      </c>
      <c r="H236" s="188">
        <f t="shared" si="27"/>
        <v>0</v>
      </c>
      <c r="I236" s="188" t="str">
        <f t="shared" si="21"/>
        <v/>
      </c>
    </row>
    <row r="237" spans="2:9">
      <c r="B237" s="188">
        <v>221</v>
      </c>
      <c r="C237" s="188">
        <f t="shared" si="22"/>
        <v>9685</v>
      </c>
      <c r="D237" s="188">
        <f t="shared" si="23"/>
        <v>9685</v>
      </c>
      <c r="E237" s="188">
        <f t="shared" si="24"/>
        <v>9685</v>
      </c>
      <c r="F237" s="188">
        <f t="shared" si="25"/>
        <v>0</v>
      </c>
      <c r="G237" s="188">
        <f t="shared" si="26"/>
        <v>0</v>
      </c>
      <c r="H237" s="188">
        <f t="shared" si="27"/>
        <v>0</v>
      </c>
      <c r="I237" s="188" t="str">
        <f t="shared" si="21"/>
        <v/>
      </c>
    </row>
    <row r="238" spans="2:9">
      <c r="B238" s="188">
        <v>222</v>
      </c>
      <c r="C238" s="188">
        <f t="shared" si="22"/>
        <v>10430</v>
      </c>
      <c r="D238" s="188">
        <f t="shared" si="23"/>
        <v>10430</v>
      </c>
      <c r="E238" s="188">
        <f t="shared" si="24"/>
        <v>10430</v>
      </c>
      <c r="F238" s="188">
        <f t="shared" si="25"/>
        <v>0</v>
      </c>
      <c r="G238" s="188">
        <f t="shared" si="26"/>
        <v>0</v>
      </c>
      <c r="H238" s="188">
        <f t="shared" si="27"/>
        <v>0</v>
      </c>
      <c r="I238" s="188" t="str">
        <f t="shared" si="21"/>
        <v/>
      </c>
    </row>
    <row r="239" spans="2:9">
      <c r="B239" s="188">
        <v>223</v>
      </c>
      <c r="C239" s="188">
        <f t="shared" si="22"/>
        <v>11175</v>
      </c>
      <c r="D239" s="188">
        <f t="shared" si="23"/>
        <v>11175</v>
      </c>
      <c r="E239" s="188">
        <f t="shared" si="24"/>
        <v>11175</v>
      </c>
      <c r="F239" s="188">
        <f t="shared" si="25"/>
        <v>0</v>
      </c>
      <c r="G239" s="188">
        <f t="shared" si="26"/>
        <v>0</v>
      </c>
      <c r="H239" s="188">
        <f t="shared" si="27"/>
        <v>0</v>
      </c>
      <c r="I239" s="188" t="str">
        <f t="shared" si="21"/>
        <v/>
      </c>
    </row>
    <row r="240" spans="2:9">
      <c r="B240" s="188">
        <v>224</v>
      </c>
      <c r="C240" s="188">
        <f t="shared" si="22"/>
        <v>11920</v>
      </c>
      <c r="D240" s="188">
        <f t="shared" si="23"/>
        <v>11920</v>
      </c>
      <c r="E240" s="188">
        <f t="shared" si="24"/>
        <v>11920</v>
      </c>
      <c r="F240" s="188">
        <f t="shared" si="25"/>
        <v>0</v>
      </c>
      <c r="G240" s="188">
        <f t="shared" si="26"/>
        <v>0</v>
      </c>
      <c r="H240" s="188">
        <f t="shared" si="27"/>
        <v>0</v>
      </c>
      <c r="I240" s="188" t="str">
        <f t="shared" si="21"/>
        <v/>
      </c>
    </row>
    <row r="241" spans="2:9">
      <c r="B241" s="188">
        <v>225</v>
      </c>
      <c r="C241" s="188">
        <f t="shared" si="22"/>
        <v>12665</v>
      </c>
      <c r="D241" s="188">
        <f t="shared" si="23"/>
        <v>12665</v>
      </c>
      <c r="E241" s="188">
        <f t="shared" si="24"/>
        <v>12665</v>
      </c>
      <c r="F241" s="188">
        <f t="shared" si="25"/>
        <v>0</v>
      </c>
      <c r="G241" s="188">
        <f t="shared" si="26"/>
        <v>0</v>
      </c>
      <c r="H241" s="188">
        <f t="shared" si="27"/>
        <v>0</v>
      </c>
      <c r="I241" s="188" t="str">
        <f t="shared" si="21"/>
        <v/>
      </c>
    </row>
    <row r="242" spans="2:9">
      <c r="B242" s="188">
        <v>226</v>
      </c>
      <c r="C242" s="188">
        <f t="shared" si="22"/>
        <v>13410</v>
      </c>
      <c r="D242" s="188">
        <f t="shared" si="23"/>
        <v>13410</v>
      </c>
      <c r="E242" s="188">
        <f t="shared" si="24"/>
        <v>13410</v>
      </c>
      <c r="F242" s="188">
        <f t="shared" si="25"/>
        <v>0</v>
      </c>
      <c r="G242" s="188">
        <f t="shared" si="26"/>
        <v>0</v>
      </c>
      <c r="H242" s="188">
        <f t="shared" si="27"/>
        <v>0</v>
      </c>
      <c r="I242" s="188" t="str">
        <f t="shared" si="21"/>
        <v/>
      </c>
    </row>
    <row r="243" spans="2:9">
      <c r="B243" s="188">
        <v>227</v>
      </c>
      <c r="C243" s="188">
        <f t="shared" si="22"/>
        <v>14155</v>
      </c>
      <c r="D243" s="188">
        <f t="shared" si="23"/>
        <v>14155</v>
      </c>
      <c r="E243" s="188">
        <f t="shared" si="24"/>
        <v>14155</v>
      </c>
      <c r="F243" s="188">
        <f t="shared" si="25"/>
        <v>0</v>
      </c>
      <c r="G243" s="188">
        <f t="shared" si="26"/>
        <v>0</v>
      </c>
      <c r="H243" s="188">
        <f t="shared" si="27"/>
        <v>0</v>
      </c>
      <c r="I243" s="188" t="str">
        <f t="shared" si="21"/>
        <v/>
      </c>
    </row>
    <row r="244" spans="2:9">
      <c r="B244" s="188">
        <v>228</v>
      </c>
      <c r="C244" s="188">
        <f t="shared" si="22"/>
        <v>14900</v>
      </c>
      <c r="D244" s="188">
        <f t="shared" si="23"/>
        <v>14900</v>
      </c>
      <c r="E244" s="188">
        <f t="shared" si="24"/>
        <v>14900</v>
      </c>
      <c r="F244" s="188">
        <f t="shared" si="25"/>
        <v>0</v>
      </c>
      <c r="G244" s="188">
        <f t="shared" si="26"/>
        <v>0</v>
      </c>
      <c r="H244" s="188">
        <f t="shared" si="27"/>
        <v>0</v>
      </c>
      <c r="I244" s="188" t="str">
        <f t="shared" si="21"/>
        <v/>
      </c>
    </row>
    <row r="245" spans="2:9">
      <c r="B245" s="188">
        <v>229</v>
      </c>
      <c r="C245" s="188">
        <f t="shared" si="22"/>
        <v>15645</v>
      </c>
      <c r="D245" s="188">
        <f t="shared" si="23"/>
        <v>15645</v>
      </c>
      <c r="E245" s="188">
        <f t="shared" si="24"/>
        <v>15645</v>
      </c>
      <c r="F245" s="188">
        <f t="shared" si="25"/>
        <v>0</v>
      </c>
      <c r="G245" s="188">
        <f t="shared" si="26"/>
        <v>0</v>
      </c>
      <c r="H245" s="188">
        <f t="shared" si="27"/>
        <v>0</v>
      </c>
      <c r="I245" s="188" t="str">
        <f t="shared" si="21"/>
        <v/>
      </c>
    </row>
    <row r="246" spans="2:9">
      <c r="B246" s="188">
        <v>230</v>
      </c>
      <c r="C246" s="188">
        <f t="shared" si="22"/>
        <v>16390</v>
      </c>
      <c r="D246" s="188">
        <f t="shared" si="23"/>
        <v>16390</v>
      </c>
      <c r="E246" s="188">
        <f t="shared" si="24"/>
        <v>16390</v>
      </c>
      <c r="F246" s="188">
        <f t="shared" si="25"/>
        <v>0</v>
      </c>
      <c r="G246" s="188">
        <f t="shared" si="26"/>
        <v>0</v>
      </c>
      <c r="H246" s="188">
        <f t="shared" si="27"/>
        <v>0</v>
      </c>
      <c r="I246" s="188" t="str">
        <f t="shared" si="21"/>
        <v/>
      </c>
    </row>
    <row r="247" spans="2:9">
      <c r="B247" s="188">
        <v>231</v>
      </c>
      <c r="C247" s="188">
        <f t="shared" si="22"/>
        <v>17135</v>
      </c>
      <c r="D247" s="188">
        <f t="shared" si="23"/>
        <v>17135</v>
      </c>
      <c r="E247" s="188">
        <f t="shared" si="24"/>
        <v>17135</v>
      </c>
      <c r="F247" s="188">
        <f t="shared" si="25"/>
        <v>0</v>
      </c>
      <c r="G247" s="188">
        <f t="shared" si="26"/>
        <v>0</v>
      </c>
      <c r="H247" s="188">
        <f t="shared" si="27"/>
        <v>0</v>
      </c>
      <c r="I247" s="188" t="str">
        <f t="shared" si="21"/>
        <v/>
      </c>
    </row>
    <row r="248" spans="2:9">
      <c r="B248" s="188">
        <v>232</v>
      </c>
      <c r="C248" s="188">
        <f t="shared" si="22"/>
        <v>17880</v>
      </c>
      <c r="D248" s="188">
        <f t="shared" si="23"/>
        <v>17880</v>
      </c>
      <c r="E248" s="188">
        <f t="shared" si="24"/>
        <v>17880</v>
      </c>
      <c r="F248" s="188">
        <f t="shared" si="25"/>
        <v>0</v>
      </c>
      <c r="G248" s="188">
        <f t="shared" si="26"/>
        <v>0</v>
      </c>
      <c r="H248" s="188">
        <f t="shared" si="27"/>
        <v>0</v>
      </c>
      <c r="I248" s="188" t="str">
        <f t="shared" si="21"/>
        <v/>
      </c>
    </row>
    <row r="249" spans="2:9">
      <c r="B249" s="188">
        <v>233</v>
      </c>
      <c r="C249" s="188">
        <f t="shared" si="22"/>
        <v>18625</v>
      </c>
      <c r="D249" s="188">
        <f t="shared" si="23"/>
        <v>18625</v>
      </c>
      <c r="E249" s="188">
        <f t="shared" si="24"/>
        <v>18625</v>
      </c>
      <c r="F249" s="188">
        <f t="shared" si="25"/>
        <v>0</v>
      </c>
      <c r="G249" s="188">
        <f t="shared" si="26"/>
        <v>0</v>
      </c>
      <c r="H249" s="188">
        <f t="shared" si="27"/>
        <v>0</v>
      </c>
      <c r="I249" s="188" t="str">
        <f t="shared" si="21"/>
        <v/>
      </c>
    </row>
    <row r="250" spans="2:9">
      <c r="B250" s="188">
        <v>234</v>
      </c>
      <c r="C250" s="188">
        <f t="shared" si="22"/>
        <v>19370</v>
      </c>
      <c r="D250" s="188">
        <f t="shared" si="23"/>
        <v>19370</v>
      </c>
      <c r="E250" s="188">
        <f t="shared" si="24"/>
        <v>19370</v>
      </c>
      <c r="F250" s="188">
        <f t="shared" si="25"/>
        <v>0</v>
      </c>
      <c r="G250" s="188">
        <f t="shared" si="26"/>
        <v>0</v>
      </c>
      <c r="H250" s="188">
        <f t="shared" si="27"/>
        <v>0</v>
      </c>
      <c r="I250" s="188" t="str">
        <f t="shared" si="21"/>
        <v/>
      </c>
    </row>
    <row r="251" spans="2:9">
      <c r="B251" s="188">
        <v>235</v>
      </c>
      <c r="C251" s="188">
        <f t="shared" si="22"/>
        <v>745</v>
      </c>
      <c r="D251" s="188">
        <f t="shared" si="23"/>
        <v>745</v>
      </c>
      <c r="E251" s="188">
        <f t="shared" si="24"/>
        <v>745</v>
      </c>
      <c r="F251" s="188">
        <f t="shared" si="25"/>
        <v>1</v>
      </c>
      <c r="G251" s="188">
        <f t="shared" si="26"/>
        <v>1</v>
      </c>
      <c r="H251" s="188">
        <f t="shared" si="27"/>
        <v>1</v>
      </c>
      <c r="I251" s="188">
        <f t="shared" si="21"/>
        <v>1</v>
      </c>
    </row>
    <row r="252" spans="2:9">
      <c r="B252" s="188">
        <v>236</v>
      </c>
      <c r="C252" s="188">
        <f t="shared" si="22"/>
        <v>1490</v>
      </c>
      <c r="D252" s="188">
        <f t="shared" si="23"/>
        <v>1490</v>
      </c>
      <c r="E252" s="188">
        <f t="shared" si="24"/>
        <v>1490</v>
      </c>
      <c r="F252" s="188">
        <f t="shared" si="25"/>
        <v>0</v>
      </c>
      <c r="G252" s="188">
        <f t="shared" si="26"/>
        <v>0</v>
      </c>
      <c r="H252" s="188">
        <f t="shared" si="27"/>
        <v>0</v>
      </c>
      <c r="I252" s="188" t="str">
        <f t="shared" si="21"/>
        <v/>
      </c>
    </row>
    <row r="253" spans="2:9">
      <c r="B253" s="188">
        <v>237</v>
      </c>
      <c r="C253" s="188">
        <f t="shared" si="22"/>
        <v>2235</v>
      </c>
      <c r="D253" s="188">
        <f t="shared" si="23"/>
        <v>2235</v>
      </c>
      <c r="E253" s="188">
        <f t="shared" si="24"/>
        <v>2235</v>
      </c>
      <c r="F253" s="188">
        <f t="shared" si="25"/>
        <v>0</v>
      </c>
      <c r="G253" s="188">
        <f t="shared" si="26"/>
        <v>0</v>
      </c>
      <c r="H253" s="188">
        <f t="shared" si="27"/>
        <v>0</v>
      </c>
      <c r="I253" s="188" t="str">
        <f t="shared" si="21"/>
        <v/>
      </c>
    </row>
    <row r="254" spans="2:9">
      <c r="B254" s="188">
        <v>238</v>
      </c>
      <c r="C254" s="188">
        <f t="shared" si="22"/>
        <v>2980</v>
      </c>
      <c r="D254" s="188">
        <f t="shared" si="23"/>
        <v>2980</v>
      </c>
      <c r="E254" s="188">
        <f t="shared" si="24"/>
        <v>2980</v>
      </c>
      <c r="F254" s="188">
        <f t="shared" si="25"/>
        <v>0</v>
      </c>
      <c r="G254" s="188">
        <f t="shared" si="26"/>
        <v>0</v>
      </c>
      <c r="H254" s="188">
        <f t="shared" si="27"/>
        <v>0</v>
      </c>
      <c r="I254" s="188" t="str">
        <f t="shared" si="21"/>
        <v/>
      </c>
    </row>
    <row r="255" spans="2:9">
      <c r="B255" s="188">
        <v>239</v>
      </c>
      <c r="C255" s="188">
        <f t="shared" si="22"/>
        <v>3725</v>
      </c>
      <c r="D255" s="188">
        <f t="shared" si="23"/>
        <v>3725</v>
      </c>
      <c r="E255" s="188">
        <f t="shared" si="24"/>
        <v>3725</v>
      </c>
      <c r="F255" s="188">
        <f t="shared" si="25"/>
        <v>0</v>
      </c>
      <c r="G255" s="188">
        <f t="shared" si="26"/>
        <v>0</v>
      </c>
      <c r="H255" s="188">
        <f t="shared" si="27"/>
        <v>0</v>
      </c>
      <c r="I255" s="188" t="str">
        <f t="shared" si="21"/>
        <v/>
      </c>
    </row>
    <row r="256" spans="2:9">
      <c r="B256" s="188">
        <v>240</v>
      </c>
      <c r="C256" s="188">
        <f t="shared" si="22"/>
        <v>4470</v>
      </c>
      <c r="D256" s="188">
        <f t="shared" si="23"/>
        <v>4470</v>
      </c>
      <c r="E256" s="188">
        <f t="shared" si="24"/>
        <v>4470</v>
      </c>
      <c r="F256" s="188">
        <f t="shared" si="25"/>
        <v>0</v>
      </c>
      <c r="G256" s="188">
        <f t="shared" si="26"/>
        <v>0</v>
      </c>
      <c r="H256" s="188">
        <f t="shared" si="27"/>
        <v>0</v>
      </c>
      <c r="I256" s="188" t="str">
        <f t="shared" si="21"/>
        <v/>
      </c>
    </row>
    <row r="257" spans="2:9">
      <c r="B257" s="188">
        <v>241</v>
      </c>
      <c r="C257" s="188">
        <f t="shared" si="22"/>
        <v>5215</v>
      </c>
      <c r="D257" s="188">
        <f t="shared" si="23"/>
        <v>5215</v>
      </c>
      <c r="E257" s="188">
        <f t="shared" si="24"/>
        <v>5215</v>
      </c>
      <c r="F257" s="188">
        <f t="shared" si="25"/>
        <v>0</v>
      </c>
      <c r="G257" s="188">
        <f t="shared" si="26"/>
        <v>0</v>
      </c>
      <c r="H257" s="188">
        <f t="shared" si="27"/>
        <v>0</v>
      </c>
      <c r="I257" s="188" t="str">
        <f t="shared" si="21"/>
        <v/>
      </c>
    </row>
    <row r="258" spans="2:9">
      <c r="B258" s="188">
        <v>242</v>
      </c>
      <c r="C258" s="188">
        <f t="shared" si="22"/>
        <v>5960</v>
      </c>
      <c r="D258" s="188">
        <f t="shared" si="23"/>
        <v>5960</v>
      </c>
      <c r="E258" s="188">
        <f t="shared" si="24"/>
        <v>5960</v>
      </c>
      <c r="F258" s="188">
        <f t="shared" si="25"/>
        <v>0</v>
      </c>
      <c r="G258" s="188">
        <f t="shared" si="26"/>
        <v>0</v>
      </c>
      <c r="H258" s="188">
        <f t="shared" si="27"/>
        <v>0</v>
      </c>
      <c r="I258" s="188" t="str">
        <f t="shared" si="21"/>
        <v/>
      </c>
    </row>
    <row r="259" spans="2:9">
      <c r="B259" s="188">
        <v>243</v>
      </c>
      <c r="C259" s="188">
        <f t="shared" si="22"/>
        <v>6705</v>
      </c>
      <c r="D259" s="188">
        <f t="shared" si="23"/>
        <v>6705</v>
      </c>
      <c r="E259" s="188">
        <f t="shared" si="24"/>
        <v>6705</v>
      </c>
      <c r="F259" s="188">
        <f t="shared" si="25"/>
        <v>0</v>
      </c>
      <c r="G259" s="188">
        <f t="shared" si="26"/>
        <v>0</v>
      </c>
      <c r="H259" s="188">
        <f t="shared" si="27"/>
        <v>0</v>
      </c>
      <c r="I259" s="188" t="str">
        <f t="shared" si="21"/>
        <v/>
      </c>
    </row>
    <row r="260" spans="2:9">
      <c r="B260" s="188">
        <v>244</v>
      </c>
      <c r="C260" s="188">
        <f t="shared" si="22"/>
        <v>7450</v>
      </c>
      <c r="D260" s="188">
        <f t="shared" si="23"/>
        <v>7450</v>
      </c>
      <c r="E260" s="188">
        <f t="shared" si="24"/>
        <v>7450</v>
      </c>
      <c r="F260" s="188">
        <f t="shared" si="25"/>
        <v>0</v>
      </c>
      <c r="G260" s="188">
        <f t="shared" si="26"/>
        <v>0</v>
      </c>
      <c r="H260" s="188">
        <f t="shared" si="27"/>
        <v>0</v>
      </c>
      <c r="I260" s="188" t="str">
        <f t="shared" si="21"/>
        <v/>
      </c>
    </row>
    <row r="261" spans="2:9">
      <c r="B261" s="188">
        <v>245</v>
      </c>
      <c r="C261" s="188">
        <f t="shared" si="22"/>
        <v>8195</v>
      </c>
      <c r="D261" s="188">
        <f t="shared" si="23"/>
        <v>8195</v>
      </c>
      <c r="E261" s="188">
        <f t="shared" si="24"/>
        <v>8195</v>
      </c>
      <c r="F261" s="188">
        <f t="shared" si="25"/>
        <v>0</v>
      </c>
      <c r="G261" s="188">
        <f t="shared" si="26"/>
        <v>0</v>
      </c>
      <c r="H261" s="188">
        <f t="shared" si="27"/>
        <v>0</v>
      </c>
      <c r="I261" s="188" t="str">
        <f t="shared" si="21"/>
        <v/>
      </c>
    </row>
    <row r="262" spans="2:9">
      <c r="B262" s="188">
        <v>246</v>
      </c>
      <c r="C262" s="188">
        <f t="shared" si="22"/>
        <v>8940</v>
      </c>
      <c r="D262" s="188">
        <f t="shared" si="23"/>
        <v>8940</v>
      </c>
      <c r="E262" s="188">
        <f t="shared" si="24"/>
        <v>8940</v>
      </c>
      <c r="F262" s="188">
        <f t="shared" si="25"/>
        <v>0</v>
      </c>
      <c r="G262" s="188">
        <f t="shared" si="26"/>
        <v>0</v>
      </c>
      <c r="H262" s="188">
        <f t="shared" si="27"/>
        <v>0</v>
      </c>
      <c r="I262" s="188" t="str">
        <f t="shared" si="21"/>
        <v/>
      </c>
    </row>
    <row r="263" spans="2:9">
      <c r="B263" s="188">
        <v>247</v>
      </c>
      <c r="C263" s="188">
        <f t="shared" si="22"/>
        <v>9685</v>
      </c>
      <c r="D263" s="188">
        <f t="shared" si="23"/>
        <v>9685</v>
      </c>
      <c r="E263" s="188">
        <f t="shared" si="24"/>
        <v>9685</v>
      </c>
      <c r="F263" s="188">
        <f t="shared" si="25"/>
        <v>0</v>
      </c>
      <c r="G263" s="188">
        <f t="shared" si="26"/>
        <v>0</v>
      </c>
      <c r="H263" s="188">
        <f t="shared" si="27"/>
        <v>0</v>
      </c>
      <c r="I263" s="188" t="str">
        <f t="shared" si="21"/>
        <v/>
      </c>
    </row>
    <row r="264" spans="2:9">
      <c r="B264" s="188">
        <v>248</v>
      </c>
      <c r="C264" s="188">
        <f t="shared" si="22"/>
        <v>10430</v>
      </c>
      <c r="D264" s="188">
        <f t="shared" si="23"/>
        <v>10430</v>
      </c>
      <c r="E264" s="188">
        <f t="shared" si="24"/>
        <v>10430</v>
      </c>
      <c r="F264" s="188">
        <f t="shared" si="25"/>
        <v>0</v>
      </c>
      <c r="G264" s="188">
        <f t="shared" si="26"/>
        <v>0</v>
      </c>
      <c r="H264" s="188">
        <f t="shared" si="27"/>
        <v>0</v>
      </c>
      <c r="I264" s="188" t="str">
        <f t="shared" si="21"/>
        <v/>
      </c>
    </row>
    <row r="265" spans="2:9">
      <c r="B265" s="188">
        <v>249</v>
      </c>
      <c r="C265" s="188">
        <f t="shared" si="22"/>
        <v>11175</v>
      </c>
      <c r="D265" s="188">
        <f t="shared" si="23"/>
        <v>11175</v>
      </c>
      <c r="E265" s="188">
        <f t="shared" si="24"/>
        <v>11175</v>
      </c>
      <c r="F265" s="188">
        <f t="shared" si="25"/>
        <v>0</v>
      </c>
      <c r="G265" s="188">
        <f t="shared" si="26"/>
        <v>0</v>
      </c>
      <c r="H265" s="188">
        <f t="shared" si="27"/>
        <v>0</v>
      </c>
      <c r="I265" s="188" t="str">
        <f t="shared" si="21"/>
        <v/>
      </c>
    </row>
    <row r="266" spans="2:9">
      <c r="B266" s="188">
        <v>250</v>
      </c>
      <c r="C266" s="188">
        <f t="shared" si="22"/>
        <v>11920</v>
      </c>
      <c r="D266" s="188">
        <f t="shared" si="23"/>
        <v>11920</v>
      </c>
      <c r="E266" s="188">
        <f t="shared" si="24"/>
        <v>11920</v>
      </c>
      <c r="F266" s="188">
        <f t="shared" si="25"/>
        <v>0</v>
      </c>
      <c r="G266" s="188">
        <f t="shared" si="26"/>
        <v>0</v>
      </c>
      <c r="H266" s="188">
        <f t="shared" si="27"/>
        <v>0</v>
      </c>
      <c r="I266" s="188" t="str">
        <f t="shared" si="21"/>
        <v/>
      </c>
    </row>
    <row r="267" spans="2:9">
      <c r="B267" s="188">
        <v>251</v>
      </c>
      <c r="C267" s="188">
        <f t="shared" si="22"/>
        <v>12665</v>
      </c>
      <c r="D267" s="188">
        <f t="shared" si="23"/>
        <v>12665</v>
      </c>
      <c r="E267" s="188">
        <f t="shared" si="24"/>
        <v>12665</v>
      </c>
      <c r="F267" s="188">
        <f t="shared" si="25"/>
        <v>0</v>
      </c>
      <c r="G267" s="188">
        <f t="shared" si="26"/>
        <v>0</v>
      </c>
      <c r="H267" s="188">
        <f t="shared" si="27"/>
        <v>0</v>
      </c>
      <c r="I267" s="188" t="str">
        <f t="shared" si="21"/>
        <v/>
      </c>
    </row>
    <row r="268" spans="2:9">
      <c r="B268" s="188">
        <v>252</v>
      </c>
      <c r="C268" s="188">
        <f t="shared" si="22"/>
        <v>13410</v>
      </c>
      <c r="D268" s="188">
        <f t="shared" si="23"/>
        <v>13410</v>
      </c>
      <c r="E268" s="188">
        <f t="shared" si="24"/>
        <v>13410</v>
      </c>
      <c r="F268" s="188">
        <f t="shared" si="25"/>
        <v>0</v>
      </c>
      <c r="G268" s="188">
        <f t="shared" si="26"/>
        <v>0</v>
      </c>
      <c r="H268" s="188">
        <f t="shared" si="27"/>
        <v>0</v>
      </c>
      <c r="I268" s="188" t="str">
        <f t="shared" si="21"/>
        <v/>
      </c>
    </row>
    <row r="269" spans="2:9">
      <c r="B269" s="188">
        <v>253</v>
      </c>
      <c r="C269" s="188">
        <f t="shared" si="22"/>
        <v>14155</v>
      </c>
      <c r="D269" s="188">
        <f t="shared" si="23"/>
        <v>14155</v>
      </c>
      <c r="E269" s="188">
        <f t="shared" si="24"/>
        <v>14155</v>
      </c>
      <c r="F269" s="188">
        <f t="shared" si="25"/>
        <v>0</v>
      </c>
      <c r="G269" s="188">
        <f t="shared" si="26"/>
        <v>0</v>
      </c>
      <c r="H269" s="188">
        <f t="shared" si="27"/>
        <v>0</v>
      </c>
      <c r="I269" s="188" t="str">
        <f t="shared" si="21"/>
        <v/>
      </c>
    </row>
    <row r="270" spans="2:9">
      <c r="B270" s="188">
        <v>254</v>
      </c>
      <c r="C270" s="188">
        <f t="shared" si="22"/>
        <v>14900</v>
      </c>
      <c r="D270" s="188">
        <f t="shared" si="23"/>
        <v>14900</v>
      </c>
      <c r="E270" s="188">
        <f t="shared" si="24"/>
        <v>14900</v>
      </c>
      <c r="F270" s="188">
        <f t="shared" si="25"/>
        <v>0</v>
      </c>
      <c r="G270" s="188">
        <f t="shared" si="26"/>
        <v>0</v>
      </c>
      <c r="H270" s="188">
        <f t="shared" si="27"/>
        <v>0</v>
      </c>
      <c r="I270" s="188" t="str">
        <f t="shared" si="21"/>
        <v/>
      </c>
    </row>
    <row r="271" spans="2:9">
      <c r="B271" s="188">
        <v>255</v>
      </c>
      <c r="C271" s="188">
        <f t="shared" si="22"/>
        <v>15645</v>
      </c>
      <c r="D271" s="188">
        <f t="shared" si="23"/>
        <v>15645</v>
      </c>
      <c r="E271" s="188">
        <f t="shared" si="24"/>
        <v>15645</v>
      </c>
      <c r="F271" s="188">
        <f t="shared" si="25"/>
        <v>0</v>
      </c>
      <c r="G271" s="188">
        <f t="shared" si="26"/>
        <v>0</v>
      </c>
      <c r="H271" s="188">
        <f t="shared" si="27"/>
        <v>0</v>
      </c>
      <c r="I271" s="188" t="str">
        <f t="shared" si="21"/>
        <v/>
      </c>
    </row>
    <row r="272" spans="2:9">
      <c r="B272" s="188">
        <v>256</v>
      </c>
      <c r="C272" s="188">
        <f t="shared" si="22"/>
        <v>16390</v>
      </c>
      <c r="D272" s="188">
        <f t="shared" si="23"/>
        <v>16390</v>
      </c>
      <c r="E272" s="188">
        <f t="shared" si="24"/>
        <v>16390</v>
      </c>
      <c r="F272" s="188">
        <f t="shared" si="25"/>
        <v>0</v>
      </c>
      <c r="G272" s="188">
        <f t="shared" si="26"/>
        <v>0</v>
      </c>
      <c r="H272" s="188">
        <f t="shared" si="27"/>
        <v>0</v>
      </c>
      <c r="I272" s="188" t="str">
        <f t="shared" si="21"/>
        <v/>
      </c>
    </row>
    <row r="273" spans="2:9">
      <c r="B273" s="188">
        <v>257</v>
      </c>
      <c r="C273" s="188">
        <f t="shared" si="22"/>
        <v>17135</v>
      </c>
      <c r="D273" s="188">
        <f t="shared" si="23"/>
        <v>17135</v>
      </c>
      <c r="E273" s="188">
        <f t="shared" si="24"/>
        <v>17135</v>
      </c>
      <c r="F273" s="188">
        <f t="shared" si="25"/>
        <v>0</v>
      </c>
      <c r="G273" s="188">
        <f t="shared" si="26"/>
        <v>0</v>
      </c>
      <c r="H273" s="188">
        <f t="shared" si="27"/>
        <v>0</v>
      </c>
      <c r="I273" s="188" t="str">
        <f t="shared" ref="I273:I336" si="28">IF(SUM(F273:H273)&gt;0,1,"")</f>
        <v/>
      </c>
    </row>
    <row r="274" spans="2:9">
      <c r="B274" s="188">
        <v>258</v>
      </c>
      <c r="C274" s="188">
        <f t="shared" ref="C274:C337" si="29">IF(C273+$B$3&gt;$F$8,$B$3,C273+$B$3)</f>
        <v>17880</v>
      </c>
      <c r="D274" s="188">
        <f t="shared" ref="D274:D337" si="30">IF($D$17 = 0, 0, IF(D273+$B$3&gt;$F$9,$B$3,D273+$B$3))</f>
        <v>17880</v>
      </c>
      <c r="E274" s="188">
        <f t="shared" ref="E274:E337" si="31">IF($E$17 = 0, 0, IF(E273+$B$3&gt;$F$10,$B$3,E273+$B$3))</f>
        <v>17880</v>
      </c>
      <c r="F274" s="188">
        <f t="shared" ref="F274:F337" si="32">IF((C274=$B$3),1,0)</f>
        <v>0</v>
      </c>
      <c r="G274" s="188">
        <f t="shared" ref="G274:G337" si="33">IF((D274=$B$3),1,0)</f>
        <v>0</v>
      </c>
      <c r="H274" s="188">
        <f t="shared" ref="H274:H337" si="34">IF((E274=$B$3),1,0)</f>
        <v>0</v>
      </c>
      <c r="I274" s="188" t="str">
        <f t="shared" si="28"/>
        <v/>
      </c>
    </row>
    <row r="275" spans="2:9">
      <c r="B275" s="188">
        <v>259</v>
      </c>
      <c r="C275" s="188">
        <f t="shared" si="29"/>
        <v>18625</v>
      </c>
      <c r="D275" s="188">
        <f t="shared" si="30"/>
        <v>18625</v>
      </c>
      <c r="E275" s="188">
        <f t="shared" si="31"/>
        <v>18625</v>
      </c>
      <c r="F275" s="188">
        <f t="shared" si="32"/>
        <v>0</v>
      </c>
      <c r="G275" s="188">
        <f t="shared" si="33"/>
        <v>0</v>
      </c>
      <c r="H275" s="188">
        <f t="shared" si="34"/>
        <v>0</v>
      </c>
      <c r="I275" s="188" t="str">
        <f t="shared" si="28"/>
        <v/>
      </c>
    </row>
    <row r="276" spans="2:9">
      <c r="B276" s="188">
        <v>260</v>
      </c>
      <c r="C276" s="188">
        <f t="shared" si="29"/>
        <v>19370</v>
      </c>
      <c r="D276" s="188">
        <f t="shared" si="30"/>
        <v>19370</v>
      </c>
      <c r="E276" s="188">
        <f t="shared" si="31"/>
        <v>19370</v>
      </c>
      <c r="F276" s="188">
        <f t="shared" si="32"/>
        <v>0</v>
      </c>
      <c r="G276" s="188">
        <f t="shared" si="33"/>
        <v>0</v>
      </c>
      <c r="H276" s="188">
        <f t="shared" si="34"/>
        <v>0</v>
      </c>
      <c r="I276" s="188" t="str">
        <f t="shared" si="28"/>
        <v/>
      </c>
    </row>
    <row r="277" spans="2:9">
      <c r="B277" s="188">
        <v>261</v>
      </c>
      <c r="C277" s="188">
        <f t="shared" si="29"/>
        <v>745</v>
      </c>
      <c r="D277" s="188">
        <f t="shared" si="30"/>
        <v>745</v>
      </c>
      <c r="E277" s="188">
        <f t="shared" si="31"/>
        <v>745</v>
      </c>
      <c r="F277" s="188">
        <f t="shared" si="32"/>
        <v>1</v>
      </c>
      <c r="G277" s="188">
        <f t="shared" si="33"/>
        <v>1</v>
      </c>
      <c r="H277" s="188">
        <f t="shared" si="34"/>
        <v>1</v>
      </c>
      <c r="I277" s="188">
        <f t="shared" si="28"/>
        <v>1</v>
      </c>
    </row>
    <row r="278" spans="2:9">
      <c r="B278" s="188">
        <v>262</v>
      </c>
      <c r="C278" s="188">
        <f t="shared" si="29"/>
        <v>1490</v>
      </c>
      <c r="D278" s="188">
        <f t="shared" si="30"/>
        <v>1490</v>
      </c>
      <c r="E278" s="188">
        <f t="shared" si="31"/>
        <v>1490</v>
      </c>
      <c r="F278" s="188">
        <f t="shared" si="32"/>
        <v>0</v>
      </c>
      <c r="G278" s="188">
        <f t="shared" si="33"/>
        <v>0</v>
      </c>
      <c r="H278" s="188">
        <f t="shared" si="34"/>
        <v>0</v>
      </c>
      <c r="I278" s="188" t="str">
        <f t="shared" si="28"/>
        <v/>
      </c>
    </row>
    <row r="279" spans="2:9">
      <c r="B279" s="188">
        <v>263</v>
      </c>
      <c r="C279" s="188">
        <f t="shared" si="29"/>
        <v>2235</v>
      </c>
      <c r="D279" s="188">
        <f t="shared" si="30"/>
        <v>2235</v>
      </c>
      <c r="E279" s="188">
        <f t="shared" si="31"/>
        <v>2235</v>
      </c>
      <c r="F279" s="188">
        <f t="shared" si="32"/>
        <v>0</v>
      </c>
      <c r="G279" s="188">
        <f t="shared" si="33"/>
        <v>0</v>
      </c>
      <c r="H279" s="188">
        <f t="shared" si="34"/>
        <v>0</v>
      </c>
      <c r="I279" s="188" t="str">
        <f t="shared" si="28"/>
        <v/>
      </c>
    </row>
    <row r="280" spans="2:9">
      <c r="B280" s="188">
        <v>264</v>
      </c>
      <c r="C280" s="188">
        <f t="shared" si="29"/>
        <v>2980</v>
      </c>
      <c r="D280" s="188">
        <f t="shared" si="30"/>
        <v>2980</v>
      </c>
      <c r="E280" s="188">
        <f t="shared" si="31"/>
        <v>2980</v>
      </c>
      <c r="F280" s="188">
        <f t="shared" si="32"/>
        <v>0</v>
      </c>
      <c r="G280" s="188">
        <f t="shared" si="33"/>
        <v>0</v>
      </c>
      <c r="H280" s="188">
        <f t="shared" si="34"/>
        <v>0</v>
      </c>
      <c r="I280" s="188" t="str">
        <f t="shared" si="28"/>
        <v/>
      </c>
    </row>
    <row r="281" spans="2:9">
      <c r="B281" s="188">
        <v>265</v>
      </c>
      <c r="C281" s="188">
        <f t="shared" si="29"/>
        <v>3725</v>
      </c>
      <c r="D281" s="188">
        <f t="shared" si="30"/>
        <v>3725</v>
      </c>
      <c r="E281" s="188">
        <f t="shared" si="31"/>
        <v>3725</v>
      </c>
      <c r="F281" s="188">
        <f t="shared" si="32"/>
        <v>0</v>
      </c>
      <c r="G281" s="188">
        <f t="shared" si="33"/>
        <v>0</v>
      </c>
      <c r="H281" s="188">
        <f t="shared" si="34"/>
        <v>0</v>
      </c>
      <c r="I281" s="188" t="str">
        <f t="shared" si="28"/>
        <v/>
      </c>
    </row>
    <row r="282" spans="2:9">
      <c r="B282" s="188">
        <v>266</v>
      </c>
      <c r="C282" s="188">
        <f t="shared" si="29"/>
        <v>4470</v>
      </c>
      <c r="D282" s="188">
        <f t="shared" si="30"/>
        <v>4470</v>
      </c>
      <c r="E282" s="188">
        <f t="shared" si="31"/>
        <v>4470</v>
      </c>
      <c r="F282" s="188">
        <f t="shared" si="32"/>
        <v>0</v>
      </c>
      <c r="G282" s="188">
        <f t="shared" si="33"/>
        <v>0</v>
      </c>
      <c r="H282" s="188">
        <f t="shared" si="34"/>
        <v>0</v>
      </c>
      <c r="I282" s="188" t="str">
        <f t="shared" si="28"/>
        <v/>
      </c>
    </row>
    <row r="283" spans="2:9">
      <c r="B283" s="188">
        <v>267</v>
      </c>
      <c r="C283" s="188">
        <f t="shared" si="29"/>
        <v>5215</v>
      </c>
      <c r="D283" s="188">
        <f t="shared" si="30"/>
        <v>5215</v>
      </c>
      <c r="E283" s="188">
        <f t="shared" si="31"/>
        <v>5215</v>
      </c>
      <c r="F283" s="188">
        <f t="shared" si="32"/>
        <v>0</v>
      </c>
      <c r="G283" s="188">
        <f t="shared" si="33"/>
        <v>0</v>
      </c>
      <c r="H283" s="188">
        <f t="shared" si="34"/>
        <v>0</v>
      </c>
      <c r="I283" s="188" t="str">
        <f t="shared" si="28"/>
        <v/>
      </c>
    </row>
    <row r="284" spans="2:9">
      <c r="B284" s="188">
        <v>268</v>
      </c>
      <c r="C284" s="188">
        <f t="shared" si="29"/>
        <v>5960</v>
      </c>
      <c r="D284" s="188">
        <f t="shared" si="30"/>
        <v>5960</v>
      </c>
      <c r="E284" s="188">
        <f t="shared" si="31"/>
        <v>5960</v>
      </c>
      <c r="F284" s="188">
        <f t="shared" si="32"/>
        <v>0</v>
      </c>
      <c r="G284" s="188">
        <f t="shared" si="33"/>
        <v>0</v>
      </c>
      <c r="H284" s="188">
        <f t="shared" si="34"/>
        <v>0</v>
      </c>
      <c r="I284" s="188" t="str">
        <f t="shared" si="28"/>
        <v/>
      </c>
    </row>
    <row r="285" spans="2:9">
      <c r="B285" s="188">
        <v>269</v>
      </c>
      <c r="C285" s="188">
        <f t="shared" si="29"/>
        <v>6705</v>
      </c>
      <c r="D285" s="188">
        <f t="shared" si="30"/>
        <v>6705</v>
      </c>
      <c r="E285" s="188">
        <f t="shared" si="31"/>
        <v>6705</v>
      </c>
      <c r="F285" s="188">
        <f t="shared" si="32"/>
        <v>0</v>
      </c>
      <c r="G285" s="188">
        <f t="shared" si="33"/>
        <v>0</v>
      </c>
      <c r="H285" s="188">
        <f t="shared" si="34"/>
        <v>0</v>
      </c>
      <c r="I285" s="188" t="str">
        <f t="shared" si="28"/>
        <v/>
      </c>
    </row>
    <row r="286" spans="2:9">
      <c r="B286" s="188">
        <v>270</v>
      </c>
      <c r="C286" s="188">
        <f t="shared" si="29"/>
        <v>7450</v>
      </c>
      <c r="D286" s="188">
        <f t="shared" si="30"/>
        <v>7450</v>
      </c>
      <c r="E286" s="188">
        <f t="shared" si="31"/>
        <v>7450</v>
      </c>
      <c r="F286" s="188">
        <f t="shared" si="32"/>
        <v>0</v>
      </c>
      <c r="G286" s="188">
        <f t="shared" si="33"/>
        <v>0</v>
      </c>
      <c r="H286" s="188">
        <f t="shared" si="34"/>
        <v>0</v>
      </c>
      <c r="I286" s="188" t="str">
        <f t="shared" si="28"/>
        <v/>
      </c>
    </row>
    <row r="287" spans="2:9">
      <c r="B287" s="188">
        <v>271</v>
      </c>
      <c r="C287" s="188">
        <f t="shared" si="29"/>
        <v>8195</v>
      </c>
      <c r="D287" s="188">
        <f t="shared" si="30"/>
        <v>8195</v>
      </c>
      <c r="E287" s="188">
        <f t="shared" si="31"/>
        <v>8195</v>
      </c>
      <c r="F287" s="188">
        <f t="shared" si="32"/>
        <v>0</v>
      </c>
      <c r="G287" s="188">
        <f t="shared" si="33"/>
        <v>0</v>
      </c>
      <c r="H287" s="188">
        <f t="shared" si="34"/>
        <v>0</v>
      </c>
      <c r="I287" s="188" t="str">
        <f t="shared" si="28"/>
        <v/>
      </c>
    </row>
    <row r="288" spans="2:9">
      <c r="B288" s="188">
        <v>272</v>
      </c>
      <c r="C288" s="188">
        <f t="shared" si="29"/>
        <v>8940</v>
      </c>
      <c r="D288" s="188">
        <f t="shared" si="30"/>
        <v>8940</v>
      </c>
      <c r="E288" s="188">
        <f t="shared" si="31"/>
        <v>8940</v>
      </c>
      <c r="F288" s="188">
        <f t="shared" si="32"/>
        <v>0</v>
      </c>
      <c r="G288" s="188">
        <f t="shared" si="33"/>
        <v>0</v>
      </c>
      <c r="H288" s="188">
        <f t="shared" si="34"/>
        <v>0</v>
      </c>
      <c r="I288" s="188" t="str">
        <f t="shared" si="28"/>
        <v/>
      </c>
    </row>
    <row r="289" spans="2:9">
      <c r="B289" s="188">
        <v>273</v>
      </c>
      <c r="C289" s="188">
        <f t="shared" si="29"/>
        <v>9685</v>
      </c>
      <c r="D289" s="188">
        <f t="shared" si="30"/>
        <v>9685</v>
      </c>
      <c r="E289" s="188">
        <f t="shared" si="31"/>
        <v>9685</v>
      </c>
      <c r="F289" s="188">
        <f t="shared" si="32"/>
        <v>0</v>
      </c>
      <c r="G289" s="188">
        <f t="shared" si="33"/>
        <v>0</v>
      </c>
      <c r="H289" s="188">
        <f t="shared" si="34"/>
        <v>0</v>
      </c>
      <c r="I289" s="188" t="str">
        <f t="shared" si="28"/>
        <v/>
      </c>
    </row>
    <row r="290" spans="2:9">
      <c r="B290" s="188">
        <v>274</v>
      </c>
      <c r="C290" s="188">
        <f t="shared" si="29"/>
        <v>10430</v>
      </c>
      <c r="D290" s="188">
        <f t="shared" si="30"/>
        <v>10430</v>
      </c>
      <c r="E290" s="188">
        <f t="shared" si="31"/>
        <v>10430</v>
      </c>
      <c r="F290" s="188">
        <f t="shared" si="32"/>
        <v>0</v>
      </c>
      <c r="G290" s="188">
        <f t="shared" si="33"/>
        <v>0</v>
      </c>
      <c r="H290" s="188">
        <f t="shared" si="34"/>
        <v>0</v>
      </c>
      <c r="I290" s="188" t="str">
        <f t="shared" si="28"/>
        <v/>
      </c>
    </row>
    <row r="291" spans="2:9">
      <c r="B291" s="188">
        <v>275</v>
      </c>
      <c r="C291" s="188">
        <f t="shared" si="29"/>
        <v>11175</v>
      </c>
      <c r="D291" s="188">
        <f t="shared" si="30"/>
        <v>11175</v>
      </c>
      <c r="E291" s="188">
        <f t="shared" si="31"/>
        <v>11175</v>
      </c>
      <c r="F291" s="188">
        <f t="shared" si="32"/>
        <v>0</v>
      </c>
      <c r="G291" s="188">
        <f t="shared" si="33"/>
        <v>0</v>
      </c>
      <c r="H291" s="188">
        <f t="shared" si="34"/>
        <v>0</v>
      </c>
      <c r="I291" s="188" t="str">
        <f t="shared" si="28"/>
        <v/>
      </c>
    </row>
    <row r="292" spans="2:9">
      <c r="B292" s="188">
        <v>276</v>
      </c>
      <c r="C292" s="188">
        <f t="shared" si="29"/>
        <v>11920</v>
      </c>
      <c r="D292" s="188">
        <f t="shared" si="30"/>
        <v>11920</v>
      </c>
      <c r="E292" s="188">
        <f t="shared" si="31"/>
        <v>11920</v>
      </c>
      <c r="F292" s="188">
        <f t="shared" si="32"/>
        <v>0</v>
      </c>
      <c r="G292" s="188">
        <f t="shared" si="33"/>
        <v>0</v>
      </c>
      <c r="H292" s="188">
        <f t="shared" si="34"/>
        <v>0</v>
      </c>
      <c r="I292" s="188" t="str">
        <f t="shared" si="28"/>
        <v/>
      </c>
    </row>
    <row r="293" spans="2:9">
      <c r="B293" s="188">
        <v>277</v>
      </c>
      <c r="C293" s="188">
        <f t="shared" si="29"/>
        <v>12665</v>
      </c>
      <c r="D293" s="188">
        <f t="shared" si="30"/>
        <v>12665</v>
      </c>
      <c r="E293" s="188">
        <f t="shared" si="31"/>
        <v>12665</v>
      </c>
      <c r="F293" s="188">
        <f t="shared" si="32"/>
        <v>0</v>
      </c>
      <c r="G293" s="188">
        <f t="shared" si="33"/>
        <v>0</v>
      </c>
      <c r="H293" s="188">
        <f t="shared" si="34"/>
        <v>0</v>
      </c>
      <c r="I293" s="188" t="str">
        <f t="shared" si="28"/>
        <v/>
      </c>
    </row>
    <row r="294" spans="2:9">
      <c r="B294" s="188">
        <v>278</v>
      </c>
      <c r="C294" s="188">
        <f t="shared" si="29"/>
        <v>13410</v>
      </c>
      <c r="D294" s="188">
        <f t="shared" si="30"/>
        <v>13410</v>
      </c>
      <c r="E294" s="188">
        <f t="shared" si="31"/>
        <v>13410</v>
      </c>
      <c r="F294" s="188">
        <f t="shared" si="32"/>
        <v>0</v>
      </c>
      <c r="G294" s="188">
        <f t="shared" si="33"/>
        <v>0</v>
      </c>
      <c r="H294" s="188">
        <f t="shared" si="34"/>
        <v>0</v>
      </c>
      <c r="I294" s="188" t="str">
        <f t="shared" si="28"/>
        <v/>
      </c>
    </row>
    <row r="295" spans="2:9">
      <c r="B295" s="188">
        <v>279</v>
      </c>
      <c r="C295" s="188">
        <f t="shared" si="29"/>
        <v>14155</v>
      </c>
      <c r="D295" s="188">
        <f t="shared" si="30"/>
        <v>14155</v>
      </c>
      <c r="E295" s="188">
        <f t="shared" si="31"/>
        <v>14155</v>
      </c>
      <c r="F295" s="188">
        <f t="shared" si="32"/>
        <v>0</v>
      </c>
      <c r="G295" s="188">
        <f t="shared" si="33"/>
        <v>0</v>
      </c>
      <c r="H295" s="188">
        <f t="shared" si="34"/>
        <v>0</v>
      </c>
      <c r="I295" s="188" t="str">
        <f t="shared" si="28"/>
        <v/>
      </c>
    </row>
    <row r="296" spans="2:9">
      <c r="B296" s="188">
        <v>280</v>
      </c>
      <c r="C296" s="188">
        <f t="shared" si="29"/>
        <v>14900</v>
      </c>
      <c r="D296" s="188">
        <f t="shared" si="30"/>
        <v>14900</v>
      </c>
      <c r="E296" s="188">
        <f t="shared" si="31"/>
        <v>14900</v>
      </c>
      <c r="F296" s="188">
        <f t="shared" si="32"/>
        <v>0</v>
      </c>
      <c r="G296" s="188">
        <f t="shared" si="33"/>
        <v>0</v>
      </c>
      <c r="H296" s="188">
        <f t="shared" si="34"/>
        <v>0</v>
      </c>
      <c r="I296" s="188" t="str">
        <f t="shared" si="28"/>
        <v/>
      </c>
    </row>
    <row r="297" spans="2:9">
      <c r="B297" s="188">
        <v>281</v>
      </c>
      <c r="C297" s="188">
        <f t="shared" si="29"/>
        <v>15645</v>
      </c>
      <c r="D297" s="188">
        <f t="shared" si="30"/>
        <v>15645</v>
      </c>
      <c r="E297" s="188">
        <f t="shared" si="31"/>
        <v>15645</v>
      </c>
      <c r="F297" s="188">
        <f t="shared" si="32"/>
        <v>0</v>
      </c>
      <c r="G297" s="188">
        <f t="shared" si="33"/>
        <v>0</v>
      </c>
      <c r="H297" s="188">
        <f t="shared" si="34"/>
        <v>0</v>
      </c>
      <c r="I297" s="188" t="str">
        <f t="shared" si="28"/>
        <v/>
      </c>
    </row>
    <row r="298" spans="2:9">
      <c r="B298" s="188">
        <v>282</v>
      </c>
      <c r="C298" s="188">
        <f t="shared" si="29"/>
        <v>16390</v>
      </c>
      <c r="D298" s="188">
        <f t="shared" si="30"/>
        <v>16390</v>
      </c>
      <c r="E298" s="188">
        <f t="shared" si="31"/>
        <v>16390</v>
      </c>
      <c r="F298" s="188">
        <f t="shared" si="32"/>
        <v>0</v>
      </c>
      <c r="G298" s="188">
        <f t="shared" si="33"/>
        <v>0</v>
      </c>
      <c r="H298" s="188">
        <f t="shared" si="34"/>
        <v>0</v>
      </c>
      <c r="I298" s="188" t="str">
        <f t="shared" si="28"/>
        <v/>
      </c>
    </row>
    <row r="299" spans="2:9">
      <c r="B299" s="188">
        <v>283</v>
      </c>
      <c r="C299" s="188">
        <f t="shared" si="29"/>
        <v>17135</v>
      </c>
      <c r="D299" s="188">
        <f t="shared" si="30"/>
        <v>17135</v>
      </c>
      <c r="E299" s="188">
        <f t="shared" si="31"/>
        <v>17135</v>
      </c>
      <c r="F299" s="188">
        <f t="shared" si="32"/>
        <v>0</v>
      </c>
      <c r="G299" s="188">
        <f t="shared" si="33"/>
        <v>0</v>
      </c>
      <c r="H299" s="188">
        <f t="shared" si="34"/>
        <v>0</v>
      </c>
      <c r="I299" s="188" t="str">
        <f t="shared" si="28"/>
        <v/>
      </c>
    </row>
    <row r="300" spans="2:9">
      <c r="B300" s="188">
        <v>284</v>
      </c>
      <c r="C300" s="188">
        <f t="shared" si="29"/>
        <v>17880</v>
      </c>
      <c r="D300" s="188">
        <f t="shared" si="30"/>
        <v>17880</v>
      </c>
      <c r="E300" s="188">
        <f t="shared" si="31"/>
        <v>17880</v>
      </c>
      <c r="F300" s="188">
        <f t="shared" si="32"/>
        <v>0</v>
      </c>
      <c r="G300" s="188">
        <f t="shared" si="33"/>
        <v>0</v>
      </c>
      <c r="H300" s="188">
        <f t="shared" si="34"/>
        <v>0</v>
      </c>
      <c r="I300" s="188" t="str">
        <f t="shared" si="28"/>
        <v/>
      </c>
    </row>
    <row r="301" spans="2:9">
      <c r="B301" s="188">
        <v>285</v>
      </c>
      <c r="C301" s="188">
        <f t="shared" si="29"/>
        <v>18625</v>
      </c>
      <c r="D301" s="188">
        <f t="shared" si="30"/>
        <v>18625</v>
      </c>
      <c r="E301" s="188">
        <f t="shared" si="31"/>
        <v>18625</v>
      </c>
      <c r="F301" s="188">
        <f t="shared" si="32"/>
        <v>0</v>
      </c>
      <c r="G301" s="188">
        <f t="shared" si="33"/>
        <v>0</v>
      </c>
      <c r="H301" s="188">
        <f t="shared" si="34"/>
        <v>0</v>
      </c>
      <c r="I301" s="188" t="str">
        <f t="shared" si="28"/>
        <v/>
      </c>
    </row>
    <row r="302" spans="2:9">
      <c r="B302" s="188">
        <v>286</v>
      </c>
      <c r="C302" s="188">
        <f t="shared" si="29"/>
        <v>19370</v>
      </c>
      <c r="D302" s="188">
        <f t="shared" si="30"/>
        <v>19370</v>
      </c>
      <c r="E302" s="188">
        <f t="shared" si="31"/>
        <v>19370</v>
      </c>
      <c r="F302" s="188">
        <f t="shared" si="32"/>
        <v>0</v>
      </c>
      <c r="G302" s="188">
        <f t="shared" si="33"/>
        <v>0</v>
      </c>
      <c r="H302" s="188">
        <f t="shared" si="34"/>
        <v>0</v>
      </c>
      <c r="I302" s="188" t="str">
        <f t="shared" si="28"/>
        <v/>
      </c>
    </row>
    <row r="303" spans="2:9">
      <c r="B303" s="188">
        <v>287</v>
      </c>
      <c r="C303" s="188">
        <f t="shared" si="29"/>
        <v>745</v>
      </c>
      <c r="D303" s="188">
        <f t="shared" si="30"/>
        <v>745</v>
      </c>
      <c r="E303" s="188">
        <f t="shared" si="31"/>
        <v>745</v>
      </c>
      <c r="F303" s="188">
        <f t="shared" si="32"/>
        <v>1</v>
      </c>
      <c r="G303" s="188">
        <f t="shared" si="33"/>
        <v>1</v>
      </c>
      <c r="H303" s="188">
        <f t="shared" si="34"/>
        <v>1</v>
      </c>
      <c r="I303" s="188">
        <f t="shared" si="28"/>
        <v>1</v>
      </c>
    </row>
    <row r="304" spans="2:9">
      <c r="B304" s="188">
        <v>288</v>
      </c>
      <c r="C304" s="188">
        <f t="shared" si="29"/>
        <v>1490</v>
      </c>
      <c r="D304" s="188">
        <f t="shared" si="30"/>
        <v>1490</v>
      </c>
      <c r="E304" s="188">
        <f t="shared" si="31"/>
        <v>1490</v>
      </c>
      <c r="F304" s="188">
        <f t="shared" si="32"/>
        <v>0</v>
      </c>
      <c r="G304" s="188">
        <f t="shared" si="33"/>
        <v>0</v>
      </c>
      <c r="H304" s="188">
        <f t="shared" si="34"/>
        <v>0</v>
      </c>
      <c r="I304" s="188" t="str">
        <f t="shared" si="28"/>
        <v/>
      </c>
    </row>
    <row r="305" spans="2:9">
      <c r="B305" s="188">
        <v>289</v>
      </c>
      <c r="C305" s="188">
        <f t="shared" si="29"/>
        <v>2235</v>
      </c>
      <c r="D305" s="188">
        <f t="shared" si="30"/>
        <v>2235</v>
      </c>
      <c r="E305" s="188">
        <f t="shared" si="31"/>
        <v>2235</v>
      </c>
      <c r="F305" s="188">
        <f t="shared" si="32"/>
        <v>0</v>
      </c>
      <c r="G305" s="188">
        <f t="shared" si="33"/>
        <v>0</v>
      </c>
      <c r="H305" s="188">
        <f t="shared" si="34"/>
        <v>0</v>
      </c>
      <c r="I305" s="188" t="str">
        <f t="shared" si="28"/>
        <v/>
      </c>
    </row>
    <row r="306" spans="2:9">
      <c r="B306" s="188">
        <v>290</v>
      </c>
      <c r="C306" s="188">
        <f t="shared" si="29"/>
        <v>2980</v>
      </c>
      <c r="D306" s="188">
        <f t="shared" si="30"/>
        <v>2980</v>
      </c>
      <c r="E306" s="188">
        <f t="shared" si="31"/>
        <v>2980</v>
      </c>
      <c r="F306" s="188">
        <f t="shared" si="32"/>
        <v>0</v>
      </c>
      <c r="G306" s="188">
        <f t="shared" si="33"/>
        <v>0</v>
      </c>
      <c r="H306" s="188">
        <f t="shared" si="34"/>
        <v>0</v>
      </c>
      <c r="I306" s="188" t="str">
        <f t="shared" si="28"/>
        <v/>
      </c>
    </row>
    <row r="307" spans="2:9">
      <c r="B307" s="188">
        <v>291</v>
      </c>
      <c r="C307" s="188">
        <f t="shared" si="29"/>
        <v>3725</v>
      </c>
      <c r="D307" s="188">
        <f t="shared" si="30"/>
        <v>3725</v>
      </c>
      <c r="E307" s="188">
        <f t="shared" si="31"/>
        <v>3725</v>
      </c>
      <c r="F307" s="188">
        <f t="shared" si="32"/>
        <v>0</v>
      </c>
      <c r="G307" s="188">
        <f t="shared" si="33"/>
        <v>0</v>
      </c>
      <c r="H307" s="188">
        <f t="shared" si="34"/>
        <v>0</v>
      </c>
      <c r="I307" s="188" t="str">
        <f t="shared" si="28"/>
        <v/>
      </c>
    </row>
    <row r="308" spans="2:9">
      <c r="B308" s="188">
        <v>292</v>
      </c>
      <c r="C308" s="188">
        <f t="shared" si="29"/>
        <v>4470</v>
      </c>
      <c r="D308" s="188">
        <f t="shared" si="30"/>
        <v>4470</v>
      </c>
      <c r="E308" s="188">
        <f t="shared" si="31"/>
        <v>4470</v>
      </c>
      <c r="F308" s="188">
        <f t="shared" si="32"/>
        <v>0</v>
      </c>
      <c r="G308" s="188">
        <f t="shared" si="33"/>
        <v>0</v>
      </c>
      <c r="H308" s="188">
        <f t="shared" si="34"/>
        <v>0</v>
      </c>
      <c r="I308" s="188" t="str">
        <f t="shared" si="28"/>
        <v/>
      </c>
    </row>
    <row r="309" spans="2:9">
      <c r="B309" s="188">
        <v>293</v>
      </c>
      <c r="C309" s="188">
        <f t="shared" si="29"/>
        <v>5215</v>
      </c>
      <c r="D309" s="188">
        <f t="shared" si="30"/>
        <v>5215</v>
      </c>
      <c r="E309" s="188">
        <f t="shared" si="31"/>
        <v>5215</v>
      </c>
      <c r="F309" s="188">
        <f t="shared" si="32"/>
        <v>0</v>
      </c>
      <c r="G309" s="188">
        <f t="shared" si="33"/>
        <v>0</v>
      </c>
      <c r="H309" s="188">
        <f t="shared" si="34"/>
        <v>0</v>
      </c>
      <c r="I309" s="188" t="str">
        <f t="shared" si="28"/>
        <v/>
      </c>
    </row>
    <row r="310" spans="2:9">
      <c r="B310" s="188">
        <v>294</v>
      </c>
      <c r="C310" s="188">
        <f t="shared" si="29"/>
        <v>5960</v>
      </c>
      <c r="D310" s="188">
        <f t="shared" si="30"/>
        <v>5960</v>
      </c>
      <c r="E310" s="188">
        <f t="shared" si="31"/>
        <v>5960</v>
      </c>
      <c r="F310" s="188">
        <f t="shared" si="32"/>
        <v>0</v>
      </c>
      <c r="G310" s="188">
        <f t="shared" si="33"/>
        <v>0</v>
      </c>
      <c r="H310" s="188">
        <f t="shared" si="34"/>
        <v>0</v>
      </c>
      <c r="I310" s="188" t="str">
        <f t="shared" si="28"/>
        <v/>
      </c>
    </row>
    <row r="311" spans="2:9">
      <c r="B311" s="188">
        <v>295</v>
      </c>
      <c r="C311" s="188">
        <f t="shared" si="29"/>
        <v>6705</v>
      </c>
      <c r="D311" s="188">
        <f t="shared" si="30"/>
        <v>6705</v>
      </c>
      <c r="E311" s="188">
        <f t="shared" si="31"/>
        <v>6705</v>
      </c>
      <c r="F311" s="188">
        <f t="shared" si="32"/>
        <v>0</v>
      </c>
      <c r="G311" s="188">
        <f t="shared" si="33"/>
        <v>0</v>
      </c>
      <c r="H311" s="188">
        <f t="shared" si="34"/>
        <v>0</v>
      </c>
      <c r="I311" s="188" t="str">
        <f t="shared" si="28"/>
        <v/>
      </c>
    </row>
    <row r="312" spans="2:9">
      <c r="B312" s="188">
        <v>296</v>
      </c>
      <c r="C312" s="188">
        <f t="shared" si="29"/>
        <v>7450</v>
      </c>
      <c r="D312" s="188">
        <f t="shared" si="30"/>
        <v>7450</v>
      </c>
      <c r="E312" s="188">
        <f t="shared" si="31"/>
        <v>7450</v>
      </c>
      <c r="F312" s="188">
        <f t="shared" si="32"/>
        <v>0</v>
      </c>
      <c r="G312" s="188">
        <f t="shared" si="33"/>
        <v>0</v>
      </c>
      <c r="H312" s="188">
        <f t="shared" si="34"/>
        <v>0</v>
      </c>
      <c r="I312" s="188" t="str">
        <f t="shared" si="28"/>
        <v/>
      </c>
    </row>
    <row r="313" spans="2:9">
      <c r="B313" s="188">
        <v>297</v>
      </c>
      <c r="C313" s="188">
        <f t="shared" si="29"/>
        <v>8195</v>
      </c>
      <c r="D313" s="188">
        <f t="shared" si="30"/>
        <v>8195</v>
      </c>
      <c r="E313" s="188">
        <f t="shared" si="31"/>
        <v>8195</v>
      </c>
      <c r="F313" s="188">
        <f t="shared" si="32"/>
        <v>0</v>
      </c>
      <c r="G313" s="188">
        <f t="shared" si="33"/>
        <v>0</v>
      </c>
      <c r="H313" s="188">
        <f t="shared" si="34"/>
        <v>0</v>
      </c>
      <c r="I313" s="188" t="str">
        <f t="shared" si="28"/>
        <v/>
      </c>
    </row>
    <row r="314" spans="2:9">
      <c r="B314" s="188">
        <v>298</v>
      </c>
      <c r="C314" s="188">
        <f t="shared" si="29"/>
        <v>8940</v>
      </c>
      <c r="D314" s="188">
        <f t="shared" si="30"/>
        <v>8940</v>
      </c>
      <c r="E314" s="188">
        <f t="shared" si="31"/>
        <v>8940</v>
      </c>
      <c r="F314" s="188">
        <f t="shared" si="32"/>
        <v>0</v>
      </c>
      <c r="G314" s="188">
        <f t="shared" si="33"/>
        <v>0</v>
      </c>
      <c r="H314" s="188">
        <f t="shared" si="34"/>
        <v>0</v>
      </c>
      <c r="I314" s="188" t="str">
        <f t="shared" si="28"/>
        <v/>
      </c>
    </row>
    <row r="315" spans="2:9">
      <c r="B315" s="188">
        <v>299</v>
      </c>
      <c r="C315" s="188">
        <f t="shared" si="29"/>
        <v>9685</v>
      </c>
      <c r="D315" s="188">
        <f t="shared" si="30"/>
        <v>9685</v>
      </c>
      <c r="E315" s="188">
        <f t="shared" si="31"/>
        <v>9685</v>
      </c>
      <c r="F315" s="188">
        <f t="shared" si="32"/>
        <v>0</v>
      </c>
      <c r="G315" s="188">
        <f t="shared" si="33"/>
        <v>0</v>
      </c>
      <c r="H315" s="188">
        <f t="shared" si="34"/>
        <v>0</v>
      </c>
      <c r="I315" s="188" t="str">
        <f t="shared" si="28"/>
        <v/>
      </c>
    </row>
    <row r="316" spans="2:9">
      <c r="B316" s="188">
        <v>300</v>
      </c>
      <c r="C316" s="188">
        <f t="shared" si="29"/>
        <v>10430</v>
      </c>
      <c r="D316" s="188">
        <f t="shared" si="30"/>
        <v>10430</v>
      </c>
      <c r="E316" s="188">
        <f t="shared" si="31"/>
        <v>10430</v>
      </c>
      <c r="F316" s="188">
        <f t="shared" si="32"/>
        <v>0</v>
      </c>
      <c r="G316" s="188">
        <f t="shared" si="33"/>
        <v>0</v>
      </c>
      <c r="H316" s="188">
        <f t="shared" si="34"/>
        <v>0</v>
      </c>
      <c r="I316" s="188" t="str">
        <f t="shared" si="28"/>
        <v/>
      </c>
    </row>
    <row r="317" spans="2:9">
      <c r="B317" s="188">
        <v>301</v>
      </c>
      <c r="C317" s="188">
        <f t="shared" si="29"/>
        <v>11175</v>
      </c>
      <c r="D317" s="188">
        <f t="shared" si="30"/>
        <v>11175</v>
      </c>
      <c r="E317" s="188">
        <f t="shared" si="31"/>
        <v>11175</v>
      </c>
      <c r="F317" s="188">
        <f t="shared" si="32"/>
        <v>0</v>
      </c>
      <c r="G317" s="188">
        <f t="shared" si="33"/>
        <v>0</v>
      </c>
      <c r="H317" s="188">
        <f t="shared" si="34"/>
        <v>0</v>
      </c>
      <c r="I317" s="188" t="str">
        <f t="shared" si="28"/>
        <v/>
      </c>
    </row>
    <row r="318" spans="2:9">
      <c r="B318" s="188">
        <v>302</v>
      </c>
      <c r="C318" s="188">
        <f t="shared" si="29"/>
        <v>11920</v>
      </c>
      <c r="D318" s="188">
        <f t="shared" si="30"/>
        <v>11920</v>
      </c>
      <c r="E318" s="188">
        <f t="shared" si="31"/>
        <v>11920</v>
      </c>
      <c r="F318" s="188">
        <f t="shared" si="32"/>
        <v>0</v>
      </c>
      <c r="G318" s="188">
        <f t="shared" si="33"/>
        <v>0</v>
      </c>
      <c r="H318" s="188">
        <f t="shared" si="34"/>
        <v>0</v>
      </c>
      <c r="I318" s="188" t="str">
        <f t="shared" si="28"/>
        <v/>
      </c>
    </row>
    <row r="319" spans="2:9">
      <c r="B319" s="188">
        <v>303</v>
      </c>
      <c r="C319" s="188">
        <f t="shared" si="29"/>
        <v>12665</v>
      </c>
      <c r="D319" s="188">
        <f t="shared" si="30"/>
        <v>12665</v>
      </c>
      <c r="E319" s="188">
        <f t="shared" si="31"/>
        <v>12665</v>
      </c>
      <c r="F319" s="188">
        <f t="shared" si="32"/>
        <v>0</v>
      </c>
      <c r="G319" s="188">
        <f t="shared" si="33"/>
        <v>0</v>
      </c>
      <c r="H319" s="188">
        <f t="shared" si="34"/>
        <v>0</v>
      </c>
      <c r="I319" s="188" t="str">
        <f t="shared" si="28"/>
        <v/>
      </c>
    </row>
    <row r="320" spans="2:9">
      <c r="B320" s="188">
        <v>304</v>
      </c>
      <c r="C320" s="188">
        <f t="shared" si="29"/>
        <v>13410</v>
      </c>
      <c r="D320" s="188">
        <f t="shared" si="30"/>
        <v>13410</v>
      </c>
      <c r="E320" s="188">
        <f t="shared" si="31"/>
        <v>13410</v>
      </c>
      <c r="F320" s="188">
        <f t="shared" si="32"/>
        <v>0</v>
      </c>
      <c r="G320" s="188">
        <f t="shared" si="33"/>
        <v>0</v>
      </c>
      <c r="H320" s="188">
        <f t="shared" si="34"/>
        <v>0</v>
      </c>
      <c r="I320" s="188" t="str">
        <f t="shared" si="28"/>
        <v/>
      </c>
    </row>
    <row r="321" spans="2:9">
      <c r="B321" s="188">
        <v>305</v>
      </c>
      <c r="C321" s="188">
        <f t="shared" si="29"/>
        <v>14155</v>
      </c>
      <c r="D321" s="188">
        <f t="shared" si="30"/>
        <v>14155</v>
      </c>
      <c r="E321" s="188">
        <f t="shared" si="31"/>
        <v>14155</v>
      </c>
      <c r="F321" s="188">
        <f t="shared" si="32"/>
        <v>0</v>
      </c>
      <c r="G321" s="188">
        <f t="shared" si="33"/>
        <v>0</v>
      </c>
      <c r="H321" s="188">
        <f t="shared" si="34"/>
        <v>0</v>
      </c>
      <c r="I321" s="188" t="str">
        <f t="shared" si="28"/>
        <v/>
      </c>
    </row>
    <row r="322" spans="2:9">
      <c r="B322" s="188">
        <v>306</v>
      </c>
      <c r="C322" s="188">
        <f t="shared" si="29"/>
        <v>14900</v>
      </c>
      <c r="D322" s="188">
        <f t="shared" si="30"/>
        <v>14900</v>
      </c>
      <c r="E322" s="188">
        <f t="shared" si="31"/>
        <v>14900</v>
      </c>
      <c r="F322" s="188">
        <f t="shared" si="32"/>
        <v>0</v>
      </c>
      <c r="G322" s="188">
        <f t="shared" si="33"/>
        <v>0</v>
      </c>
      <c r="H322" s="188">
        <f t="shared" si="34"/>
        <v>0</v>
      </c>
      <c r="I322" s="188" t="str">
        <f t="shared" si="28"/>
        <v/>
      </c>
    </row>
    <row r="323" spans="2:9">
      <c r="B323" s="188">
        <v>307</v>
      </c>
      <c r="C323" s="188">
        <f t="shared" si="29"/>
        <v>15645</v>
      </c>
      <c r="D323" s="188">
        <f t="shared" si="30"/>
        <v>15645</v>
      </c>
      <c r="E323" s="188">
        <f t="shared" si="31"/>
        <v>15645</v>
      </c>
      <c r="F323" s="188">
        <f t="shared" si="32"/>
        <v>0</v>
      </c>
      <c r="G323" s="188">
        <f t="shared" si="33"/>
        <v>0</v>
      </c>
      <c r="H323" s="188">
        <f t="shared" si="34"/>
        <v>0</v>
      </c>
      <c r="I323" s="188" t="str">
        <f t="shared" si="28"/>
        <v/>
      </c>
    </row>
    <row r="324" spans="2:9">
      <c r="B324" s="188">
        <v>308</v>
      </c>
      <c r="C324" s="188">
        <f t="shared" si="29"/>
        <v>16390</v>
      </c>
      <c r="D324" s="188">
        <f t="shared" si="30"/>
        <v>16390</v>
      </c>
      <c r="E324" s="188">
        <f t="shared" si="31"/>
        <v>16390</v>
      </c>
      <c r="F324" s="188">
        <f t="shared" si="32"/>
        <v>0</v>
      </c>
      <c r="G324" s="188">
        <f t="shared" si="33"/>
        <v>0</v>
      </c>
      <c r="H324" s="188">
        <f t="shared" si="34"/>
        <v>0</v>
      </c>
      <c r="I324" s="188" t="str">
        <f t="shared" si="28"/>
        <v/>
      </c>
    </row>
    <row r="325" spans="2:9">
      <c r="B325" s="188">
        <v>309</v>
      </c>
      <c r="C325" s="188">
        <f t="shared" si="29"/>
        <v>17135</v>
      </c>
      <c r="D325" s="188">
        <f t="shared" si="30"/>
        <v>17135</v>
      </c>
      <c r="E325" s="188">
        <f t="shared" si="31"/>
        <v>17135</v>
      </c>
      <c r="F325" s="188">
        <f t="shared" si="32"/>
        <v>0</v>
      </c>
      <c r="G325" s="188">
        <f t="shared" si="33"/>
        <v>0</v>
      </c>
      <c r="H325" s="188">
        <f t="shared" si="34"/>
        <v>0</v>
      </c>
      <c r="I325" s="188" t="str">
        <f t="shared" si="28"/>
        <v/>
      </c>
    </row>
    <row r="326" spans="2:9">
      <c r="B326" s="188">
        <v>310</v>
      </c>
      <c r="C326" s="188">
        <f t="shared" si="29"/>
        <v>17880</v>
      </c>
      <c r="D326" s="188">
        <f t="shared" si="30"/>
        <v>17880</v>
      </c>
      <c r="E326" s="188">
        <f t="shared" si="31"/>
        <v>17880</v>
      </c>
      <c r="F326" s="188">
        <f t="shared" si="32"/>
        <v>0</v>
      </c>
      <c r="G326" s="188">
        <f t="shared" si="33"/>
        <v>0</v>
      </c>
      <c r="H326" s="188">
        <f t="shared" si="34"/>
        <v>0</v>
      </c>
      <c r="I326" s="188" t="str">
        <f t="shared" si="28"/>
        <v/>
      </c>
    </row>
    <row r="327" spans="2:9">
      <c r="B327" s="188">
        <v>311</v>
      </c>
      <c r="C327" s="188">
        <f t="shared" si="29"/>
        <v>18625</v>
      </c>
      <c r="D327" s="188">
        <f t="shared" si="30"/>
        <v>18625</v>
      </c>
      <c r="E327" s="188">
        <f t="shared" si="31"/>
        <v>18625</v>
      </c>
      <c r="F327" s="188">
        <f t="shared" si="32"/>
        <v>0</v>
      </c>
      <c r="G327" s="188">
        <f t="shared" si="33"/>
        <v>0</v>
      </c>
      <c r="H327" s="188">
        <f t="shared" si="34"/>
        <v>0</v>
      </c>
      <c r="I327" s="188" t="str">
        <f t="shared" si="28"/>
        <v/>
      </c>
    </row>
    <row r="328" spans="2:9">
      <c r="B328" s="188">
        <v>312</v>
      </c>
      <c r="C328" s="188">
        <f t="shared" si="29"/>
        <v>19370</v>
      </c>
      <c r="D328" s="188">
        <f t="shared" si="30"/>
        <v>19370</v>
      </c>
      <c r="E328" s="188">
        <f t="shared" si="31"/>
        <v>19370</v>
      </c>
      <c r="F328" s="188">
        <f t="shared" si="32"/>
        <v>0</v>
      </c>
      <c r="G328" s="188">
        <f t="shared" si="33"/>
        <v>0</v>
      </c>
      <c r="H328" s="188">
        <f t="shared" si="34"/>
        <v>0</v>
      </c>
      <c r="I328" s="188" t="str">
        <f t="shared" si="28"/>
        <v/>
      </c>
    </row>
    <row r="329" spans="2:9">
      <c r="B329" s="188">
        <v>313</v>
      </c>
      <c r="C329" s="188">
        <f t="shared" si="29"/>
        <v>745</v>
      </c>
      <c r="D329" s="188">
        <f t="shared" si="30"/>
        <v>745</v>
      </c>
      <c r="E329" s="188">
        <f t="shared" si="31"/>
        <v>745</v>
      </c>
      <c r="F329" s="188">
        <f t="shared" si="32"/>
        <v>1</v>
      </c>
      <c r="G329" s="188">
        <f t="shared" si="33"/>
        <v>1</v>
      </c>
      <c r="H329" s="188">
        <f t="shared" si="34"/>
        <v>1</v>
      </c>
      <c r="I329" s="188">
        <f t="shared" si="28"/>
        <v>1</v>
      </c>
    </row>
    <row r="330" spans="2:9">
      <c r="B330" s="188">
        <v>314</v>
      </c>
      <c r="C330" s="188">
        <f t="shared" si="29"/>
        <v>1490</v>
      </c>
      <c r="D330" s="188">
        <f t="shared" si="30"/>
        <v>1490</v>
      </c>
      <c r="E330" s="188">
        <f t="shared" si="31"/>
        <v>1490</v>
      </c>
      <c r="F330" s="188">
        <f t="shared" si="32"/>
        <v>0</v>
      </c>
      <c r="G330" s="188">
        <f t="shared" si="33"/>
        <v>0</v>
      </c>
      <c r="H330" s="188">
        <f t="shared" si="34"/>
        <v>0</v>
      </c>
      <c r="I330" s="188" t="str">
        <f t="shared" si="28"/>
        <v/>
      </c>
    </row>
    <row r="331" spans="2:9">
      <c r="B331" s="188">
        <v>315</v>
      </c>
      <c r="C331" s="188">
        <f t="shared" si="29"/>
        <v>2235</v>
      </c>
      <c r="D331" s="188">
        <f t="shared" si="30"/>
        <v>2235</v>
      </c>
      <c r="E331" s="188">
        <f t="shared" si="31"/>
        <v>2235</v>
      </c>
      <c r="F331" s="188">
        <f t="shared" si="32"/>
        <v>0</v>
      </c>
      <c r="G331" s="188">
        <f t="shared" si="33"/>
        <v>0</v>
      </c>
      <c r="H331" s="188">
        <f t="shared" si="34"/>
        <v>0</v>
      </c>
      <c r="I331" s="188" t="str">
        <f t="shared" si="28"/>
        <v/>
      </c>
    </row>
    <row r="332" spans="2:9">
      <c r="B332" s="188">
        <v>316</v>
      </c>
      <c r="C332" s="188">
        <f t="shared" si="29"/>
        <v>2980</v>
      </c>
      <c r="D332" s="188">
        <f t="shared" si="30"/>
        <v>2980</v>
      </c>
      <c r="E332" s="188">
        <f t="shared" si="31"/>
        <v>2980</v>
      </c>
      <c r="F332" s="188">
        <f t="shared" si="32"/>
        <v>0</v>
      </c>
      <c r="G332" s="188">
        <f t="shared" si="33"/>
        <v>0</v>
      </c>
      <c r="H332" s="188">
        <f t="shared" si="34"/>
        <v>0</v>
      </c>
      <c r="I332" s="188" t="str">
        <f t="shared" si="28"/>
        <v/>
      </c>
    </row>
    <row r="333" spans="2:9">
      <c r="B333" s="188">
        <v>317</v>
      </c>
      <c r="C333" s="188">
        <f t="shared" si="29"/>
        <v>3725</v>
      </c>
      <c r="D333" s="188">
        <f t="shared" si="30"/>
        <v>3725</v>
      </c>
      <c r="E333" s="188">
        <f t="shared" si="31"/>
        <v>3725</v>
      </c>
      <c r="F333" s="188">
        <f t="shared" si="32"/>
        <v>0</v>
      </c>
      <c r="G333" s="188">
        <f t="shared" si="33"/>
        <v>0</v>
      </c>
      <c r="H333" s="188">
        <f t="shared" si="34"/>
        <v>0</v>
      </c>
      <c r="I333" s="188" t="str">
        <f t="shared" si="28"/>
        <v/>
      </c>
    </row>
    <row r="334" spans="2:9">
      <c r="B334" s="188">
        <v>318</v>
      </c>
      <c r="C334" s="188">
        <f t="shared" si="29"/>
        <v>4470</v>
      </c>
      <c r="D334" s="188">
        <f t="shared" si="30"/>
        <v>4470</v>
      </c>
      <c r="E334" s="188">
        <f t="shared" si="31"/>
        <v>4470</v>
      </c>
      <c r="F334" s="188">
        <f t="shared" si="32"/>
        <v>0</v>
      </c>
      <c r="G334" s="188">
        <f t="shared" si="33"/>
        <v>0</v>
      </c>
      <c r="H334" s="188">
        <f t="shared" si="34"/>
        <v>0</v>
      </c>
      <c r="I334" s="188" t="str">
        <f t="shared" si="28"/>
        <v/>
      </c>
    </row>
    <row r="335" spans="2:9">
      <c r="B335" s="188">
        <v>319</v>
      </c>
      <c r="C335" s="188">
        <f t="shared" si="29"/>
        <v>5215</v>
      </c>
      <c r="D335" s="188">
        <f t="shared" si="30"/>
        <v>5215</v>
      </c>
      <c r="E335" s="188">
        <f t="shared" si="31"/>
        <v>5215</v>
      </c>
      <c r="F335" s="188">
        <f t="shared" si="32"/>
        <v>0</v>
      </c>
      <c r="G335" s="188">
        <f t="shared" si="33"/>
        <v>0</v>
      </c>
      <c r="H335" s="188">
        <f t="shared" si="34"/>
        <v>0</v>
      </c>
      <c r="I335" s="188" t="str">
        <f t="shared" si="28"/>
        <v/>
      </c>
    </row>
    <row r="336" spans="2:9">
      <c r="B336" s="188">
        <v>320</v>
      </c>
      <c r="C336" s="188">
        <f t="shared" si="29"/>
        <v>5960</v>
      </c>
      <c r="D336" s="188">
        <f t="shared" si="30"/>
        <v>5960</v>
      </c>
      <c r="E336" s="188">
        <f t="shared" si="31"/>
        <v>5960</v>
      </c>
      <c r="F336" s="188">
        <f t="shared" si="32"/>
        <v>0</v>
      </c>
      <c r="G336" s="188">
        <f t="shared" si="33"/>
        <v>0</v>
      </c>
      <c r="H336" s="188">
        <f t="shared" si="34"/>
        <v>0</v>
      </c>
      <c r="I336" s="188" t="str">
        <f t="shared" si="28"/>
        <v/>
      </c>
    </row>
    <row r="337" spans="2:9">
      <c r="B337" s="188">
        <v>321</v>
      </c>
      <c r="C337" s="188">
        <f t="shared" si="29"/>
        <v>6705</v>
      </c>
      <c r="D337" s="188">
        <f t="shared" si="30"/>
        <v>6705</v>
      </c>
      <c r="E337" s="188">
        <f t="shared" si="31"/>
        <v>6705</v>
      </c>
      <c r="F337" s="188">
        <f t="shared" si="32"/>
        <v>0</v>
      </c>
      <c r="G337" s="188">
        <f t="shared" si="33"/>
        <v>0</v>
      </c>
      <c r="H337" s="188">
        <f t="shared" si="34"/>
        <v>0</v>
      </c>
      <c r="I337" s="188" t="str">
        <f t="shared" ref="I337:I381" si="35">IF(SUM(F337:H337)&gt;0,1,"")</f>
        <v/>
      </c>
    </row>
    <row r="338" spans="2:9">
      <c r="B338" s="188">
        <v>322</v>
      </c>
      <c r="C338" s="188">
        <f t="shared" ref="C338:C372" si="36">IF(C337+$B$3&gt;$F$8,$B$3,C337+$B$3)</f>
        <v>7450</v>
      </c>
      <c r="D338" s="188">
        <f t="shared" ref="D338:D372" si="37">IF($D$17 = 0, 0, IF(D337+$B$3&gt;$F$9,$B$3,D337+$B$3))</f>
        <v>7450</v>
      </c>
      <c r="E338" s="188">
        <f t="shared" ref="E338:E372" si="38">IF($E$17 = 0, 0, IF(E337+$B$3&gt;$F$10,$B$3,E337+$B$3))</f>
        <v>7450</v>
      </c>
      <c r="F338" s="188">
        <f t="shared" ref="F338:F372" si="39">IF((C338=$B$3),1,0)</f>
        <v>0</v>
      </c>
      <c r="G338" s="188">
        <f t="shared" ref="G338:G372" si="40">IF((D338=$B$3),1,0)</f>
        <v>0</v>
      </c>
      <c r="H338" s="188">
        <f t="shared" ref="H338:H372" si="41">IF((E338=$B$3),1,0)</f>
        <v>0</v>
      </c>
      <c r="I338" s="188" t="str">
        <f t="shared" si="35"/>
        <v/>
      </c>
    </row>
    <row r="339" spans="2:9">
      <c r="B339" s="188">
        <v>323</v>
      </c>
      <c r="C339" s="188">
        <f t="shared" si="36"/>
        <v>8195</v>
      </c>
      <c r="D339" s="188">
        <f t="shared" si="37"/>
        <v>8195</v>
      </c>
      <c r="E339" s="188">
        <f t="shared" si="38"/>
        <v>8195</v>
      </c>
      <c r="F339" s="188">
        <f t="shared" si="39"/>
        <v>0</v>
      </c>
      <c r="G339" s="188">
        <f t="shared" si="40"/>
        <v>0</v>
      </c>
      <c r="H339" s="188">
        <f t="shared" si="41"/>
        <v>0</v>
      </c>
      <c r="I339" s="188" t="str">
        <f t="shared" si="35"/>
        <v/>
      </c>
    </row>
    <row r="340" spans="2:9">
      <c r="B340" s="188">
        <v>324</v>
      </c>
      <c r="C340" s="188">
        <f t="shared" si="36"/>
        <v>8940</v>
      </c>
      <c r="D340" s="188">
        <f t="shared" si="37"/>
        <v>8940</v>
      </c>
      <c r="E340" s="188">
        <f t="shared" si="38"/>
        <v>8940</v>
      </c>
      <c r="F340" s="188">
        <f t="shared" si="39"/>
        <v>0</v>
      </c>
      <c r="G340" s="188">
        <f t="shared" si="40"/>
        <v>0</v>
      </c>
      <c r="H340" s="188">
        <f t="shared" si="41"/>
        <v>0</v>
      </c>
      <c r="I340" s="188" t="str">
        <f t="shared" si="35"/>
        <v/>
      </c>
    </row>
    <row r="341" spans="2:9">
      <c r="B341" s="188">
        <v>325</v>
      </c>
      <c r="C341" s="188">
        <f t="shared" si="36"/>
        <v>9685</v>
      </c>
      <c r="D341" s="188">
        <f t="shared" si="37"/>
        <v>9685</v>
      </c>
      <c r="E341" s="188">
        <f t="shared" si="38"/>
        <v>9685</v>
      </c>
      <c r="F341" s="188">
        <f t="shared" si="39"/>
        <v>0</v>
      </c>
      <c r="G341" s="188">
        <f t="shared" si="40"/>
        <v>0</v>
      </c>
      <c r="H341" s="188">
        <f t="shared" si="41"/>
        <v>0</v>
      </c>
      <c r="I341" s="188" t="str">
        <f t="shared" si="35"/>
        <v/>
      </c>
    </row>
    <row r="342" spans="2:9">
      <c r="B342" s="188">
        <v>326</v>
      </c>
      <c r="C342" s="188">
        <f t="shared" si="36"/>
        <v>10430</v>
      </c>
      <c r="D342" s="188">
        <f t="shared" si="37"/>
        <v>10430</v>
      </c>
      <c r="E342" s="188">
        <f t="shared" si="38"/>
        <v>10430</v>
      </c>
      <c r="F342" s="188">
        <f t="shared" si="39"/>
        <v>0</v>
      </c>
      <c r="G342" s="188">
        <f t="shared" si="40"/>
        <v>0</v>
      </c>
      <c r="H342" s="188">
        <f t="shared" si="41"/>
        <v>0</v>
      </c>
      <c r="I342" s="188" t="str">
        <f t="shared" si="35"/>
        <v/>
      </c>
    </row>
    <row r="343" spans="2:9">
      <c r="B343" s="188">
        <v>327</v>
      </c>
      <c r="C343" s="188">
        <f t="shared" si="36"/>
        <v>11175</v>
      </c>
      <c r="D343" s="188">
        <f t="shared" si="37"/>
        <v>11175</v>
      </c>
      <c r="E343" s="188">
        <f t="shared" si="38"/>
        <v>11175</v>
      </c>
      <c r="F343" s="188">
        <f t="shared" si="39"/>
        <v>0</v>
      </c>
      <c r="G343" s="188">
        <f t="shared" si="40"/>
        <v>0</v>
      </c>
      <c r="H343" s="188">
        <f t="shared" si="41"/>
        <v>0</v>
      </c>
      <c r="I343" s="188" t="str">
        <f t="shared" si="35"/>
        <v/>
      </c>
    </row>
    <row r="344" spans="2:9">
      <c r="B344" s="188">
        <v>328</v>
      </c>
      <c r="C344" s="188">
        <f t="shared" si="36"/>
        <v>11920</v>
      </c>
      <c r="D344" s="188">
        <f t="shared" si="37"/>
        <v>11920</v>
      </c>
      <c r="E344" s="188">
        <f t="shared" si="38"/>
        <v>11920</v>
      </c>
      <c r="F344" s="188">
        <f t="shared" si="39"/>
        <v>0</v>
      </c>
      <c r="G344" s="188">
        <f t="shared" si="40"/>
        <v>0</v>
      </c>
      <c r="H344" s="188">
        <f t="shared" si="41"/>
        <v>0</v>
      </c>
      <c r="I344" s="188" t="str">
        <f t="shared" si="35"/>
        <v/>
      </c>
    </row>
    <row r="345" spans="2:9">
      <c r="B345" s="188">
        <v>329</v>
      </c>
      <c r="C345" s="188">
        <f t="shared" si="36"/>
        <v>12665</v>
      </c>
      <c r="D345" s="188">
        <f t="shared" si="37"/>
        <v>12665</v>
      </c>
      <c r="E345" s="188">
        <f t="shared" si="38"/>
        <v>12665</v>
      </c>
      <c r="F345" s="188">
        <f t="shared" si="39"/>
        <v>0</v>
      </c>
      <c r="G345" s="188">
        <f t="shared" si="40"/>
        <v>0</v>
      </c>
      <c r="H345" s="188">
        <f t="shared" si="41"/>
        <v>0</v>
      </c>
      <c r="I345" s="188" t="str">
        <f t="shared" si="35"/>
        <v/>
      </c>
    </row>
    <row r="346" spans="2:9">
      <c r="B346" s="188">
        <v>330</v>
      </c>
      <c r="C346" s="188">
        <f t="shared" si="36"/>
        <v>13410</v>
      </c>
      <c r="D346" s="188">
        <f t="shared" si="37"/>
        <v>13410</v>
      </c>
      <c r="E346" s="188">
        <f t="shared" si="38"/>
        <v>13410</v>
      </c>
      <c r="F346" s="188">
        <f t="shared" si="39"/>
        <v>0</v>
      </c>
      <c r="G346" s="188">
        <f t="shared" si="40"/>
        <v>0</v>
      </c>
      <c r="H346" s="188">
        <f t="shared" si="41"/>
        <v>0</v>
      </c>
      <c r="I346" s="188" t="str">
        <f t="shared" si="35"/>
        <v/>
      </c>
    </row>
    <row r="347" spans="2:9">
      <c r="B347" s="188">
        <v>331</v>
      </c>
      <c r="C347" s="188">
        <f t="shared" si="36"/>
        <v>14155</v>
      </c>
      <c r="D347" s="188">
        <f t="shared" si="37"/>
        <v>14155</v>
      </c>
      <c r="E347" s="188">
        <f t="shared" si="38"/>
        <v>14155</v>
      </c>
      <c r="F347" s="188">
        <f t="shared" si="39"/>
        <v>0</v>
      </c>
      <c r="G347" s="188">
        <f t="shared" si="40"/>
        <v>0</v>
      </c>
      <c r="H347" s="188">
        <f t="shared" si="41"/>
        <v>0</v>
      </c>
      <c r="I347" s="188" t="str">
        <f t="shared" si="35"/>
        <v/>
      </c>
    </row>
    <row r="348" spans="2:9">
      <c r="B348" s="188">
        <v>332</v>
      </c>
      <c r="C348" s="188">
        <f t="shared" si="36"/>
        <v>14900</v>
      </c>
      <c r="D348" s="188">
        <f t="shared" si="37"/>
        <v>14900</v>
      </c>
      <c r="E348" s="188">
        <f t="shared" si="38"/>
        <v>14900</v>
      </c>
      <c r="F348" s="188">
        <f t="shared" si="39"/>
        <v>0</v>
      </c>
      <c r="G348" s="188">
        <f t="shared" si="40"/>
        <v>0</v>
      </c>
      <c r="H348" s="188">
        <f t="shared" si="41"/>
        <v>0</v>
      </c>
      <c r="I348" s="188" t="str">
        <f t="shared" si="35"/>
        <v/>
      </c>
    </row>
    <row r="349" spans="2:9">
      <c r="B349" s="188">
        <v>333</v>
      </c>
      <c r="C349" s="188">
        <f t="shared" si="36"/>
        <v>15645</v>
      </c>
      <c r="D349" s="188">
        <f t="shared" si="37"/>
        <v>15645</v>
      </c>
      <c r="E349" s="188">
        <f t="shared" si="38"/>
        <v>15645</v>
      </c>
      <c r="F349" s="188">
        <f t="shared" si="39"/>
        <v>0</v>
      </c>
      <c r="G349" s="188">
        <f t="shared" si="40"/>
        <v>0</v>
      </c>
      <c r="H349" s="188">
        <f t="shared" si="41"/>
        <v>0</v>
      </c>
      <c r="I349" s="188" t="str">
        <f t="shared" si="35"/>
        <v/>
      </c>
    </row>
    <row r="350" spans="2:9">
      <c r="B350" s="188">
        <v>334</v>
      </c>
      <c r="C350" s="188">
        <f t="shared" si="36"/>
        <v>16390</v>
      </c>
      <c r="D350" s="188">
        <f t="shared" si="37"/>
        <v>16390</v>
      </c>
      <c r="E350" s="188">
        <f t="shared" si="38"/>
        <v>16390</v>
      </c>
      <c r="F350" s="188">
        <f t="shared" si="39"/>
        <v>0</v>
      </c>
      <c r="G350" s="188">
        <f t="shared" si="40"/>
        <v>0</v>
      </c>
      <c r="H350" s="188">
        <f t="shared" si="41"/>
        <v>0</v>
      </c>
      <c r="I350" s="188" t="str">
        <f t="shared" si="35"/>
        <v/>
      </c>
    </row>
    <row r="351" spans="2:9">
      <c r="B351" s="188">
        <v>335</v>
      </c>
      <c r="C351" s="188">
        <f t="shared" si="36"/>
        <v>17135</v>
      </c>
      <c r="D351" s="188">
        <f t="shared" si="37"/>
        <v>17135</v>
      </c>
      <c r="E351" s="188">
        <f t="shared" si="38"/>
        <v>17135</v>
      </c>
      <c r="F351" s="188">
        <f t="shared" si="39"/>
        <v>0</v>
      </c>
      <c r="G351" s="188">
        <f t="shared" si="40"/>
        <v>0</v>
      </c>
      <c r="H351" s="188">
        <f t="shared" si="41"/>
        <v>0</v>
      </c>
      <c r="I351" s="188" t="str">
        <f t="shared" si="35"/>
        <v/>
      </c>
    </row>
    <row r="352" spans="2:9">
      <c r="B352" s="188">
        <v>336</v>
      </c>
      <c r="C352" s="188">
        <f t="shared" si="36"/>
        <v>17880</v>
      </c>
      <c r="D352" s="188">
        <f t="shared" si="37"/>
        <v>17880</v>
      </c>
      <c r="E352" s="188">
        <f t="shared" si="38"/>
        <v>17880</v>
      </c>
      <c r="F352" s="188">
        <f t="shared" si="39"/>
        <v>0</v>
      </c>
      <c r="G352" s="188">
        <f t="shared" si="40"/>
        <v>0</v>
      </c>
      <c r="H352" s="188">
        <f t="shared" si="41"/>
        <v>0</v>
      </c>
      <c r="I352" s="188" t="str">
        <f t="shared" si="35"/>
        <v/>
      </c>
    </row>
    <row r="353" spans="2:9">
      <c r="B353" s="188">
        <v>337</v>
      </c>
      <c r="C353" s="188">
        <f t="shared" si="36"/>
        <v>18625</v>
      </c>
      <c r="D353" s="188">
        <f t="shared" si="37"/>
        <v>18625</v>
      </c>
      <c r="E353" s="188">
        <f t="shared" si="38"/>
        <v>18625</v>
      </c>
      <c r="F353" s="188">
        <f t="shared" si="39"/>
        <v>0</v>
      </c>
      <c r="G353" s="188">
        <f t="shared" si="40"/>
        <v>0</v>
      </c>
      <c r="H353" s="188">
        <f t="shared" si="41"/>
        <v>0</v>
      </c>
      <c r="I353" s="188" t="str">
        <f t="shared" si="35"/>
        <v/>
      </c>
    </row>
    <row r="354" spans="2:9">
      <c r="B354" s="188">
        <v>338</v>
      </c>
      <c r="C354" s="188">
        <f t="shared" si="36"/>
        <v>19370</v>
      </c>
      <c r="D354" s="188">
        <f t="shared" si="37"/>
        <v>19370</v>
      </c>
      <c r="E354" s="188">
        <f t="shared" si="38"/>
        <v>19370</v>
      </c>
      <c r="F354" s="188">
        <f t="shared" si="39"/>
        <v>0</v>
      </c>
      <c r="G354" s="188">
        <f t="shared" si="40"/>
        <v>0</v>
      </c>
      <c r="H354" s="188">
        <f t="shared" si="41"/>
        <v>0</v>
      </c>
      <c r="I354" s="188" t="str">
        <f t="shared" si="35"/>
        <v/>
      </c>
    </row>
    <row r="355" spans="2:9">
      <c r="B355" s="188">
        <v>339</v>
      </c>
      <c r="C355" s="188">
        <f t="shared" si="36"/>
        <v>745</v>
      </c>
      <c r="D355" s="188">
        <f t="shared" si="37"/>
        <v>745</v>
      </c>
      <c r="E355" s="188">
        <f t="shared" si="38"/>
        <v>745</v>
      </c>
      <c r="F355" s="188">
        <f t="shared" si="39"/>
        <v>1</v>
      </c>
      <c r="G355" s="188">
        <f t="shared" si="40"/>
        <v>1</v>
      </c>
      <c r="H355" s="188">
        <f t="shared" si="41"/>
        <v>1</v>
      </c>
      <c r="I355" s="188">
        <f t="shared" si="35"/>
        <v>1</v>
      </c>
    </row>
    <row r="356" spans="2:9">
      <c r="B356" s="188">
        <v>340</v>
      </c>
      <c r="C356" s="188">
        <f t="shared" si="36"/>
        <v>1490</v>
      </c>
      <c r="D356" s="188">
        <f t="shared" si="37"/>
        <v>1490</v>
      </c>
      <c r="E356" s="188">
        <f t="shared" si="38"/>
        <v>1490</v>
      </c>
      <c r="F356" s="188">
        <f t="shared" si="39"/>
        <v>0</v>
      </c>
      <c r="G356" s="188">
        <f t="shared" si="40"/>
        <v>0</v>
      </c>
      <c r="H356" s="188">
        <f t="shared" si="41"/>
        <v>0</v>
      </c>
      <c r="I356" s="188" t="str">
        <f t="shared" si="35"/>
        <v/>
      </c>
    </row>
    <row r="357" spans="2:9">
      <c r="B357" s="188">
        <v>341</v>
      </c>
      <c r="C357" s="188">
        <f t="shared" si="36"/>
        <v>2235</v>
      </c>
      <c r="D357" s="188">
        <f t="shared" si="37"/>
        <v>2235</v>
      </c>
      <c r="E357" s="188">
        <f t="shared" si="38"/>
        <v>2235</v>
      </c>
      <c r="F357" s="188">
        <f t="shared" si="39"/>
        <v>0</v>
      </c>
      <c r="G357" s="188">
        <f t="shared" si="40"/>
        <v>0</v>
      </c>
      <c r="H357" s="188">
        <f t="shared" si="41"/>
        <v>0</v>
      </c>
      <c r="I357" s="188" t="str">
        <f t="shared" si="35"/>
        <v/>
      </c>
    </row>
    <row r="358" spans="2:9">
      <c r="B358" s="188">
        <v>342</v>
      </c>
      <c r="C358" s="188">
        <f t="shared" si="36"/>
        <v>2980</v>
      </c>
      <c r="D358" s="188">
        <f t="shared" si="37"/>
        <v>2980</v>
      </c>
      <c r="E358" s="188">
        <f t="shared" si="38"/>
        <v>2980</v>
      </c>
      <c r="F358" s="188">
        <f t="shared" si="39"/>
        <v>0</v>
      </c>
      <c r="G358" s="188">
        <f t="shared" si="40"/>
        <v>0</v>
      </c>
      <c r="H358" s="188">
        <f t="shared" si="41"/>
        <v>0</v>
      </c>
      <c r="I358" s="188" t="str">
        <f t="shared" si="35"/>
        <v/>
      </c>
    </row>
    <row r="359" spans="2:9">
      <c r="B359" s="188">
        <v>343</v>
      </c>
      <c r="C359" s="188">
        <f t="shared" si="36"/>
        <v>3725</v>
      </c>
      <c r="D359" s="188">
        <f t="shared" si="37"/>
        <v>3725</v>
      </c>
      <c r="E359" s="188">
        <f t="shared" si="38"/>
        <v>3725</v>
      </c>
      <c r="F359" s="188">
        <f t="shared" si="39"/>
        <v>0</v>
      </c>
      <c r="G359" s="188">
        <f t="shared" si="40"/>
        <v>0</v>
      </c>
      <c r="H359" s="188">
        <f t="shared" si="41"/>
        <v>0</v>
      </c>
      <c r="I359" s="188" t="str">
        <f t="shared" si="35"/>
        <v/>
      </c>
    </row>
    <row r="360" spans="2:9">
      <c r="B360" s="188">
        <v>344</v>
      </c>
      <c r="C360" s="188">
        <f t="shared" si="36"/>
        <v>4470</v>
      </c>
      <c r="D360" s="188">
        <f t="shared" si="37"/>
        <v>4470</v>
      </c>
      <c r="E360" s="188">
        <f t="shared" si="38"/>
        <v>4470</v>
      </c>
      <c r="F360" s="188">
        <f t="shared" si="39"/>
        <v>0</v>
      </c>
      <c r="G360" s="188">
        <f t="shared" si="40"/>
        <v>0</v>
      </c>
      <c r="H360" s="188">
        <f t="shared" si="41"/>
        <v>0</v>
      </c>
      <c r="I360" s="188" t="str">
        <f t="shared" si="35"/>
        <v/>
      </c>
    </row>
    <row r="361" spans="2:9">
      <c r="B361" s="188">
        <v>345</v>
      </c>
      <c r="C361" s="188">
        <f t="shared" si="36"/>
        <v>5215</v>
      </c>
      <c r="D361" s="188">
        <f t="shared" si="37"/>
        <v>5215</v>
      </c>
      <c r="E361" s="188">
        <f t="shared" si="38"/>
        <v>5215</v>
      </c>
      <c r="F361" s="188">
        <f t="shared" si="39"/>
        <v>0</v>
      </c>
      <c r="G361" s="188">
        <f t="shared" si="40"/>
        <v>0</v>
      </c>
      <c r="H361" s="188">
        <f t="shared" si="41"/>
        <v>0</v>
      </c>
      <c r="I361" s="188" t="str">
        <f t="shared" si="35"/>
        <v/>
      </c>
    </row>
    <row r="362" spans="2:9">
      <c r="B362" s="188">
        <v>346</v>
      </c>
      <c r="C362" s="188">
        <f t="shared" si="36"/>
        <v>5960</v>
      </c>
      <c r="D362" s="188">
        <f t="shared" si="37"/>
        <v>5960</v>
      </c>
      <c r="E362" s="188">
        <f t="shared" si="38"/>
        <v>5960</v>
      </c>
      <c r="F362" s="188">
        <f t="shared" si="39"/>
        <v>0</v>
      </c>
      <c r="G362" s="188">
        <f t="shared" si="40"/>
        <v>0</v>
      </c>
      <c r="H362" s="188">
        <f t="shared" si="41"/>
        <v>0</v>
      </c>
      <c r="I362" s="188" t="str">
        <f t="shared" si="35"/>
        <v/>
      </c>
    </row>
    <row r="363" spans="2:9">
      <c r="B363" s="188">
        <v>347</v>
      </c>
      <c r="C363" s="188">
        <f t="shared" si="36"/>
        <v>6705</v>
      </c>
      <c r="D363" s="188">
        <f t="shared" si="37"/>
        <v>6705</v>
      </c>
      <c r="E363" s="188">
        <f t="shared" si="38"/>
        <v>6705</v>
      </c>
      <c r="F363" s="188">
        <f t="shared" si="39"/>
        <v>0</v>
      </c>
      <c r="G363" s="188">
        <f t="shared" si="40"/>
        <v>0</v>
      </c>
      <c r="H363" s="188">
        <f t="shared" si="41"/>
        <v>0</v>
      </c>
      <c r="I363" s="188" t="str">
        <f t="shared" si="35"/>
        <v/>
      </c>
    </row>
    <row r="364" spans="2:9">
      <c r="B364" s="188">
        <v>348</v>
      </c>
      <c r="C364" s="188">
        <f t="shared" si="36"/>
        <v>7450</v>
      </c>
      <c r="D364" s="188">
        <f t="shared" si="37"/>
        <v>7450</v>
      </c>
      <c r="E364" s="188">
        <f t="shared" si="38"/>
        <v>7450</v>
      </c>
      <c r="F364" s="188">
        <f t="shared" si="39"/>
        <v>0</v>
      </c>
      <c r="G364" s="188">
        <f t="shared" si="40"/>
        <v>0</v>
      </c>
      <c r="H364" s="188">
        <f t="shared" si="41"/>
        <v>0</v>
      </c>
      <c r="I364" s="188" t="str">
        <f t="shared" si="35"/>
        <v/>
      </c>
    </row>
    <row r="365" spans="2:9">
      <c r="B365" s="188">
        <v>349</v>
      </c>
      <c r="C365" s="188">
        <f t="shared" si="36"/>
        <v>8195</v>
      </c>
      <c r="D365" s="188">
        <f t="shared" si="37"/>
        <v>8195</v>
      </c>
      <c r="E365" s="188">
        <f t="shared" si="38"/>
        <v>8195</v>
      </c>
      <c r="F365" s="188">
        <f t="shared" si="39"/>
        <v>0</v>
      </c>
      <c r="G365" s="188">
        <f t="shared" si="40"/>
        <v>0</v>
      </c>
      <c r="H365" s="188">
        <f t="shared" si="41"/>
        <v>0</v>
      </c>
      <c r="I365" s="188" t="str">
        <f t="shared" si="35"/>
        <v/>
      </c>
    </row>
    <row r="366" spans="2:9">
      <c r="B366" s="188">
        <v>350</v>
      </c>
      <c r="C366" s="188">
        <f t="shared" si="36"/>
        <v>8940</v>
      </c>
      <c r="D366" s="188">
        <f t="shared" si="37"/>
        <v>8940</v>
      </c>
      <c r="E366" s="188">
        <f t="shared" si="38"/>
        <v>8940</v>
      </c>
      <c r="F366" s="188">
        <f t="shared" si="39"/>
        <v>0</v>
      </c>
      <c r="G366" s="188">
        <f t="shared" si="40"/>
        <v>0</v>
      </c>
      <c r="H366" s="188">
        <f t="shared" si="41"/>
        <v>0</v>
      </c>
      <c r="I366" s="188" t="str">
        <f t="shared" si="35"/>
        <v/>
      </c>
    </row>
    <row r="367" spans="2:9">
      <c r="B367" s="188">
        <v>351</v>
      </c>
      <c r="C367" s="188">
        <f t="shared" si="36"/>
        <v>9685</v>
      </c>
      <c r="D367" s="188">
        <f t="shared" si="37"/>
        <v>9685</v>
      </c>
      <c r="E367" s="188">
        <f t="shared" si="38"/>
        <v>9685</v>
      </c>
      <c r="F367" s="188">
        <f t="shared" si="39"/>
        <v>0</v>
      </c>
      <c r="G367" s="188">
        <f t="shared" si="40"/>
        <v>0</v>
      </c>
      <c r="H367" s="188">
        <f t="shared" si="41"/>
        <v>0</v>
      </c>
      <c r="I367" s="188" t="str">
        <f t="shared" si="35"/>
        <v/>
      </c>
    </row>
    <row r="368" spans="2:9">
      <c r="B368" s="188">
        <v>352</v>
      </c>
      <c r="C368" s="188">
        <f t="shared" si="36"/>
        <v>10430</v>
      </c>
      <c r="D368" s="188">
        <f t="shared" si="37"/>
        <v>10430</v>
      </c>
      <c r="E368" s="188">
        <f t="shared" si="38"/>
        <v>10430</v>
      </c>
      <c r="F368" s="188">
        <f t="shared" si="39"/>
        <v>0</v>
      </c>
      <c r="G368" s="188">
        <f t="shared" si="40"/>
        <v>0</v>
      </c>
      <c r="H368" s="188">
        <f t="shared" si="41"/>
        <v>0</v>
      </c>
      <c r="I368" s="188" t="str">
        <f t="shared" si="35"/>
        <v/>
      </c>
    </row>
    <row r="369" spans="2:9">
      <c r="B369" s="188">
        <v>353</v>
      </c>
      <c r="C369" s="188">
        <f t="shared" si="36"/>
        <v>11175</v>
      </c>
      <c r="D369" s="188">
        <f t="shared" si="37"/>
        <v>11175</v>
      </c>
      <c r="E369" s="188">
        <f t="shared" si="38"/>
        <v>11175</v>
      </c>
      <c r="F369" s="188">
        <f t="shared" si="39"/>
        <v>0</v>
      </c>
      <c r="G369" s="188">
        <f t="shared" si="40"/>
        <v>0</v>
      </c>
      <c r="H369" s="188">
        <f t="shared" si="41"/>
        <v>0</v>
      </c>
      <c r="I369" s="188" t="str">
        <f t="shared" si="35"/>
        <v/>
      </c>
    </row>
    <row r="370" spans="2:9">
      <c r="B370" s="188">
        <v>354</v>
      </c>
      <c r="C370" s="188">
        <f t="shared" si="36"/>
        <v>11920</v>
      </c>
      <c r="D370" s="188">
        <f t="shared" si="37"/>
        <v>11920</v>
      </c>
      <c r="E370" s="188">
        <f t="shared" si="38"/>
        <v>11920</v>
      </c>
      <c r="F370" s="188">
        <f t="shared" si="39"/>
        <v>0</v>
      </c>
      <c r="G370" s="188">
        <f t="shared" si="40"/>
        <v>0</v>
      </c>
      <c r="H370" s="188">
        <f t="shared" si="41"/>
        <v>0</v>
      </c>
      <c r="I370" s="188" t="str">
        <f t="shared" si="35"/>
        <v/>
      </c>
    </row>
    <row r="371" spans="2:9">
      <c r="B371" s="188">
        <v>355</v>
      </c>
      <c r="C371" s="188">
        <f t="shared" si="36"/>
        <v>12665</v>
      </c>
      <c r="D371" s="188">
        <f t="shared" si="37"/>
        <v>12665</v>
      </c>
      <c r="E371" s="188">
        <f t="shared" si="38"/>
        <v>12665</v>
      </c>
      <c r="F371" s="188">
        <f t="shared" si="39"/>
        <v>0</v>
      </c>
      <c r="G371" s="188">
        <f t="shared" si="40"/>
        <v>0</v>
      </c>
      <c r="H371" s="188">
        <f t="shared" si="41"/>
        <v>0</v>
      </c>
      <c r="I371" s="188" t="str">
        <f t="shared" si="35"/>
        <v/>
      </c>
    </row>
    <row r="372" spans="2:9">
      <c r="B372" s="188">
        <v>356</v>
      </c>
      <c r="C372" s="188">
        <f t="shared" si="36"/>
        <v>13410</v>
      </c>
      <c r="D372" s="188">
        <f t="shared" si="37"/>
        <v>13410</v>
      </c>
      <c r="E372" s="188">
        <f t="shared" si="38"/>
        <v>13410</v>
      </c>
      <c r="F372" s="188">
        <f t="shared" si="39"/>
        <v>0</v>
      </c>
      <c r="G372" s="188">
        <f t="shared" si="40"/>
        <v>0</v>
      </c>
      <c r="H372" s="188">
        <f t="shared" si="41"/>
        <v>0</v>
      </c>
      <c r="I372" s="188" t="str">
        <f t="shared" si="35"/>
        <v/>
      </c>
    </row>
    <row r="373" spans="2:9">
      <c r="B373" s="188">
        <v>357</v>
      </c>
      <c r="C373" s="188">
        <f t="shared" ref="C373:C381" si="42">IF(C372+$B$3&gt;$F$8,$B$3,C372+$B$3)</f>
        <v>14155</v>
      </c>
      <c r="D373" s="188">
        <f t="shared" ref="D373:D381" si="43">IF($D$17 = 0, 0, IF(D372+$B$3&gt;$F$9,$B$3,D372+$B$3))</f>
        <v>14155</v>
      </c>
      <c r="E373" s="188">
        <f t="shared" ref="E373:E381" si="44">IF($E$17 = 0, 0, IF(E372+$B$3&gt;$F$10,$B$3,E372+$B$3))</f>
        <v>14155</v>
      </c>
      <c r="F373" s="188">
        <f t="shared" ref="F373:F381" si="45">IF((C373=$B$3),1,0)</f>
        <v>0</v>
      </c>
      <c r="G373" s="188">
        <f t="shared" ref="G373:G381" si="46">IF((D373=$B$3),1,0)</f>
        <v>0</v>
      </c>
      <c r="H373" s="188">
        <f t="shared" ref="H373:H381" si="47">IF((E373=$B$3),1,0)</f>
        <v>0</v>
      </c>
      <c r="I373" s="188" t="str">
        <f t="shared" si="35"/>
        <v/>
      </c>
    </row>
    <row r="374" spans="2:9">
      <c r="B374" s="188">
        <v>358</v>
      </c>
      <c r="C374" s="188">
        <f t="shared" si="42"/>
        <v>14900</v>
      </c>
      <c r="D374" s="188">
        <f t="shared" si="43"/>
        <v>14900</v>
      </c>
      <c r="E374" s="188">
        <f t="shared" si="44"/>
        <v>14900</v>
      </c>
      <c r="F374" s="188">
        <f t="shared" si="45"/>
        <v>0</v>
      </c>
      <c r="G374" s="188">
        <f t="shared" si="46"/>
        <v>0</v>
      </c>
      <c r="H374" s="188">
        <f t="shared" si="47"/>
        <v>0</v>
      </c>
      <c r="I374" s="188" t="str">
        <f t="shared" si="35"/>
        <v/>
      </c>
    </row>
    <row r="375" spans="2:9">
      <c r="B375" s="188">
        <v>359</v>
      </c>
      <c r="C375" s="188">
        <f t="shared" si="42"/>
        <v>15645</v>
      </c>
      <c r="D375" s="188">
        <f t="shared" si="43"/>
        <v>15645</v>
      </c>
      <c r="E375" s="188">
        <f t="shared" si="44"/>
        <v>15645</v>
      </c>
      <c r="F375" s="188">
        <f t="shared" si="45"/>
        <v>0</v>
      </c>
      <c r="G375" s="188">
        <f t="shared" si="46"/>
        <v>0</v>
      </c>
      <c r="H375" s="188">
        <f t="shared" si="47"/>
        <v>0</v>
      </c>
      <c r="I375" s="188" t="str">
        <f t="shared" si="35"/>
        <v/>
      </c>
    </row>
    <row r="376" spans="2:9">
      <c r="B376" s="188">
        <v>360</v>
      </c>
      <c r="C376" s="188">
        <f t="shared" si="42"/>
        <v>16390</v>
      </c>
      <c r="D376" s="188">
        <f t="shared" si="43"/>
        <v>16390</v>
      </c>
      <c r="E376" s="188">
        <f t="shared" si="44"/>
        <v>16390</v>
      </c>
      <c r="F376" s="188">
        <f t="shared" si="45"/>
        <v>0</v>
      </c>
      <c r="G376" s="188">
        <f t="shared" si="46"/>
        <v>0</v>
      </c>
      <c r="H376" s="188">
        <f t="shared" si="47"/>
        <v>0</v>
      </c>
      <c r="I376" s="188" t="str">
        <f t="shared" si="35"/>
        <v/>
      </c>
    </row>
    <row r="377" spans="2:9">
      <c r="B377" s="188">
        <v>361</v>
      </c>
      <c r="C377" s="188">
        <f t="shared" si="42"/>
        <v>17135</v>
      </c>
      <c r="D377" s="188">
        <f t="shared" si="43"/>
        <v>17135</v>
      </c>
      <c r="E377" s="188">
        <f t="shared" si="44"/>
        <v>17135</v>
      </c>
      <c r="F377" s="188">
        <f t="shared" si="45"/>
        <v>0</v>
      </c>
      <c r="G377" s="188">
        <f t="shared" si="46"/>
        <v>0</v>
      </c>
      <c r="H377" s="188">
        <f t="shared" si="47"/>
        <v>0</v>
      </c>
      <c r="I377" s="188" t="str">
        <f t="shared" si="35"/>
        <v/>
      </c>
    </row>
    <row r="378" spans="2:9">
      <c r="B378" s="188">
        <v>362</v>
      </c>
      <c r="C378" s="188">
        <f t="shared" si="42"/>
        <v>17880</v>
      </c>
      <c r="D378" s="188">
        <f t="shared" si="43"/>
        <v>17880</v>
      </c>
      <c r="E378" s="188">
        <f t="shared" si="44"/>
        <v>17880</v>
      </c>
      <c r="F378" s="188">
        <f t="shared" si="45"/>
        <v>0</v>
      </c>
      <c r="G378" s="188">
        <f t="shared" si="46"/>
        <v>0</v>
      </c>
      <c r="H378" s="188">
        <f t="shared" si="47"/>
        <v>0</v>
      </c>
      <c r="I378" s="188" t="str">
        <f t="shared" si="35"/>
        <v/>
      </c>
    </row>
    <row r="379" spans="2:9">
      <c r="B379" s="188">
        <v>363</v>
      </c>
      <c r="C379" s="188">
        <f t="shared" si="42"/>
        <v>18625</v>
      </c>
      <c r="D379" s="188">
        <f t="shared" si="43"/>
        <v>18625</v>
      </c>
      <c r="E379" s="188">
        <f t="shared" si="44"/>
        <v>18625</v>
      </c>
      <c r="F379" s="188">
        <f t="shared" si="45"/>
        <v>0</v>
      </c>
      <c r="G379" s="188">
        <f t="shared" si="46"/>
        <v>0</v>
      </c>
      <c r="H379" s="188">
        <f t="shared" si="47"/>
        <v>0</v>
      </c>
      <c r="I379" s="188" t="str">
        <f t="shared" si="35"/>
        <v/>
      </c>
    </row>
    <row r="380" spans="2:9">
      <c r="B380" s="188">
        <v>364</v>
      </c>
      <c r="C380" s="188">
        <f t="shared" si="42"/>
        <v>19370</v>
      </c>
      <c r="D380" s="188">
        <f t="shared" si="43"/>
        <v>19370</v>
      </c>
      <c r="E380" s="188">
        <f t="shared" si="44"/>
        <v>19370</v>
      </c>
      <c r="F380" s="188">
        <f t="shared" si="45"/>
        <v>0</v>
      </c>
      <c r="G380" s="188">
        <f t="shared" si="46"/>
        <v>0</v>
      </c>
      <c r="H380" s="188">
        <f t="shared" si="47"/>
        <v>0</v>
      </c>
      <c r="I380" s="188" t="str">
        <f t="shared" si="35"/>
        <v/>
      </c>
    </row>
    <row r="381" spans="2:9">
      <c r="B381" s="188">
        <v>365</v>
      </c>
      <c r="C381" s="188">
        <f t="shared" si="42"/>
        <v>745</v>
      </c>
      <c r="D381" s="188">
        <f t="shared" si="43"/>
        <v>745</v>
      </c>
      <c r="E381" s="188">
        <f t="shared" si="44"/>
        <v>745</v>
      </c>
      <c r="F381" s="188">
        <f t="shared" si="45"/>
        <v>1</v>
      </c>
      <c r="G381" s="188">
        <f t="shared" si="46"/>
        <v>1</v>
      </c>
      <c r="H381" s="188">
        <f t="shared" si="47"/>
        <v>1</v>
      </c>
      <c r="I381" s="188">
        <f t="shared" si="35"/>
        <v>1</v>
      </c>
    </row>
  </sheetData>
  <mergeCells count="10">
    <mergeCell ref="M6:O6"/>
    <mergeCell ref="M7:O7"/>
    <mergeCell ref="J6:J7"/>
    <mergeCell ref="J8:J10"/>
    <mergeCell ref="B6:B11"/>
    <mergeCell ref="C6:C7"/>
    <mergeCell ref="D6:D7"/>
    <mergeCell ref="E6:E7"/>
    <mergeCell ref="F6:F7"/>
    <mergeCell ref="G6:I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8A8D2-B56D-4810-82D9-8E161904E302}">
  <dimension ref="A1:L10"/>
  <sheetViews>
    <sheetView workbookViewId="0">
      <selection activeCell="G9" sqref="G9"/>
    </sheetView>
  </sheetViews>
  <sheetFormatPr defaultRowHeight="14.45"/>
  <cols>
    <col min="1" max="1" width="9.140625" style="43"/>
    <col min="2" max="2" width="11.42578125" style="43" customWidth="1"/>
    <col min="3" max="3" width="15.85546875" style="43" customWidth="1"/>
    <col min="4" max="4" width="12" style="43" customWidth="1"/>
    <col min="5" max="5" width="12.85546875" style="43" customWidth="1"/>
    <col min="6" max="6" width="13.140625" style="43" customWidth="1"/>
    <col min="7" max="7" width="12.85546875" style="43" customWidth="1"/>
    <col min="8" max="8" width="14.28515625" style="43" customWidth="1"/>
    <col min="9" max="9" width="9.140625" style="43"/>
    <col min="10" max="10" width="15.28515625" style="43" customWidth="1"/>
    <col min="11" max="11" width="21.85546875" style="43" customWidth="1"/>
    <col min="12" max="16383" width="9.140625" style="43"/>
    <col min="16384" max="16384" width="9.140625" style="43" bestFit="1" customWidth="1"/>
  </cols>
  <sheetData>
    <row r="1" spans="1:12" ht="33.75" customHeight="1">
      <c r="A1" s="319" t="s">
        <v>303</v>
      </c>
      <c r="B1" s="320"/>
      <c r="C1" s="320"/>
    </row>
    <row r="3" spans="1:12" ht="37.5" customHeight="1">
      <c r="B3" s="318" t="s">
        <v>27</v>
      </c>
      <c r="C3" s="57" t="s">
        <v>304</v>
      </c>
      <c r="D3" s="58">
        <f>'Organized Input Output'!D14</f>
        <v>745</v>
      </c>
      <c r="E3" s="57" t="s">
        <v>94</v>
      </c>
      <c r="G3" s="321" t="s">
        <v>305</v>
      </c>
      <c r="H3" s="141" t="s">
        <v>306</v>
      </c>
      <c r="I3" s="142">
        <v>0.1</v>
      </c>
      <c r="J3" s="145" t="s">
        <v>307</v>
      </c>
      <c r="K3" s="237"/>
      <c r="L3" s="238"/>
    </row>
    <row r="4" spans="1:12" ht="15" customHeight="1">
      <c r="B4" s="318"/>
      <c r="C4" s="48" t="s">
        <v>308</v>
      </c>
      <c r="D4" s="56">
        <v>5</v>
      </c>
      <c r="E4" s="48" t="s">
        <v>309</v>
      </c>
      <c r="G4" s="321"/>
      <c r="H4" s="143" t="s">
        <v>310</v>
      </c>
      <c r="I4" s="148">
        <v>3.25</v>
      </c>
      <c r="J4" s="146" t="s">
        <v>311</v>
      </c>
      <c r="K4" s="239"/>
      <c r="L4" s="238"/>
    </row>
    <row r="5" spans="1:12" ht="15">
      <c r="B5" s="318"/>
      <c r="C5" s="48" t="s">
        <v>312</v>
      </c>
      <c r="D5" s="56">
        <f>'Ozone-Energy'!Q5</f>
        <v>0</v>
      </c>
      <c r="E5" s="48" t="s">
        <v>155</v>
      </c>
      <c r="G5" s="321"/>
      <c r="H5" s="141" t="s">
        <v>313</v>
      </c>
      <c r="I5" s="142">
        <v>6.4</v>
      </c>
      <c r="J5" s="141" t="s">
        <v>307</v>
      </c>
    </row>
    <row r="6" spans="1:12" ht="41.25" customHeight="1">
      <c r="B6" s="318"/>
      <c r="C6" s="48" t="s">
        <v>314</v>
      </c>
      <c r="D6" s="56">
        <v>1250</v>
      </c>
      <c r="E6" s="48" t="s">
        <v>315</v>
      </c>
      <c r="G6" s="321"/>
      <c r="H6" s="141" t="s">
        <v>316</v>
      </c>
      <c r="I6" s="142">
        <v>2408</v>
      </c>
      <c r="J6" s="141" t="s">
        <v>315</v>
      </c>
    </row>
    <row r="7" spans="1:12" ht="36" customHeight="1">
      <c r="B7" s="318"/>
      <c r="C7" s="48" t="s">
        <v>317</v>
      </c>
      <c r="D7" s="56">
        <v>240</v>
      </c>
      <c r="E7" s="48" t="s">
        <v>315</v>
      </c>
    </row>
    <row r="9" spans="1:12">
      <c r="B9" s="256" t="s">
        <v>318</v>
      </c>
      <c r="C9" s="256" t="s">
        <v>319</v>
      </c>
      <c r="D9" s="256" t="s">
        <v>320</v>
      </c>
      <c r="E9" s="256" t="s">
        <v>199</v>
      </c>
      <c r="F9" s="256" t="s">
        <v>321</v>
      </c>
      <c r="G9" s="256" t="s">
        <v>322</v>
      </c>
    </row>
    <row r="10" spans="1:12">
      <c r="B10" s="151">
        <f>D$3*365*D$4</f>
        <v>1359625</v>
      </c>
      <c r="C10" s="151">
        <f>B10*(0.1+6.4)/1000+2408</f>
        <v>11245.5625</v>
      </c>
      <c r="D10" s="151">
        <f>($D$5*5)*$I$4</f>
        <v>0</v>
      </c>
      <c r="E10" s="151">
        <f>$D$6+$D$7+D10</f>
        <v>1490</v>
      </c>
      <c r="F10" s="151">
        <f>E10+$I$6</f>
        <v>3898</v>
      </c>
      <c r="G10" s="151">
        <f>F10/C10*100</f>
        <v>34.662561343641102</v>
      </c>
    </row>
  </sheetData>
  <mergeCells count="3">
    <mergeCell ref="B3:B7"/>
    <mergeCell ref="A1:C1"/>
    <mergeCell ref="G3:G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5F493-F5F3-443D-8B1F-741264BFA806}">
  <dimension ref="A1:K993"/>
  <sheetViews>
    <sheetView workbookViewId="0">
      <selection activeCell="R16" sqref="R16"/>
    </sheetView>
  </sheetViews>
  <sheetFormatPr defaultColWidth="8.7109375" defaultRowHeight="14.45"/>
  <cols>
    <col min="2" max="2" width="12" customWidth="1"/>
    <col min="5" max="5" width="12" customWidth="1"/>
    <col min="8" max="8" width="12" customWidth="1"/>
    <col min="11" max="11" width="12" customWidth="1"/>
  </cols>
  <sheetData>
    <row r="1" spans="1:11" s="47" customFormat="1">
      <c r="A1" s="47" t="s">
        <v>0</v>
      </c>
    </row>
    <row r="2" spans="1:11" s="1" customFormat="1">
      <c r="A2" s="1" t="s">
        <v>3</v>
      </c>
    </row>
    <row r="3" spans="1:11">
      <c r="A3" s="61" t="s">
        <v>323</v>
      </c>
      <c r="D3" s="61" t="s">
        <v>324</v>
      </c>
      <c r="G3" s="61" t="s">
        <v>325</v>
      </c>
      <c r="J3" s="61" t="s">
        <v>326</v>
      </c>
    </row>
    <row r="4" spans="1:11" ht="72.599999999999994">
      <c r="A4" s="62" t="s">
        <v>327</v>
      </c>
      <c r="B4" s="62" t="s">
        <v>328</v>
      </c>
      <c r="D4" s="62" t="s">
        <v>329</v>
      </c>
      <c r="E4" s="62" t="s">
        <v>328</v>
      </c>
      <c r="G4" s="62" t="s">
        <v>329</v>
      </c>
      <c r="H4" s="62" t="s">
        <v>328</v>
      </c>
      <c r="J4" s="62" t="s">
        <v>330</v>
      </c>
      <c r="K4" s="62" t="s">
        <v>328</v>
      </c>
    </row>
    <row r="5" spans="1:11">
      <c r="A5">
        <v>1</v>
      </c>
      <c r="B5" s="63">
        <v>0</v>
      </c>
      <c r="D5">
        <v>1</v>
      </c>
      <c r="E5" s="63">
        <v>0</v>
      </c>
      <c r="G5">
        <v>1</v>
      </c>
      <c r="H5" s="63">
        <v>7.8</v>
      </c>
      <c r="J5">
        <v>1</v>
      </c>
      <c r="K5" s="63">
        <v>18.8</v>
      </c>
    </row>
    <row r="6" spans="1:11">
      <c r="A6">
        <v>2</v>
      </c>
      <c r="B6" s="63">
        <v>0</v>
      </c>
      <c r="D6">
        <v>2</v>
      </c>
      <c r="E6" s="63">
        <v>1.4</v>
      </c>
      <c r="G6">
        <v>2</v>
      </c>
      <c r="H6" s="63">
        <v>1</v>
      </c>
      <c r="J6">
        <v>2</v>
      </c>
      <c r="K6" s="63">
        <v>19.8</v>
      </c>
    </row>
    <row r="7" spans="1:11">
      <c r="A7">
        <v>3</v>
      </c>
      <c r="B7" s="63">
        <v>0</v>
      </c>
      <c r="D7">
        <v>3</v>
      </c>
      <c r="E7" s="63">
        <v>7.8</v>
      </c>
      <c r="G7">
        <v>3</v>
      </c>
      <c r="H7" s="63">
        <v>13.4</v>
      </c>
      <c r="J7">
        <v>3</v>
      </c>
      <c r="K7" s="63">
        <v>0</v>
      </c>
    </row>
    <row r="8" spans="1:11">
      <c r="A8">
        <v>4</v>
      </c>
      <c r="B8" s="63">
        <v>0</v>
      </c>
      <c r="D8">
        <v>4</v>
      </c>
      <c r="E8" s="63">
        <v>29.6</v>
      </c>
      <c r="G8">
        <v>4</v>
      </c>
      <c r="H8" s="63">
        <v>64.2</v>
      </c>
      <c r="J8">
        <v>4</v>
      </c>
      <c r="K8" s="63">
        <v>0</v>
      </c>
    </row>
    <row r="9" spans="1:11">
      <c r="A9">
        <v>5</v>
      </c>
      <c r="B9" s="63">
        <v>4.4000000000000004</v>
      </c>
      <c r="D9">
        <v>5</v>
      </c>
      <c r="E9" s="63">
        <v>6</v>
      </c>
      <c r="G9">
        <v>5</v>
      </c>
      <c r="H9" s="63">
        <v>32.200000000000003</v>
      </c>
      <c r="J9">
        <v>5</v>
      </c>
      <c r="K9" s="63">
        <v>0</v>
      </c>
    </row>
    <row r="10" spans="1:11">
      <c r="A10">
        <v>6</v>
      </c>
      <c r="B10" s="63">
        <v>5.6</v>
      </c>
      <c r="D10">
        <v>6</v>
      </c>
      <c r="E10" s="63">
        <v>0</v>
      </c>
      <c r="G10">
        <v>6</v>
      </c>
      <c r="H10" s="63">
        <v>2.8</v>
      </c>
      <c r="J10">
        <v>6</v>
      </c>
      <c r="K10" s="63">
        <v>5</v>
      </c>
    </row>
    <row r="11" spans="1:11">
      <c r="A11">
        <v>7</v>
      </c>
      <c r="B11" s="63">
        <v>5</v>
      </c>
      <c r="D11">
        <v>7</v>
      </c>
      <c r="E11" s="63">
        <v>0</v>
      </c>
      <c r="G11">
        <v>7</v>
      </c>
      <c r="H11" s="63">
        <v>0</v>
      </c>
      <c r="J11">
        <v>7</v>
      </c>
      <c r="K11" s="63">
        <v>20.399999999999999</v>
      </c>
    </row>
    <row r="12" spans="1:11">
      <c r="A12">
        <v>8</v>
      </c>
      <c r="B12" s="63">
        <v>2.6</v>
      </c>
      <c r="D12">
        <v>8</v>
      </c>
      <c r="E12" s="63">
        <v>0</v>
      </c>
      <c r="G12">
        <v>8</v>
      </c>
      <c r="H12" s="63">
        <v>0</v>
      </c>
      <c r="J12">
        <v>8</v>
      </c>
      <c r="K12" s="63">
        <v>24.8</v>
      </c>
    </row>
    <row r="13" spans="1:11">
      <c r="A13">
        <v>9</v>
      </c>
      <c r="B13" s="63">
        <v>0.2</v>
      </c>
      <c r="D13">
        <v>9</v>
      </c>
      <c r="E13" s="63">
        <v>1</v>
      </c>
      <c r="G13">
        <v>9</v>
      </c>
      <c r="H13" s="63">
        <v>0.8</v>
      </c>
      <c r="J13">
        <v>9</v>
      </c>
      <c r="K13" s="63">
        <v>34</v>
      </c>
    </row>
    <row r="14" spans="1:11">
      <c r="A14">
        <v>10</v>
      </c>
      <c r="B14" s="63">
        <v>0</v>
      </c>
      <c r="D14">
        <v>10</v>
      </c>
      <c r="E14" s="63">
        <v>0.6</v>
      </c>
      <c r="G14">
        <v>10</v>
      </c>
      <c r="H14" s="63">
        <v>0</v>
      </c>
      <c r="J14">
        <v>10</v>
      </c>
      <c r="K14" s="63">
        <v>44.6</v>
      </c>
    </row>
    <row r="15" spans="1:11">
      <c r="A15">
        <v>11</v>
      </c>
      <c r="B15" s="63">
        <v>0</v>
      </c>
      <c r="D15">
        <v>11</v>
      </c>
      <c r="E15" s="63">
        <v>1.6</v>
      </c>
      <c r="G15">
        <v>11</v>
      </c>
      <c r="H15" s="63">
        <v>0</v>
      </c>
      <c r="J15">
        <v>11</v>
      </c>
      <c r="K15" s="63">
        <v>14.4</v>
      </c>
    </row>
    <row r="16" spans="1:11">
      <c r="A16">
        <v>12</v>
      </c>
      <c r="B16" s="63">
        <v>0</v>
      </c>
      <c r="D16">
        <v>12</v>
      </c>
      <c r="E16" s="63">
        <v>0</v>
      </c>
      <c r="G16">
        <v>12</v>
      </c>
      <c r="H16" s="63">
        <v>0</v>
      </c>
      <c r="J16">
        <v>12</v>
      </c>
      <c r="K16" s="63">
        <v>50.2</v>
      </c>
    </row>
    <row r="17" spans="1:11">
      <c r="A17">
        <v>13</v>
      </c>
      <c r="B17" s="63">
        <v>0</v>
      </c>
      <c r="D17">
        <v>13</v>
      </c>
      <c r="E17" s="63">
        <v>0</v>
      </c>
      <c r="G17">
        <v>13</v>
      </c>
      <c r="H17" s="63">
        <v>0</v>
      </c>
      <c r="J17">
        <v>13</v>
      </c>
      <c r="K17" s="63">
        <v>9.6</v>
      </c>
    </row>
    <row r="18" spans="1:11">
      <c r="A18">
        <v>14</v>
      </c>
      <c r="B18" s="63">
        <v>0</v>
      </c>
      <c r="D18">
        <v>14</v>
      </c>
      <c r="E18" s="63">
        <v>0</v>
      </c>
      <c r="G18">
        <v>14</v>
      </c>
      <c r="H18" s="63">
        <v>0.4</v>
      </c>
      <c r="J18">
        <v>14</v>
      </c>
      <c r="K18" s="63">
        <v>5.8</v>
      </c>
    </row>
    <row r="19" spans="1:11">
      <c r="A19">
        <v>15</v>
      </c>
      <c r="B19" s="63">
        <v>1</v>
      </c>
      <c r="D19">
        <v>15</v>
      </c>
      <c r="E19" s="63">
        <v>12.4</v>
      </c>
      <c r="G19">
        <v>15</v>
      </c>
      <c r="H19" s="63">
        <v>35.4</v>
      </c>
      <c r="J19">
        <v>15</v>
      </c>
      <c r="K19" s="63">
        <v>1.6</v>
      </c>
    </row>
    <row r="20" spans="1:11">
      <c r="A20">
        <v>16</v>
      </c>
      <c r="B20" s="63">
        <v>1.2</v>
      </c>
      <c r="D20">
        <v>16</v>
      </c>
      <c r="E20" s="63">
        <v>1.6</v>
      </c>
      <c r="G20">
        <v>16</v>
      </c>
      <c r="H20" s="63">
        <v>6</v>
      </c>
      <c r="J20">
        <v>16</v>
      </c>
      <c r="K20" s="63">
        <v>0.8</v>
      </c>
    </row>
    <row r="21" spans="1:11">
      <c r="A21">
        <v>17</v>
      </c>
      <c r="B21" s="63">
        <v>2.2000000000000002</v>
      </c>
      <c r="D21">
        <v>17</v>
      </c>
      <c r="E21" s="63">
        <v>28.8</v>
      </c>
      <c r="G21">
        <v>17</v>
      </c>
      <c r="H21" s="63">
        <v>20.399999999999999</v>
      </c>
      <c r="J21">
        <v>17</v>
      </c>
      <c r="K21" s="63">
        <v>0</v>
      </c>
    </row>
    <row r="22" spans="1:11">
      <c r="A22">
        <v>18</v>
      </c>
      <c r="B22" s="63">
        <v>0</v>
      </c>
      <c r="D22">
        <v>18</v>
      </c>
      <c r="E22" s="63">
        <v>1</v>
      </c>
      <c r="G22">
        <v>18</v>
      </c>
      <c r="H22" s="63">
        <v>16.600000000000001</v>
      </c>
      <c r="J22">
        <v>18</v>
      </c>
      <c r="K22" s="63">
        <v>2.6</v>
      </c>
    </row>
    <row r="23" spans="1:11">
      <c r="A23">
        <v>19</v>
      </c>
      <c r="B23" s="63">
        <v>0</v>
      </c>
      <c r="D23">
        <v>19</v>
      </c>
      <c r="E23" s="63">
        <v>0</v>
      </c>
      <c r="G23">
        <v>19</v>
      </c>
      <c r="H23" s="63">
        <v>2.6</v>
      </c>
      <c r="J23">
        <v>19</v>
      </c>
      <c r="K23" s="63">
        <v>1</v>
      </c>
    </row>
    <row r="24" spans="1:11">
      <c r="A24">
        <v>20</v>
      </c>
      <c r="B24" s="63">
        <v>0</v>
      </c>
      <c r="D24">
        <v>20</v>
      </c>
      <c r="E24" s="63">
        <v>0</v>
      </c>
      <c r="G24">
        <v>20</v>
      </c>
      <c r="H24" s="63">
        <v>0.4</v>
      </c>
      <c r="J24">
        <v>20</v>
      </c>
      <c r="K24" s="63">
        <v>0.6</v>
      </c>
    </row>
    <row r="25" spans="1:11">
      <c r="A25">
        <v>21</v>
      </c>
      <c r="B25" s="63">
        <v>0</v>
      </c>
      <c r="D25">
        <v>21</v>
      </c>
      <c r="E25" s="63">
        <v>7.2</v>
      </c>
      <c r="G25">
        <v>21</v>
      </c>
      <c r="H25" s="63">
        <v>18.399999999999999</v>
      </c>
      <c r="J25">
        <v>21</v>
      </c>
      <c r="K25" s="63">
        <v>0.8</v>
      </c>
    </row>
    <row r="26" spans="1:11">
      <c r="A26">
        <v>22</v>
      </c>
      <c r="B26" s="63">
        <v>0.2</v>
      </c>
      <c r="D26">
        <v>22</v>
      </c>
      <c r="E26" s="63">
        <v>5.2</v>
      </c>
      <c r="G26">
        <v>22</v>
      </c>
      <c r="H26" s="63">
        <v>14</v>
      </c>
      <c r="J26">
        <v>22</v>
      </c>
      <c r="K26" s="63">
        <v>0.6</v>
      </c>
    </row>
    <row r="27" spans="1:11">
      <c r="A27">
        <v>23</v>
      </c>
      <c r="B27" s="63">
        <v>6.4</v>
      </c>
      <c r="D27">
        <v>23</v>
      </c>
      <c r="E27" s="63">
        <v>5.6</v>
      </c>
      <c r="G27">
        <v>23</v>
      </c>
      <c r="H27" s="63">
        <v>90.8</v>
      </c>
      <c r="J27">
        <v>23</v>
      </c>
      <c r="K27" s="63">
        <v>0</v>
      </c>
    </row>
    <row r="28" spans="1:11">
      <c r="A28">
        <v>24</v>
      </c>
      <c r="B28" s="63">
        <v>2.2000000000000002</v>
      </c>
      <c r="D28">
        <v>24</v>
      </c>
      <c r="E28" s="63">
        <v>6.6</v>
      </c>
      <c r="G28">
        <v>24</v>
      </c>
      <c r="H28" s="63">
        <v>40</v>
      </c>
      <c r="J28">
        <v>24</v>
      </c>
      <c r="K28" s="63">
        <v>0</v>
      </c>
    </row>
    <row r="29" spans="1:11">
      <c r="A29">
        <v>25</v>
      </c>
      <c r="B29" s="63">
        <v>0.2</v>
      </c>
      <c r="D29">
        <v>25</v>
      </c>
      <c r="E29" s="63">
        <v>0</v>
      </c>
      <c r="G29">
        <v>25</v>
      </c>
      <c r="H29" s="63">
        <v>1.8</v>
      </c>
      <c r="J29">
        <v>25</v>
      </c>
      <c r="K29" s="63">
        <v>0</v>
      </c>
    </row>
    <row r="30" spans="1:11">
      <c r="A30">
        <v>26</v>
      </c>
      <c r="B30" s="63">
        <v>1.6</v>
      </c>
      <c r="D30">
        <v>26</v>
      </c>
      <c r="E30" s="63">
        <v>0</v>
      </c>
      <c r="G30">
        <v>26</v>
      </c>
      <c r="H30" s="63">
        <v>2.8</v>
      </c>
      <c r="J30">
        <v>26</v>
      </c>
      <c r="K30" s="63">
        <v>0</v>
      </c>
    </row>
    <row r="31" spans="1:11">
      <c r="A31">
        <v>27</v>
      </c>
      <c r="B31" s="63">
        <v>4.5999999999999996</v>
      </c>
      <c r="D31">
        <v>27</v>
      </c>
      <c r="E31" s="63">
        <v>0.6</v>
      </c>
      <c r="G31">
        <v>27</v>
      </c>
      <c r="H31" s="63">
        <v>2.8</v>
      </c>
      <c r="J31">
        <v>27</v>
      </c>
      <c r="K31" s="63">
        <v>17.600000000000001</v>
      </c>
    </row>
    <row r="32" spans="1:11">
      <c r="A32">
        <v>28</v>
      </c>
      <c r="B32" s="63">
        <v>10.4</v>
      </c>
      <c r="D32">
        <v>28</v>
      </c>
      <c r="E32" s="63">
        <v>0</v>
      </c>
      <c r="G32">
        <v>28</v>
      </c>
      <c r="H32" s="63">
        <v>0</v>
      </c>
      <c r="J32">
        <v>28</v>
      </c>
      <c r="K32" s="63">
        <v>0</v>
      </c>
    </row>
    <row r="33" spans="1:11">
      <c r="A33">
        <v>29</v>
      </c>
      <c r="B33" s="63">
        <v>10.8</v>
      </c>
      <c r="D33">
        <v>29</v>
      </c>
      <c r="E33" s="63">
        <v>0</v>
      </c>
      <c r="G33">
        <v>29</v>
      </c>
      <c r="H33" s="63">
        <v>0</v>
      </c>
      <c r="J33">
        <v>29</v>
      </c>
      <c r="K33" s="63">
        <v>0</v>
      </c>
    </row>
    <row r="34" spans="1:11">
      <c r="A34">
        <v>30</v>
      </c>
      <c r="B34" s="63">
        <v>6.2</v>
      </c>
      <c r="D34">
        <v>30</v>
      </c>
      <c r="E34" s="63">
        <v>0</v>
      </c>
      <c r="G34">
        <v>30</v>
      </c>
      <c r="H34" s="63">
        <v>0.6</v>
      </c>
      <c r="J34">
        <v>30</v>
      </c>
      <c r="K34" s="63">
        <v>0</v>
      </c>
    </row>
    <row r="35" spans="1:11">
      <c r="A35">
        <v>31</v>
      </c>
      <c r="B35" s="63">
        <v>1.4</v>
      </c>
      <c r="D35">
        <v>31</v>
      </c>
      <c r="E35" s="63">
        <v>1.2</v>
      </c>
      <c r="G35">
        <v>31</v>
      </c>
      <c r="H35" s="63">
        <v>5.8</v>
      </c>
      <c r="J35">
        <v>31</v>
      </c>
      <c r="K35" s="63">
        <v>2.6</v>
      </c>
    </row>
    <row r="36" spans="1:11">
      <c r="A36">
        <v>32</v>
      </c>
      <c r="B36" s="63">
        <v>0</v>
      </c>
      <c r="D36">
        <v>32</v>
      </c>
      <c r="E36" s="63">
        <v>1.8</v>
      </c>
      <c r="G36">
        <v>32</v>
      </c>
      <c r="H36" s="63">
        <v>8</v>
      </c>
      <c r="J36">
        <v>32</v>
      </c>
      <c r="K36" s="63">
        <v>2.6</v>
      </c>
    </row>
    <row r="37" spans="1:11">
      <c r="A37">
        <v>33</v>
      </c>
      <c r="B37" s="63">
        <v>1</v>
      </c>
      <c r="D37">
        <v>33</v>
      </c>
      <c r="E37" s="63">
        <v>4</v>
      </c>
      <c r="G37">
        <v>33</v>
      </c>
      <c r="H37" s="63">
        <v>27</v>
      </c>
      <c r="J37">
        <v>33</v>
      </c>
      <c r="K37" s="63">
        <v>0</v>
      </c>
    </row>
    <row r="38" spans="1:11">
      <c r="A38">
        <v>34</v>
      </c>
      <c r="B38" s="63">
        <v>8</v>
      </c>
      <c r="D38">
        <v>34</v>
      </c>
      <c r="E38" s="63">
        <v>1.4</v>
      </c>
      <c r="G38">
        <v>34</v>
      </c>
      <c r="H38" s="63">
        <v>0.6</v>
      </c>
      <c r="J38">
        <v>34</v>
      </c>
      <c r="K38" s="63">
        <v>0</v>
      </c>
    </row>
    <row r="39" spans="1:11">
      <c r="A39">
        <v>35</v>
      </c>
      <c r="B39" s="63">
        <v>1.6</v>
      </c>
      <c r="D39">
        <v>35</v>
      </c>
      <c r="E39" s="63">
        <v>17</v>
      </c>
      <c r="G39">
        <v>35</v>
      </c>
      <c r="H39" s="63">
        <v>36</v>
      </c>
      <c r="J39">
        <v>35</v>
      </c>
      <c r="K39" s="63">
        <v>0</v>
      </c>
    </row>
    <row r="40" spans="1:11">
      <c r="A40">
        <v>36</v>
      </c>
      <c r="B40" s="63">
        <v>3.8</v>
      </c>
      <c r="D40">
        <v>36</v>
      </c>
      <c r="E40" s="63">
        <v>39.6</v>
      </c>
      <c r="G40">
        <v>36</v>
      </c>
      <c r="H40" s="63">
        <v>27.2</v>
      </c>
      <c r="J40">
        <v>36</v>
      </c>
      <c r="K40" s="63">
        <v>0</v>
      </c>
    </row>
    <row r="41" spans="1:11">
      <c r="A41">
        <v>37</v>
      </c>
      <c r="B41" s="63">
        <v>0.2</v>
      </c>
      <c r="D41">
        <v>37</v>
      </c>
      <c r="E41" s="63">
        <v>9.8000000000000007</v>
      </c>
      <c r="G41">
        <v>37</v>
      </c>
      <c r="H41" s="63">
        <v>28.2</v>
      </c>
      <c r="J41">
        <v>37</v>
      </c>
      <c r="K41" s="63">
        <v>0</v>
      </c>
    </row>
    <row r="42" spans="1:11">
      <c r="A42">
        <v>38</v>
      </c>
      <c r="B42" s="63">
        <v>1.6</v>
      </c>
      <c r="D42">
        <v>38</v>
      </c>
      <c r="E42" s="63">
        <v>11.4</v>
      </c>
      <c r="G42">
        <v>38</v>
      </c>
      <c r="H42" s="63">
        <v>39.200000000000003</v>
      </c>
      <c r="J42">
        <v>38</v>
      </c>
      <c r="K42" s="63">
        <v>0</v>
      </c>
    </row>
    <row r="43" spans="1:11">
      <c r="A43">
        <v>39</v>
      </c>
      <c r="B43" s="63">
        <v>0.2</v>
      </c>
      <c r="D43">
        <v>39</v>
      </c>
      <c r="E43" s="63">
        <v>13.2</v>
      </c>
      <c r="G43">
        <v>39</v>
      </c>
      <c r="H43" s="63">
        <v>6.6</v>
      </c>
      <c r="J43">
        <v>39</v>
      </c>
      <c r="K43" s="63">
        <v>0</v>
      </c>
    </row>
    <row r="44" spans="1:11">
      <c r="A44">
        <v>40</v>
      </c>
      <c r="B44" s="63">
        <v>0</v>
      </c>
      <c r="D44">
        <v>40</v>
      </c>
      <c r="E44" s="63">
        <v>11.8</v>
      </c>
      <c r="G44">
        <v>40</v>
      </c>
      <c r="H44" s="63">
        <v>3.2</v>
      </c>
      <c r="J44">
        <v>40</v>
      </c>
      <c r="K44" s="63">
        <v>12.2</v>
      </c>
    </row>
    <row r="45" spans="1:11">
      <c r="A45">
        <v>41</v>
      </c>
      <c r="B45" s="63">
        <v>1</v>
      </c>
      <c r="D45">
        <v>41</v>
      </c>
      <c r="E45" s="63">
        <v>0.8</v>
      </c>
      <c r="G45">
        <v>41</v>
      </c>
      <c r="H45" s="63">
        <v>0.2</v>
      </c>
      <c r="J45">
        <v>41</v>
      </c>
      <c r="K45" s="63">
        <v>13.4</v>
      </c>
    </row>
    <row r="46" spans="1:11">
      <c r="A46">
        <v>42</v>
      </c>
      <c r="B46" s="63">
        <v>1.4</v>
      </c>
      <c r="D46">
        <v>42</v>
      </c>
      <c r="E46" s="63">
        <v>1</v>
      </c>
      <c r="G46">
        <v>42</v>
      </c>
      <c r="H46" s="63">
        <v>19.600000000000001</v>
      </c>
      <c r="J46">
        <v>42</v>
      </c>
      <c r="K46" s="63">
        <v>46.6</v>
      </c>
    </row>
    <row r="47" spans="1:11">
      <c r="A47">
        <v>43</v>
      </c>
      <c r="B47" s="63">
        <v>4.5999999999999996</v>
      </c>
      <c r="D47">
        <v>43</v>
      </c>
      <c r="E47" s="63">
        <v>12.8</v>
      </c>
      <c r="G47">
        <v>43</v>
      </c>
      <c r="H47" s="63">
        <v>30.4</v>
      </c>
      <c r="J47">
        <v>43</v>
      </c>
      <c r="K47" s="63">
        <v>16.8</v>
      </c>
    </row>
    <row r="48" spans="1:11">
      <c r="A48">
        <v>44</v>
      </c>
      <c r="B48" s="63">
        <v>3</v>
      </c>
      <c r="D48">
        <v>44</v>
      </c>
      <c r="E48" s="63">
        <v>16.2</v>
      </c>
      <c r="G48">
        <v>44</v>
      </c>
      <c r="H48" s="63">
        <v>19</v>
      </c>
      <c r="J48">
        <v>44</v>
      </c>
      <c r="K48" s="63">
        <v>15.6</v>
      </c>
    </row>
    <row r="49" spans="1:11">
      <c r="A49">
        <v>45</v>
      </c>
      <c r="B49" s="63">
        <v>5.6</v>
      </c>
      <c r="D49">
        <v>45</v>
      </c>
      <c r="E49" s="63">
        <v>0</v>
      </c>
      <c r="G49">
        <v>45</v>
      </c>
      <c r="H49" s="63">
        <v>0.2</v>
      </c>
      <c r="J49">
        <v>45</v>
      </c>
      <c r="K49" s="63">
        <v>3</v>
      </c>
    </row>
    <row r="50" spans="1:11">
      <c r="A50">
        <v>46</v>
      </c>
      <c r="B50" s="63">
        <v>2.4</v>
      </c>
      <c r="D50">
        <v>46</v>
      </c>
      <c r="E50" s="63">
        <v>0</v>
      </c>
      <c r="G50">
        <v>46</v>
      </c>
      <c r="H50" s="63">
        <v>0</v>
      </c>
      <c r="J50">
        <v>46</v>
      </c>
      <c r="K50" s="63">
        <v>11.6</v>
      </c>
    </row>
    <row r="51" spans="1:11">
      <c r="A51">
        <v>47</v>
      </c>
      <c r="B51" s="63">
        <v>0</v>
      </c>
      <c r="D51">
        <v>47</v>
      </c>
      <c r="E51" s="63">
        <v>0</v>
      </c>
      <c r="G51">
        <v>47</v>
      </c>
      <c r="H51" s="63">
        <v>0</v>
      </c>
      <c r="J51">
        <v>47</v>
      </c>
      <c r="K51" s="63">
        <v>19</v>
      </c>
    </row>
    <row r="52" spans="1:11">
      <c r="A52">
        <v>48</v>
      </c>
      <c r="B52" s="63">
        <v>0</v>
      </c>
      <c r="D52">
        <v>48</v>
      </c>
      <c r="E52" s="63">
        <v>0</v>
      </c>
      <c r="G52">
        <v>48</v>
      </c>
      <c r="H52" s="63">
        <v>0</v>
      </c>
      <c r="J52">
        <v>48</v>
      </c>
      <c r="K52" s="63">
        <v>9.1999999999999993</v>
      </c>
    </row>
    <row r="53" spans="1:11">
      <c r="A53">
        <v>49</v>
      </c>
      <c r="B53" s="63">
        <v>0</v>
      </c>
      <c r="D53">
        <v>49</v>
      </c>
      <c r="E53" s="63">
        <v>0</v>
      </c>
      <c r="G53">
        <v>49</v>
      </c>
      <c r="H53" s="63">
        <v>4</v>
      </c>
      <c r="J53">
        <v>49</v>
      </c>
      <c r="K53" s="63">
        <v>12.6</v>
      </c>
    </row>
    <row r="54" spans="1:11">
      <c r="A54">
        <v>50</v>
      </c>
      <c r="B54" s="63">
        <v>0</v>
      </c>
      <c r="D54">
        <v>50</v>
      </c>
      <c r="E54" s="63">
        <v>0</v>
      </c>
      <c r="G54">
        <v>50</v>
      </c>
      <c r="H54" s="63">
        <v>11</v>
      </c>
      <c r="J54">
        <v>50</v>
      </c>
      <c r="K54" s="63">
        <v>21.8</v>
      </c>
    </row>
    <row r="55" spans="1:11">
      <c r="A55">
        <v>51</v>
      </c>
      <c r="B55" s="63">
        <v>2.2000000000000002</v>
      </c>
      <c r="D55">
        <v>51</v>
      </c>
      <c r="E55" s="63">
        <v>0</v>
      </c>
      <c r="G55">
        <v>51</v>
      </c>
      <c r="H55" s="63">
        <v>0.4</v>
      </c>
      <c r="J55">
        <v>51</v>
      </c>
      <c r="K55" s="63">
        <v>2.4</v>
      </c>
    </row>
    <row r="56" spans="1:11">
      <c r="A56">
        <v>52</v>
      </c>
      <c r="B56" s="63">
        <v>9</v>
      </c>
      <c r="D56">
        <v>52</v>
      </c>
      <c r="E56" s="63">
        <v>0</v>
      </c>
      <c r="G56">
        <v>52</v>
      </c>
      <c r="H56" s="63">
        <v>0</v>
      </c>
      <c r="J56">
        <v>52</v>
      </c>
      <c r="K56" s="63">
        <v>0.8</v>
      </c>
    </row>
    <row r="57" spans="1:11">
      <c r="A57">
        <v>53</v>
      </c>
      <c r="B57" s="63">
        <v>10.6</v>
      </c>
      <c r="D57">
        <v>53</v>
      </c>
      <c r="E57" s="63">
        <v>0</v>
      </c>
      <c r="G57">
        <v>53</v>
      </c>
      <c r="H57" s="63">
        <v>0</v>
      </c>
      <c r="J57">
        <v>53</v>
      </c>
      <c r="K57" s="63">
        <v>4.8</v>
      </c>
    </row>
    <row r="58" spans="1:11">
      <c r="A58">
        <v>54</v>
      </c>
      <c r="B58" s="63">
        <v>4.5999999999999996</v>
      </c>
      <c r="D58">
        <v>54</v>
      </c>
      <c r="E58" s="63">
        <v>0</v>
      </c>
      <c r="G58">
        <v>54</v>
      </c>
      <c r="H58" s="63">
        <v>0</v>
      </c>
      <c r="J58">
        <v>54</v>
      </c>
      <c r="K58" s="63">
        <v>14.6</v>
      </c>
    </row>
    <row r="59" spans="1:11">
      <c r="A59">
        <v>55</v>
      </c>
      <c r="B59" s="63">
        <v>23.6</v>
      </c>
      <c r="D59">
        <v>55</v>
      </c>
      <c r="E59" s="63">
        <v>0</v>
      </c>
      <c r="G59">
        <v>55</v>
      </c>
      <c r="H59" s="63">
        <v>0.2</v>
      </c>
      <c r="J59">
        <v>55</v>
      </c>
      <c r="K59" s="63">
        <v>6.8</v>
      </c>
    </row>
    <row r="60" spans="1:11">
      <c r="A60">
        <v>56</v>
      </c>
      <c r="B60" s="63">
        <v>1.6</v>
      </c>
      <c r="D60">
        <v>56</v>
      </c>
      <c r="E60" s="63">
        <v>1.6</v>
      </c>
      <c r="G60">
        <v>56</v>
      </c>
      <c r="H60" s="63">
        <v>4.5999999999999996</v>
      </c>
      <c r="J60">
        <v>56</v>
      </c>
      <c r="K60" s="63">
        <v>0</v>
      </c>
    </row>
    <row r="61" spans="1:11">
      <c r="A61">
        <v>57</v>
      </c>
      <c r="B61" s="63">
        <v>2.2000000000000002</v>
      </c>
      <c r="D61">
        <v>57</v>
      </c>
      <c r="E61" s="63">
        <v>8.1999999999999993</v>
      </c>
      <c r="G61">
        <v>57</v>
      </c>
      <c r="H61" s="63">
        <v>8.8000000000000007</v>
      </c>
      <c r="J61">
        <v>57</v>
      </c>
      <c r="K61" s="63">
        <v>0.8</v>
      </c>
    </row>
    <row r="62" spans="1:11">
      <c r="A62">
        <v>58</v>
      </c>
      <c r="B62" s="63">
        <v>0.2</v>
      </c>
      <c r="D62">
        <v>58</v>
      </c>
      <c r="E62" s="63">
        <v>0</v>
      </c>
      <c r="G62">
        <v>58</v>
      </c>
      <c r="H62" s="63">
        <v>0.4</v>
      </c>
      <c r="J62">
        <v>58</v>
      </c>
      <c r="K62" s="63">
        <v>0</v>
      </c>
    </row>
    <row r="63" spans="1:11">
      <c r="A63">
        <v>59</v>
      </c>
      <c r="B63" s="63">
        <v>8.6</v>
      </c>
      <c r="D63">
        <v>59</v>
      </c>
      <c r="E63" s="63">
        <v>0</v>
      </c>
      <c r="G63">
        <v>59</v>
      </c>
      <c r="H63" s="63">
        <v>0</v>
      </c>
      <c r="J63">
        <v>59</v>
      </c>
      <c r="K63" s="63">
        <v>0.4</v>
      </c>
    </row>
    <row r="64" spans="1:11">
      <c r="A64">
        <v>60</v>
      </c>
      <c r="B64" s="63">
        <v>20</v>
      </c>
      <c r="D64">
        <v>60</v>
      </c>
      <c r="E64" s="63">
        <v>2.2000000000000002</v>
      </c>
      <c r="G64">
        <v>60</v>
      </c>
      <c r="H64" s="63">
        <v>1.2</v>
      </c>
      <c r="J64">
        <v>60</v>
      </c>
      <c r="K64" s="63">
        <v>2</v>
      </c>
    </row>
    <row r="65" spans="1:11">
      <c r="A65">
        <v>61</v>
      </c>
      <c r="B65" s="63">
        <v>4.4000000000000004</v>
      </c>
      <c r="D65">
        <v>61</v>
      </c>
      <c r="E65" s="63">
        <v>0</v>
      </c>
      <c r="G65">
        <v>61</v>
      </c>
      <c r="H65" s="63">
        <v>0</v>
      </c>
      <c r="J65">
        <v>61</v>
      </c>
      <c r="K65" s="63">
        <v>19</v>
      </c>
    </row>
    <row r="66" spans="1:11">
      <c r="A66">
        <v>62</v>
      </c>
      <c r="B66" s="63">
        <v>0</v>
      </c>
      <c r="D66">
        <v>62</v>
      </c>
      <c r="E66" s="63">
        <v>0</v>
      </c>
      <c r="G66">
        <v>62</v>
      </c>
      <c r="H66" s="63">
        <v>0</v>
      </c>
      <c r="J66">
        <v>62</v>
      </c>
      <c r="K66" s="63">
        <v>1</v>
      </c>
    </row>
    <row r="67" spans="1:11">
      <c r="A67">
        <v>63</v>
      </c>
      <c r="B67" s="63">
        <v>0</v>
      </c>
      <c r="D67">
        <v>63</v>
      </c>
      <c r="E67" s="63">
        <v>0</v>
      </c>
      <c r="G67">
        <v>63</v>
      </c>
      <c r="H67" s="63">
        <v>0.4</v>
      </c>
      <c r="J67">
        <v>63</v>
      </c>
      <c r="K67" s="63">
        <v>2.4</v>
      </c>
    </row>
    <row r="68" spans="1:11">
      <c r="A68">
        <v>64</v>
      </c>
      <c r="B68" s="63">
        <v>0</v>
      </c>
      <c r="D68">
        <v>64</v>
      </c>
      <c r="E68" s="63">
        <v>0</v>
      </c>
      <c r="G68">
        <v>64</v>
      </c>
      <c r="H68" s="63">
        <v>1.8</v>
      </c>
      <c r="J68">
        <v>64</v>
      </c>
      <c r="K68" s="63">
        <v>23.8</v>
      </c>
    </row>
    <row r="69" spans="1:11">
      <c r="A69">
        <v>65</v>
      </c>
      <c r="B69" s="63">
        <v>0</v>
      </c>
      <c r="D69">
        <v>65</v>
      </c>
      <c r="E69" s="63">
        <v>0</v>
      </c>
      <c r="G69">
        <v>65</v>
      </c>
      <c r="H69" s="63">
        <v>0.8</v>
      </c>
      <c r="J69">
        <v>65</v>
      </c>
      <c r="K69" s="63">
        <v>8.6</v>
      </c>
    </row>
    <row r="70" spans="1:11">
      <c r="A70">
        <v>66</v>
      </c>
      <c r="B70" s="63">
        <v>0</v>
      </c>
      <c r="D70">
        <v>66</v>
      </c>
      <c r="E70" s="63">
        <v>0</v>
      </c>
      <c r="G70">
        <v>66</v>
      </c>
      <c r="H70" s="63">
        <v>0</v>
      </c>
      <c r="J70">
        <v>66</v>
      </c>
      <c r="K70" s="63">
        <v>34</v>
      </c>
    </row>
    <row r="71" spans="1:11">
      <c r="A71">
        <v>67</v>
      </c>
      <c r="B71" s="63">
        <v>0</v>
      </c>
      <c r="D71">
        <v>67</v>
      </c>
      <c r="E71" s="63">
        <v>0</v>
      </c>
      <c r="G71">
        <v>67</v>
      </c>
      <c r="H71" s="63">
        <v>0.4</v>
      </c>
      <c r="J71">
        <v>67</v>
      </c>
      <c r="K71" s="63">
        <v>52.4</v>
      </c>
    </row>
    <row r="72" spans="1:11">
      <c r="A72">
        <v>68</v>
      </c>
      <c r="B72" s="63">
        <v>0.8</v>
      </c>
      <c r="D72">
        <v>68</v>
      </c>
      <c r="E72" s="63">
        <v>0</v>
      </c>
      <c r="G72">
        <v>68</v>
      </c>
      <c r="H72" s="63">
        <v>0.4</v>
      </c>
      <c r="J72">
        <v>68</v>
      </c>
      <c r="K72" s="63">
        <v>10.6</v>
      </c>
    </row>
    <row r="73" spans="1:11">
      <c r="A73">
        <v>69</v>
      </c>
      <c r="B73" s="63">
        <v>0</v>
      </c>
      <c r="D73">
        <v>69</v>
      </c>
      <c r="E73" s="63">
        <v>0.8</v>
      </c>
      <c r="G73">
        <v>69</v>
      </c>
      <c r="H73" s="63">
        <v>2.8</v>
      </c>
      <c r="J73">
        <v>69</v>
      </c>
      <c r="K73" s="63">
        <v>2.4</v>
      </c>
    </row>
    <row r="74" spans="1:11">
      <c r="A74">
        <v>70</v>
      </c>
      <c r="B74" s="63">
        <v>4</v>
      </c>
      <c r="D74">
        <v>70</v>
      </c>
      <c r="E74" s="63">
        <v>6.4</v>
      </c>
      <c r="G74">
        <v>70</v>
      </c>
      <c r="H74" s="63">
        <v>13.6</v>
      </c>
      <c r="J74">
        <v>70</v>
      </c>
      <c r="K74" s="63">
        <v>0</v>
      </c>
    </row>
    <row r="75" spans="1:11">
      <c r="A75">
        <v>71</v>
      </c>
      <c r="B75" s="63">
        <v>22.8</v>
      </c>
      <c r="D75">
        <v>71</v>
      </c>
      <c r="E75" s="63">
        <v>0.8</v>
      </c>
      <c r="G75">
        <v>71</v>
      </c>
      <c r="H75" s="63">
        <v>8.6</v>
      </c>
      <c r="J75">
        <v>71</v>
      </c>
      <c r="K75" s="63">
        <v>2.8</v>
      </c>
    </row>
    <row r="76" spans="1:11">
      <c r="A76">
        <v>72</v>
      </c>
      <c r="B76" s="63">
        <v>25.2</v>
      </c>
      <c r="D76">
        <v>72</v>
      </c>
      <c r="E76" s="63">
        <v>8.4</v>
      </c>
      <c r="G76">
        <v>72</v>
      </c>
      <c r="H76" s="63">
        <v>17.399999999999999</v>
      </c>
      <c r="J76">
        <v>72</v>
      </c>
      <c r="K76" s="63">
        <v>20.2</v>
      </c>
    </row>
    <row r="77" spans="1:11">
      <c r="A77">
        <v>73</v>
      </c>
      <c r="B77" s="63">
        <v>5.6</v>
      </c>
      <c r="D77">
        <v>73</v>
      </c>
      <c r="E77" s="63">
        <v>1</v>
      </c>
      <c r="G77">
        <v>73</v>
      </c>
      <c r="H77" s="63">
        <v>0.6</v>
      </c>
      <c r="J77">
        <v>73</v>
      </c>
      <c r="K77" s="63">
        <v>13.8</v>
      </c>
    </row>
    <row r="78" spans="1:11">
      <c r="A78">
        <v>74</v>
      </c>
      <c r="B78" s="63">
        <v>1.4</v>
      </c>
      <c r="D78">
        <v>74</v>
      </c>
      <c r="E78" s="63">
        <v>0</v>
      </c>
      <c r="G78">
        <v>74</v>
      </c>
      <c r="H78" s="63">
        <v>0</v>
      </c>
      <c r="J78">
        <v>74</v>
      </c>
      <c r="K78" s="63">
        <v>22.8</v>
      </c>
    </row>
    <row r="79" spans="1:11">
      <c r="A79">
        <v>75</v>
      </c>
      <c r="B79" s="63">
        <v>0</v>
      </c>
      <c r="D79">
        <v>75</v>
      </c>
      <c r="E79" s="63">
        <v>0</v>
      </c>
      <c r="G79">
        <v>75</v>
      </c>
      <c r="H79" s="63">
        <v>0</v>
      </c>
      <c r="J79">
        <v>75</v>
      </c>
      <c r="K79" s="63">
        <v>5.4</v>
      </c>
    </row>
    <row r="80" spans="1:11">
      <c r="A80">
        <v>76</v>
      </c>
      <c r="B80" s="63">
        <v>1.8</v>
      </c>
      <c r="D80">
        <v>76</v>
      </c>
      <c r="E80" s="63">
        <v>0</v>
      </c>
      <c r="G80">
        <v>76</v>
      </c>
      <c r="H80" s="63">
        <v>0</v>
      </c>
      <c r="J80">
        <v>76</v>
      </c>
      <c r="K80" s="63">
        <v>0.4</v>
      </c>
    </row>
    <row r="81" spans="1:11">
      <c r="A81">
        <v>77</v>
      </c>
      <c r="B81" s="63">
        <v>0</v>
      </c>
      <c r="D81">
        <v>77</v>
      </c>
      <c r="E81" s="63">
        <v>7.4</v>
      </c>
      <c r="G81">
        <v>77</v>
      </c>
      <c r="H81" s="63">
        <v>31</v>
      </c>
      <c r="J81">
        <v>77</v>
      </c>
      <c r="K81" s="63">
        <v>31</v>
      </c>
    </row>
    <row r="82" spans="1:11">
      <c r="A82">
        <v>78</v>
      </c>
      <c r="B82" s="63">
        <v>7.6</v>
      </c>
      <c r="D82">
        <v>78</v>
      </c>
      <c r="E82" s="63">
        <v>10</v>
      </c>
      <c r="G82">
        <v>78</v>
      </c>
      <c r="H82" s="63">
        <v>35.4</v>
      </c>
      <c r="J82">
        <v>78</v>
      </c>
      <c r="K82" s="63">
        <v>1.6</v>
      </c>
    </row>
    <row r="83" spans="1:11">
      <c r="A83">
        <v>79</v>
      </c>
      <c r="B83" s="63">
        <v>3</v>
      </c>
      <c r="D83">
        <v>79</v>
      </c>
      <c r="E83" s="63">
        <v>15.2</v>
      </c>
      <c r="G83">
        <v>79</v>
      </c>
      <c r="H83" s="63">
        <v>28.6</v>
      </c>
      <c r="J83">
        <v>79</v>
      </c>
      <c r="K83" s="63">
        <v>1.6</v>
      </c>
    </row>
    <row r="84" spans="1:11">
      <c r="A84">
        <v>80</v>
      </c>
      <c r="B84" s="63">
        <v>0</v>
      </c>
      <c r="D84">
        <v>80</v>
      </c>
      <c r="E84" s="63">
        <v>0.2</v>
      </c>
      <c r="G84">
        <v>80</v>
      </c>
      <c r="H84" s="63">
        <v>0</v>
      </c>
      <c r="J84">
        <v>80</v>
      </c>
      <c r="K84" s="63">
        <v>7.6</v>
      </c>
    </row>
    <row r="85" spans="1:11">
      <c r="A85">
        <v>81</v>
      </c>
      <c r="B85" s="63">
        <v>0</v>
      </c>
      <c r="D85">
        <v>81</v>
      </c>
      <c r="E85" s="63">
        <v>4.4000000000000004</v>
      </c>
      <c r="G85">
        <v>81</v>
      </c>
      <c r="H85" s="63">
        <v>7</v>
      </c>
      <c r="J85">
        <v>81</v>
      </c>
      <c r="K85" s="63">
        <v>2.6</v>
      </c>
    </row>
    <row r="86" spans="1:11">
      <c r="A86">
        <v>82</v>
      </c>
      <c r="B86" s="63">
        <v>0</v>
      </c>
      <c r="D86">
        <v>82</v>
      </c>
      <c r="E86" s="63">
        <v>8.1999999999999993</v>
      </c>
      <c r="G86">
        <v>82</v>
      </c>
      <c r="H86" s="63">
        <v>9.6</v>
      </c>
      <c r="J86">
        <v>82</v>
      </c>
      <c r="K86" s="63">
        <v>0</v>
      </c>
    </row>
    <row r="87" spans="1:11">
      <c r="A87">
        <v>83</v>
      </c>
      <c r="B87" s="63">
        <v>0</v>
      </c>
      <c r="D87">
        <v>83</v>
      </c>
      <c r="E87" s="63">
        <v>11.8</v>
      </c>
      <c r="G87">
        <v>83</v>
      </c>
      <c r="H87" s="63">
        <v>18.2</v>
      </c>
      <c r="J87">
        <v>83</v>
      </c>
      <c r="K87" s="63">
        <v>4</v>
      </c>
    </row>
    <row r="88" spans="1:11">
      <c r="A88">
        <v>84</v>
      </c>
      <c r="B88" s="63">
        <v>0.4</v>
      </c>
      <c r="D88">
        <v>84</v>
      </c>
      <c r="E88" s="63">
        <v>5.4</v>
      </c>
      <c r="G88">
        <v>84</v>
      </c>
      <c r="H88" s="63">
        <v>104.4</v>
      </c>
      <c r="J88">
        <v>84</v>
      </c>
      <c r="K88" s="63">
        <v>31</v>
      </c>
    </row>
    <row r="89" spans="1:11">
      <c r="A89">
        <v>85</v>
      </c>
      <c r="B89" s="63">
        <v>0.8</v>
      </c>
      <c r="D89">
        <v>85</v>
      </c>
      <c r="E89" s="63">
        <v>0</v>
      </c>
      <c r="G89">
        <v>85</v>
      </c>
      <c r="H89" s="63">
        <v>33.200000000000003</v>
      </c>
      <c r="J89">
        <v>85</v>
      </c>
      <c r="K89" s="63">
        <v>0.2</v>
      </c>
    </row>
    <row r="90" spans="1:11">
      <c r="A90">
        <v>86</v>
      </c>
      <c r="B90" s="63">
        <v>0</v>
      </c>
      <c r="D90">
        <v>86</v>
      </c>
      <c r="E90" s="63">
        <v>12.8</v>
      </c>
      <c r="G90">
        <v>86</v>
      </c>
      <c r="H90" s="63">
        <v>26.2</v>
      </c>
      <c r="J90">
        <v>86</v>
      </c>
      <c r="K90" s="63">
        <v>4.4000000000000004</v>
      </c>
    </row>
    <row r="91" spans="1:11">
      <c r="A91">
        <v>87</v>
      </c>
      <c r="B91" s="63">
        <v>0</v>
      </c>
      <c r="D91">
        <v>87</v>
      </c>
      <c r="E91" s="63">
        <v>4.5999999999999996</v>
      </c>
      <c r="G91">
        <v>87</v>
      </c>
      <c r="H91" s="63">
        <v>68.8</v>
      </c>
      <c r="J91">
        <v>87</v>
      </c>
      <c r="K91" s="63">
        <v>23.6</v>
      </c>
    </row>
    <row r="92" spans="1:11">
      <c r="A92">
        <v>88</v>
      </c>
      <c r="B92" s="63">
        <v>0</v>
      </c>
      <c r="D92">
        <v>88</v>
      </c>
      <c r="E92" s="63">
        <v>11.8</v>
      </c>
      <c r="G92">
        <v>88</v>
      </c>
      <c r="H92" s="63">
        <v>10</v>
      </c>
      <c r="J92">
        <v>88</v>
      </c>
      <c r="K92" s="63">
        <v>41.6</v>
      </c>
    </row>
    <row r="93" spans="1:11">
      <c r="A93">
        <v>89</v>
      </c>
      <c r="B93" s="63">
        <v>0</v>
      </c>
      <c r="D93">
        <v>89</v>
      </c>
      <c r="E93" s="63">
        <v>22</v>
      </c>
      <c r="G93">
        <v>89</v>
      </c>
      <c r="H93" s="63">
        <v>37.700000000000003</v>
      </c>
      <c r="J93">
        <v>89</v>
      </c>
      <c r="K93" s="63">
        <v>3</v>
      </c>
    </row>
    <row r="94" spans="1:11">
      <c r="A94">
        <v>90</v>
      </c>
      <c r="B94" s="63">
        <v>0</v>
      </c>
      <c r="D94">
        <v>90</v>
      </c>
      <c r="E94" s="63">
        <v>2</v>
      </c>
      <c r="G94">
        <v>90</v>
      </c>
      <c r="H94" s="63">
        <v>11.6</v>
      </c>
      <c r="J94">
        <v>90</v>
      </c>
      <c r="K94" s="63">
        <v>0</v>
      </c>
    </row>
    <row r="95" spans="1:11">
      <c r="A95">
        <v>91</v>
      </c>
      <c r="B95" s="63">
        <v>0</v>
      </c>
      <c r="D95">
        <v>91</v>
      </c>
      <c r="E95" s="63">
        <v>0</v>
      </c>
      <c r="G95">
        <v>91</v>
      </c>
      <c r="H95" s="63">
        <v>0</v>
      </c>
      <c r="J95">
        <v>91</v>
      </c>
      <c r="K95" s="63">
        <v>0</v>
      </c>
    </row>
    <row r="96" spans="1:11">
      <c r="A96">
        <v>92</v>
      </c>
      <c r="B96" s="63">
        <v>0</v>
      </c>
      <c r="D96">
        <v>92</v>
      </c>
      <c r="E96" s="63">
        <v>0.4</v>
      </c>
      <c r="G96">
        <v>92</v>
      </c>
      <c r="H96" s="63">
        <v>33.700000000000003</v>
      </c>
      <c r="J96">
        <v>92</v>
      </c>
      <c r="K96" s="63">
        <v>5.6</v>
      </c>
    </row>
    <row r="97" spans="1:11">
      <c r="A97">
        <v>93</v>
      </c>
      <c r="B97" s="63">
        <v>0</v>
      </c>
      <c r="D97">
        <v>93</v>
      </c>
      <c r="E97" s="63">
        <v>6.2</v>
      </c>
      <c r="G97">
        <v>93</v>
      </c>
      <c r="H97" s="63">
        <v>9</v>
      </c>
      <c r="J97">
        <v>93</v>
      </c>
      <c r="K97" s="63">
        <v>20.399999999999999</v>
      </c>
    </row>
    <row r="98" spans="1:11">
      <c r="A98">
        <v>94</v>
      </c>
      <c r="B98" s="63">
        <v>9.8000000000000007</v>
      </c>
      <c r="D98">
        <v>94</v>
      </c>
      <c r="E98" s="63">
        <v>1.4</v>
      </c>
      <c r="G98">
        <v>94</v>
      </c>
      <c r="H98" s="63">
        <v>8.4</v>
      </c>
      <c r="J98">
        <v>94</v>
      </c>
      <c r="K98" s="63">
        <v>2.6</v>
      </c>
    </row>
    <row r="99" spans="1:11">
      <c r="A99">
        <v>95</v>
      </c>
      <c r="B99" s="63">
        <v>2.2000000000000002</v>
      </c>
      <c r="D99">
        <v>95</v>
      </c>
      <c r="E99" s="63">
        <v>0</v>
      </c>
      <c r="G99">
        <v>95</v>
      </c>
      <c r="H99" s="63">
        <v>0.6</v>
      </c>
      <c r="J99">
        <v>95</v>
      </c>
      <c r="K99" s="63">
        <v>15.9</v>
      </c>
    </row>
    <row r="100" spans="1:11">
      <c r="A100">
        <v>96</v>
      </c>
      <c r="B100" s="63">
        <v>3.4</v>
      </c>
      <c r="D100">
        <v>96</v>
      </c>
      <c r="E100" s="63">
        <v>0</v>
      </c>
      <c r="G100">
        <v>96</v>
      </c>
      <c r="H100" s="63">
        <v>0</v>
      </c>
      <c r="J100">
        <v>96</v>
      </c>
      <c r="K100" s="63">
        <v>9.4</v>
      </c>
    </row>
    <row r="101" spans="1:11">
      <c r="A101">
        <v>97</v>
      </c>
      <c r="B101" s="63">
        <v>0</v>
      </c>
      <c r="D101">
        <v>97</v>
      </c>
      <c r="E101" s="63">
        <v>0</v>
      </c>
      <c r="G101">
        <v>97</v>
      </c>
      <c r="H101" s="63">
        <v>0</v>
      </c>
      <c r="J101">
        <v>97</v>
      </c>
      <c r="K101" s="63">
        <v>13.6</v>
      </c>
    </row>
    <row r="102" spans="1:11">
      <c r="A102">
        <v>98</v>
      </c>
      <c r="B102" s="63">
        <v>2</v>
      </c>
      <c r="D102">
        <v>98</v>
      </c>
      <c r="E102" s="63">
        <v>0</v>
      </c>
      <c r="G102">
        <v>98</v>
      </c>
      <c r="H102" s="63">
        <v>0</v>
      </c>
      <c r="J102">
        <v>98</v>
      </c>
      <c r="K102" s="63">
        <v>5.6</v>
      </c>
    </row>
    <row r="103" spans="1:11">
      <c r="A103">
        <v>99</v>
      </c>
      <c r="B103" s="63">
        <v>0</v>
      </c>
      <c r="D103">
        <v>99</v>
      </c>
      <c r="E103" s="63">
        <v>0</v>
      </c>
      <c r="G103">
        <v>99</v>
      </c>
      <c r="H103" s="63">
        <v>3.2</v>
      </c>
      <c r="J103">
        <v>99</v>
      </c>
      <c r="K103" s="63">
        <v>0</v>
      </c>
    </row>
    <row r="104" spans="1:11">
      <c r="A104">
        <v>100</v>
      </c>
      <c r="B104" s="63">
        <v>1.2</v>
      </c>
      <c r="D104">
        <v>100</v>
      </c>
      <c r="E104" s="63">
        <v>3.4</v>
      </c>
      <c r="G104">
        <v>100</v>
      </c>
      <c r="H104" s="63">
        <v>40.200000000000003</v>
      </c>
      <c r="J104">
        <v>100</v>
      </c>
      <c r="K104" s="63">
        <v>16.600000000000001</v>
      </c>
    </row>
    <row r="105" spans="1:11">
      <c r="A105">
        <v>101</v>
      </c>
      <c r="B105" s="63">
        <v>1</v>
      </c>
      <c r="D105">
        <v>101</v>
      </c>
      <c r="E105" s="63">
        <v>2.2000000000000002</v>
      </c>
      <c r="G105">
        <v>101</v>
      </c>
      <c r="H105" s="63">
        <v>9.1999999999999993</v>
      </c>
      <c r="J105">
        <v>101</v>
      </c>
      <c r="K105" s="63">
        <v>0</v>
      </c>
    </row>
    <row r="106" spans="1:11">
      <c r="A106">
        <v>102</v>
      </c>
      <c r="B106" s="63">
        <v>8.4</v>
      </c>
      <c r="D106">
        <v>102</v>
      </c>
      <c r="E106" s="63">
        <v>5</v>
      </c>
      <c r="G106">
        <v>102</v>
      </c>
      <c r="H106" s="63">
        <v>24.4</v>
      </c>
      <c r="J106">
        <v>102</v>
      </c>
      <c r="K106" s="63">
        <v>0</v>
      </c>
    </row>
    <row r="107" spans="1:11">
      <c r="A107">
        <v>103</v>
      </c>
      <c r="B107" s="63">
        <v>0</v>
      </c>
      <c r="D107">
        <v>103</v>
      </c>
      <c r="E107" s="63">
        <v>9.1999999999999993</v>
      </c>
      <c r="G107">
        <v>103</v>
      </c>
      <c r="H107" s="63">
        <v>16.2</v>
      </c>
      <c r="J107">
        <v>103</v>
      </c>
      <c r="K107" s="63">
        <v>0</v>
      </c>
    </row>
    <row r="108" spans="1:11">
      <c r="A108">
        <v>104</v>
      </c>
      <c r="B108" s="63">
        <v>0</v>
      </c>
      <c r="D108">
        <v>104</v>
      </c>
      <c r="E108" s="63">
        <v>0</v>
      </c>
      <c r="G108">
        <v>104</v>
      </c>
      <c r="H108" s="63">
        <v>1.5</v>
      </c>
      <c r="J108">
        <v>104</v>
      </c>
      <c r="K108" s="63">
        <v>14.8</v>
      </c>
    </row>
    <row r="109" spans="1:11">
      <c r="A109">
        <v>105</v>
      </c>
      <c r="B109" s="63">
        <v>0</v>
      </c>
      <c r="D109">
        <v>105</v>
      </c>
      <c r="E109" s="63">
        <v>0</v>
      </c>
      <c r="G109">
        <v>105</v>
      </c>
      <c r="H109" s="63">
        <v>37.200000000000003</v>
      </c>
      <c r="J109">
        <v>105</v>
      </c>
      <c r="K109" s="63">
        <v>20.8</v>
      </c>
    </row>
    <row r="110" spans="1:11">
      <c r="A110">
        <v>106</v>
      </c>
      <c r="B110" s="63">
        <v>0</v>
      </c>
      <c r="D110">
        <v>106</v>
      </c>
      <c r="E110" s="63">
        <v>0</v>
      </c>
      <c r="G110">
        <v>106</v>
      </c>
      <c r="H110" s="63">
        <v>3</v>
      </c>
      <c r="J110">
        <v>106</v>
      </c>
      <c r="K110" s="63">
        <v>37.4</v>
      </c>
    </row>
    <row r="111" spans="1:11">
      <c r="A111">
        <v>107</v>
      </c>
      <c r="B111" s="63">
        <v>0</v>
      </c>
      <c r="D111">
        <v>107</v>
      </c>
      <c r="E111" s="63">
        <v>0</v>
      </c>
      <c r="G111">
        <v>107</v>
      </c>
      <c r="H111" s="63">
        <v>0</v>
      </c>
      <c r="J111">
        <v>107</v>
      </c>
      <c r="K111" s="63">
        <v>9.8000000000000007</v>
      </c>
    </row>
    <row r="112" spans="1:11">
      <c r="A112">
        <v>108</v>
      </c>
      <c r="B112" s="63">
        <v>8.1999999999999993</v>
      </c>
      <c r="D112">
        <v>108</v>
      </c>
      <c r="E112" s="63">
        <v>0</v>
      </c>
      <c r="G112">
        <v>108</v>
      </c>
      <c r="H112" s="63">
        <v>0</v>
      </c>
      <c r="J112">
        <v>108</v>
      </c>
      <c r="K112" s="63">
        <v>1.9</v>
      </c>
    </row>
    <row r="113" spans="1:11">
      <c r="A113">
        <v>109</v>
      </c>
      <c r="B113" s="63">
        <v>0.8</v>
      </c>
      <c r="D113">
        <v>109</v>
      </c>
      <c r="E113" s="63">
        <v>0</v>
      </c>
      <c r="G113">
        <v>109</v>
      </c>
      <c r="H113" s="63">
        <v>0</v>
      </c>
      <c r="J113">
        <v>109</v>
      </c>
      <c r="K113" s="63">
        <v>21</v>
      </c>
    </row>
    <row r="114" spans="1:11">
      <c r="A114">
        <v>110</v>
      </c>
      <c r="B114" s="63">
        <v>0</v>
      </c>
      <c r="D114">
        <v>110</v>
      </c>
      <c r="E114" s="63">
        <v>0</v>
      </c>
      <c r="G114">
        <v>110</v>
      </c>
      <c r="H114" s="63">
        <v>1.1000000000000001</v>
      </c>
      <c r="J114">
        <v>110</v>
      </c>
      <c r="K114" s="63">
        <v>30</v>
      </c>
    </row>
    <row r="115" spans="1:11">
      <c r="A115">
        <v>111</v>
      </c>
      <c r="B115" s="63">
        <v>0</v>
      </c>
      <c r="D115">
        <v>111</v>
      </c>
      <c r="E115" s="63">
        <v>5</v>
      </c>
      <c r="G115">
        <v>111</v>
      </c>
      <c r="H115" s="63">
        <v>0.4</v>
      </c>
      <c r="J115">
        <v>111</v>
      </c>
      <c r="K115" s="63">
        <v>0</v>
      </c>
    </row>
    <row r="116" spans="1:11">
      <c r="A116">
        <v>112</v>
      </c>
      <c r="B116" s="63">
        <v>0</v>
      </c>
      <c r="D116">
        <v>112</v>
      </c>
      <c r="E116" s="63">
        <v>0.8</v>
      </c>
      <c r="G116">
        <v>112</v>
      </c>
      <c r="H116" s="63">
        <v>8.1999999999999993</v>
      </c>
      <c r="J116">
        <v>112</v>
      </c>
      <c r="K116" s="63">
        <v>4.4000000000000004</v>
      </c>
    </row>
    <row r="117" spans="1:11">
      <c r="A117">
        <v>113</v>
      </c>
      <c r="B117" s="63">
        <v>0</v>
      </c>
      <c r="D117">
        <v>113</v>
      </c>
      <c r="E117" s="63">
        <v>22.2</v>
      </c>
      <c r="G117">
        <v>113</v>
      </c>
      <c r="H117" s="63">
        <v>8.4</v>
      </c>
      <c r="J117">
        <v>113</v>
      </c>
      <c r="K117" s="63">
        <v>12.8</v>
      </c>
    </row>
    <row r="118" spans="1:11">
      <c r="A118">
        <v>114</v>
      </c>
      <c r="B118" s="63">
        <v>0.6</v>
      </c>
      <c r="D118">
        <v>114</v>
      </c>
      <c r="E118" s="63">
        <v>6.8</v>
      </c>
      <c r="G118">
        <v>114</v>
      </c>
      <c r="H118" s="63">
        <v>1.8</v>
      </c>
      <c r="J118">
        <v>114</v>
      </c>
      <c r="K118" s="63">
        <v>26</v>
      </c>
    </row>
    <row r="119" spans="1:11">
      <c r="A119">
        <v>115</v>
      </c>
      <c r="B119" s="63">
        <v>1.2</v>
      </c>
      <c r="D119">
        <v>115</v>
      </c>
      <c r="E119" s="63">
        <v>0.6</v>
      </c>
      <c r="G119">
        <v>115</v>
      </c>
      <c r="H119" s="63">
        <v>0</v>
      </c>
      <c r="J119">
        <v>115</v>
      </c>
      <c r="K119" s="63">
        <v>1.8</v>
      </c>
    </row>
    <row r="120" spans="1:11">
      <c r="A120">
        <v>116</v>
      </c>
      <c r="B120" s="63">
        <v>18.600000000000001</v>
      </c>
      <c r="D120">
        <v>116</v>
      </c>
      <c r="E120" s="63">
        <v>0.4</v>
      </c>
      <c r="G120">
        <v>116</v>
      </c>
      <c r="H120" s="63">
        <v>4.2</v>
      </c>
      <c r="J120">
        <v>116</v>
      </c>
      <c r="K120" s="63">
        <v>35</v>
      </c>
    </row>
    <row r="121" spans="1:11">
      <c r="A121">
        <v>117</v>
      </c>
      <c r="B121" s="63">
        <v>2.8</v>
      </c>
      <c r="D121">
        <v>117</v>
      </c>
      <c r="E121" s="63">
        <v>1.2</v>
      </c>
      <c r="G121">
        <v>117</v>
      </c>
      <c r="H121" s="63">
        <v>22.4</v>
      </c>
      <c r="J121">
        <v>117</v>
      </c>
      <c r="K121" s="63">
        <v>7.2</v>
      </c>
    </row>
    <row r="122" spans="1:11">
      <c r="A122">
        <v>118</v>
      </c>
      <c r="B122" s="63">
        <v>7</v>
      </c>
      <c r="D122">
        <v>118</v>
      </c>
      <c r="E122" s="63">
        <v>0.8</v>
      </c>
      <c r="G122">
        <v>118</v>
      </c>
      <c r="H122" s="63">
        <v>15.4</v>
      </c>
      <c r="J122">
        <v>118</v>
      </c>
      <c r="K122" s="63">
        <v>0.8</v>
      </c>
    </row>
    <row r="123" spans="1:11">
      <c r="A123">
        <v>119</v>
      </c>
      <c r="B123" s="63">
        <v>0</v>
      </c>
      <c r="D123">
        <v>119</v>
      </c>
      <c r="E123" s="63">
        <v>0</v>
      </c>
      <c r="G123">
        <v>119</v>
      </c>
      <c r="H123" s="63">
        <v>27.6</v>
      </c>
      <c r="J123">
        <v>119</v>
      </c>
      <c r="K123" s="63">
        <v>0.1</v>
      </c>
    </row>
    <row r="124" spans="1:11">
      <c r="A124">
        <v>120</v>
      </c>
      <c r="B124" s="63">
        <v>0.2</v>
      </c>
      <c r="D124">
        <v>120</v>
      </c>
      <c r="E124" s="63">
        <v>1.6</v>
      </c>
      <c r="G124">
        <v>120</v>
      </c>
      <c r="H124" s="63">
        <v>4.8</v>
      </c>
      <c r="J124">
        <v>120</v>
      </c>
      <c r="K124" s="63">
        <v>0</v>
      </c>
    </row>
    <row r="125" spans="1:11">
      <c r="A125">
        <v>121</v>
      </c>
      <c r="B125" s="63">
        <v>0.2</v>
      </c>
      <c r="D125">
        <v>121</v>
      </c>
      <c r="E125" s="63">
        <v>0</v>
      </c>
      <c r="G125">
        <v>121</v>
      </c>
      <c r="H125" s="63">
        <v>0.8</v>
      </c>
      <c r="J125">
        <v>121</v>
      </c>
      <c r="K125" s="63">
        <v>0</v>
      </c>
    </row>
    <row r="126" spans="1:11">
      <c r="A126">
        <v>122</v>
      </c>
      <c r="B126" s="63">
        <v>1</v>
      </c>
      <c r="D126">
        <v>122</v>
      </c>
      <c r="E126" s="63">
        <v>0</v>
      </c>
      <c r="G126">
        <v>122</v>
      </c>
      <c r="H126" s="63">
        <v>0</v>
      </c>
      <c r="J126">
        <v>122</v>
      </c>
      <c r="K126" s="63">
        <v>2</v>
      </c>
    </row>
    <row r="127" spans="1:11">
      <c r="A127">
        <v>123</v>
      </c>
      <c r="B127" s="63">
        <v>0</v>
      </c>
      <c r="D127">
        <v>123</v>
      </c>
      <c r="E127" s="63">
        <v>0</v>
      </c>
      <c r="G127">
        <v>123</v>
      </c>
      <c r="H127" s="63">
        <v>0</v>
      </c>
      <c r="J127">
        <v>123</v>
      </c>
      <c r="K127" s="63">
        <v>4.5999999999999996</v>
      </c>
    </row>
    <row r="128" spans="1:11">
      <c r="A128">
        <v>124</v>
      </c>
      <c r="B128" s="63">
        <v>0</v>
      </c>
      <c r="D128">
        <v>124</v>
      </c>
      <c r="E128" s="63">
        <v>0.4</v>
      </c>
      <c r="G128">
        <v>124</v>
      </c>
      <c r="H128" s="63">
        <v>19.8</v>
      </c>
      <c r="J128">
        <v>124</v>
      </c>
      <c r="K128" s="63">
        <v>3.8</v>
      </c>
    </row>
    <row r="129" spans="1:11">
      <c r="A129">
        <v>125</v>
      </c>
      <c r="B129" s="63">
        <v>0</v>
      </c>
      <c r="D129">
        <v>125</v>
      </c>
      <c r="E129" s="63">
        <v>1.6</v>
      </c>
      <c r="G129">
        <v>125</v>
      </c>
      <c r="H129" s="63">
        <v>0.4</v>
      </c>
      <c r="J129">
        <v>125</v>
      </c>
      <c r="K129" s="63">
        <v>0</v>
      </c>
    </row>
    <row r="130" spans="1:11">
      <c r="A130">
        <v>126</v>
      </c>
      <c r="B130" s="63">
        <v>0</v>
      </c>
      <c r="D130">
        <v>126</v>
      </c>
      <c r="E130" s="63">
        <v>0</v>
      </c>
      <c r="G130">
        <v>126</v>
      </c>
      <c r="H130" s="63">
        <v>0</v>
      </c>
      <c r="J130">
        <v>126</v>
      </c>
      <c r="K130" s="63">
        <v>0</v>
      </c>
    </row>
    <row r="131" spans="1:11">
      <c r="A131">
        <v>127</v>
      </c>
      <c r="B131" s="63">
        <v>0</v>
      </c>
      <c r="D131">
        <v>127</v>
      </c>
      <c r="E131" s="63">
        <v>0</v>
      </c>
      <c r="G131">
        <v>127</v>
      </c>
      <c r="H131" s="63">
        <v>0</v>
      </c>
      <c r="J131">
        <v>127</v>
      </c>
      <c r="K131" s="63">
        <v>0</v>
      </c>
    </row>
    <row r="132" spans="1:11">
      <c r="A132">
        <v>128</v>
      </c>
      <c r="B132" s="63">
        <v>0</v>
      </c>
      <c r="D132">
        <v>128</v>
      </c>
      <c r="E132" s="63">
        <v>0</v>
      </c>
      <c r="G132">
        <v>128</v>
      </c>
      <c r="H132" s="63">
        <v>0</v>
      </c>
      <c r="J132">
        <v>128</v>
      </c>
      <c r="K132" s="63">
        <v>0</v>
      </c>
    </row>
    <row r="133" spans="1:11">
      <c r="A133">
        <v>129</v>
      </c>
      <c r="B133" s="63">
        <v>0</v>
      </c>
      <c r="D133">
        <v>129</v>
      </c>
      <c r="E133" s="63">
        <v>0</v>
      </c>
      <c r="G133">
        <v>129</v>
      </c>
      <c r="H133" s="63">
        <v>0</v>
      </c>
      <c r="J133">
        <v>129</v>
      </c>
      <c r="K133" s="63">
        <v>0</v>
      </c>
    </row>
    <row r="134" spans="1:11">
      <c r="A134">
        <v>130</v>
      </c>
      <c r="B134" s="63">
        <v>0</v>
      </c>
      <c r="D134">
        <v>130</v>
      </c>
      <c r="E134" s="63">
        <v>0</v>
      </c>
      <c r="G134">
        <v>130</v>
      </c>
      <c r="H134" s="63">
        <v>0.4</v>
      </c>
      <c r="J134">
        <v>130</v>
      </c>
      <c r="K134" s="63">
        <v>0.2</v>
      </c>
    </row>
    <row r="135" spans="1:11">
      <c r="A135">
        <v>131</v>
      </c>
      <c r="B135" s="63">
        <v>21.8</v>
      </c>
      <c r="D135">
        <v>131</v>
      </c>
      <c r="E135" s="63">
        <v>0</v>
      </c>
      <c r="G135">
        <v>131</v>
      </c>
      <c r="H135" s="63">
        <v>0</v>
      </c>
      <c r="J135">
        <v>131</v>
      </c>
      <c r="K135" s="63">
        <v>0</v>
      </c>
    </row>
    <row r="136" spans="1:11">
      <c r="A136">
        <v>132</v>
      </c>
      <c r="B136" s="63">
        <v>9.1</v>
      </c>
      <c r="D136">
        <v>132</v>
      </c>
      <c r="E136" s="63">
        <v>9.4</v>
      </c>
      <c r="G136">
        <v>132</v>
      </c>
      <c r="H136" s="63">
        <v>0</v>
      </c>
      <c r="J136">
        <v>132</v>
      </c>
      <c r="K136" s="63">
        <v>0.2</v>
      </c>
    </row>
    <row r="137" spans="1:11">
      <c r="A137">
        <v>133</v>
      </c>
      <c r="B137" s="63">
        <v>1</v>
      </c>
      <c r="D137">
        <v>133</v>
      </c>
      <c r="E137" s="63">
        <v>2.2000000000000002</v>
      </c>
      <c r="G137">
        <v>133</v>
      </c>
      <c r="H137" s="63">
        <v>0</v>
      </c>
      <c r="J137">
        <v>133</v>
      </c>
      <c r="K137" s="63">
        <v>0</v>
      </c>
    </row>
    <row r="138" spans="1:11">
      <c r="A138">
        <v>134</v>
      </c>
      <c r="B138" s="63">
        <v>2.6</v>
      </c>
      <c r="D138">
        <v>134</v>
      </c>
      <c r="E138" s="63">
        <v>0.4</v>
      </c>
      <c r="G138">
        <v>134</v>
      </c>
      <c r="H138" s="63">
        <v>0</v>
      </c>
      <c r="J138">
        <v>134</v>
      </c>
      <c r="K138" s="63">
        <v>0</v>
      </c>
    </row>
    <row r="139" spans="1:11">
      <c r="A139">
        <v>135</v>
      </c>
      <c r="B139" s="63">
        <v>1.2</v>
      </c>
      <c r="D139">
        <v>135</v>
      </c>
      <c r="E139" s="63">
        <v>0</v>
      </c>
      <c r="G139">
        <v>135</v>
      </c>
      <c r="H139" s="63">
        <v>0</v>
      </c>
      <c r="J139">
        <v>135</v>
      </c>
      <c r="K139" s="63">
        <v>0</v>
      </c>
    </row>
    <row r="140" spans="1:11">
      <c r="A140">
        <v>136</v>
      </c>
      <c r="B140" s="63">
        <v>0</v>
      </c>
      <c r="D140">
        <v>136</v>
      </c>
      <c r="E140" s="63">
        <v>0</v>
      </c>
      <c r="G140">
        <v>136</v>
      </c>
      <c r="H140" s="63">
        <v>0.2</v>
      </c>
      <c r="J140">
        <v>136</v>
      </c>
      <c r="K140" s="63">
        <v>2.8</v>
      </c>
    </row>
    <row r="141" spans="1:11">
      <c r="A141">
        <v>137</v>
      </c>
      <c r="B141" s="63">
        <v>0.4</v>
      </c>
      <c r="D141">
        <v>137</v>
      </c>
      <c r="E141" s="63">
        <v>0</v>
      </c>
      <c r="G141">
        <v>137</v>
      </c>
      <c r="H141" s="63">
        <v>0</v>
      </c>
      <c r="J141">
        <v>137</v>
      </c>
      <c r="K141" s="63">
        <v>0</v>
      </c>
    </row>
    <row r="142" spans="1:11">
      <c r="A142">
        <v>138</v>
      </c>
      <c r="B142" s="63">
        <v>1.6</v>
      </c>
      <c r="D142">
        <v>138</v>
      </c>
      <c r="E142" s="63">
        <v>0</v>
      </c>
      <c r="G142">
        <v>138</v>
      </c>
      <c r="H142" s="63">
        <v>0</v>
      </c>
      <c r="J142">
        <v>138</v>
      </c>
      <c r="K142" s="63">
        <v>0</v>
      </c>
    </row>
    <row r="143" spans="1:11">
      <c r="A143">
        <v>139</v>
      </c>
      <c r="B143" s="63">
        <v>0</v>
      </c>
      <c r="D143">
        <v>139</v>
      </c>
      <c r="E143" s="63">
        <v>0</v>
      </c>
      <c r="G143">
        <v>139</v>
      </c>
      <c r="H143" s="63">
        <v>0</v>
      </c>
      <c r="J143">
        <v>139</v>
      </c>
      <c r="K143" s="63">
        <v>0</v>
      </c>
    </row>
    <row r="144" spans="1:11">
      <c r="A144">
        <v>140</v>
      </c>
      <c r="B144" s="63">
        <v>2.8</v>
      </c>
      <c r="D144">
        <v>140</v>
      </c>
      <c r="E144" s="63">
        <v>0</v>
      </c>
      <c r="G144">
        <v>140</v>
      </c>
      <c r="H144" s="63">
        <v>0</v>
      </c>
      <c r="J144">
        <v>140</v>
      </c>
      <c r="K144" s="63">
        <v>0</v>
      </c>
    </row>
    <row r="145" spans="1:11">
      <c r="A145">
        <v>141</v>
      </c>
      <c r="B145" s="63">
        <v>3.6</v>
      </c>
      <c r="D145">
        <v>141</v>
      </c>
      <c r="E145" s="63">
        <v>0</v>
      </c>
      <c r="G145">
        <v>141</v>
      </c>
      <c r="H145" s="63">
        <v>0</v>
      </c>
      <c r="J145">
        <v>141</v>
      </c>
      <c r="K145" s="63">
        <v>8.1999999999999993</v>
      </c>
    </row>
    <row r="146" spans="1:11">
      <c r="A146">
        <v>142</v>
      </c>
      <c r="B146" s="63">
        <v>0.4</v>
      </c>
      <c r="D146">
        <v>142</v>
      </c>
      <c r="E146" s="63">
        <v>0</v>
      </c>
      <c r="G146">
        <v>142</v>
      </c>
      <c r="H146" s="63">
        <v>0.2</v>
      </c>
      <c r="J146">
        <v>142</v>
      </c>
      <c r="K146" s="63">
        <v>29.6</v>
      </c>
    </row>
    <row r="147" spans="1:11">
      <c r="A147">
        <v>143</v>
      </c>
      <c r="B147" s="63">
        <v>9.4</v>
      </c>
      <c r="D147">
        <v>143</v>
      </c>
      <c r="E147" s="63">
        <v>0</v>
      </c>
      <c r="G147">
        <v>143</v>
      </c>
      <c r="H147" s="63">
        <v>0.2</v>
      </c>
      <c r="J147">
        <v>143</v>
      </c>
      <c r="K147" s="63">
        <v>0.8</v>
      </c>
    </row>
    <row r="148" spans="1:11">
      <c r="A148">
        <v>144</v>
      </c>
      <c r="B148" s="63">
        <v>1.4</v>
      </c>
      <c r="D148">
        <v>144</v>
      </c>
      <c r="E148" s="63">
        <v>0</v>
      </c>
      <c r="G148">
        <v>144</v>
      </c>
      <c r="H148" s="63">
        <v>0</v>
      </c>
      <c r="J148">
        <v>144</v>
      </c>
      <c r="K148" s="63">
        <v>5.2</v>
      </c>
    </row>
    <row r="149" spans="1:11">
      <c r="A149">
        <v>145</v>
      </c>
      <c r="B149" s="63">
        <v>1.2</v>
      </c>
      <c r="D149">
        <v>145</v>
      </c>
      <c r="E149" s="63">
        <v>0</v>
      </c>
      <c r="G149">
        <v>145</v>
      </c>
      <c r="H149" s="63">
        <v>0</v>
      </c>
      <c r="J149">
        <v>145</v>
      </c>
      <c r="K149" s="63">
        <v>23.4</v>
      </c>
    </row>
    <row r="150" spans="1:11">
      <c r="A150">
        <v>146</v>
      </c>
      <c r="B150" s="63">
        <v>2.2000000000000002</v>
      </c>
      <c r="D150">
        <v>146</v>
      </c>
      <c r="E150" s="63">
        <v>0</v>
      </c>
      <c r="G150">
        <v>146</v>
      </c>
      <c r="H150" s="63">
        <v>0</v>
      </c>
      <c r="J150">
        <v>146</v>
      </c>
      <c r="K150" s="63">
        <v>0</v>
      </c>
    </row>
    <row r="151" spans="1:11">
      <c r="A151">
        <v>147</v>
      </c>
      <c r="B151" s="63">
        <v>0.8</v>
      </c>
      <c r="D151">
        <v>147</v>
      </c>
      <c r="E151" s="63">
        <v>0</v>
      </c>
      <c r="G151">
        <v>147</v>
      </c>
      <c r="H151" s="63">
        <v>0</v>
      </c>
      <c r="J151">
        <v>147</v>
      </c>
      <c r="K151" s="63">
        <v>4.4000000000000004</v>
      </c>
    </row>
    <row r="152" spans="1:11">
      <c r="A152">
        <v>148</v>
      </c>
      <c r="B152" s="63">
        <v>0.4</v>
      </c>
      <c r="D152">
        <v>148</v>
      </c>
      <c r="E152" s="63">
        <v>0</v>
      </c>
      <c r="G152">
        <v>148</v>
      </c>
      <c r="H152" s="63">
        <v>0</v>
      </c>
      <c r="J152">
        <v>148</v>
      </c>
      <c r="K152" s="63">
        <v>0</v>
      </c>
    </row>
    <row r="153" spans="1:11">
      <c r="A153">
        <v>149</v>
      </c>
      <c r="B153" s="63">
        <v>2.4</v>
      </c>
      <c r="D153">
        <v>149</v>
      </c>
      <c r="E153" s="63">
        <v>0</v>
      </c>
      <c r="G153">
        <v>149</v>
      </c>
      <c r="H153" s="63">
        <v>0</v>
      </c>
      <c r="J153">
        <v>149</v>
      </c>
      <c r="K153" s="63">
        <v>0</v>
      </c>
    </row>
    <row r="154" spans="1:11">
      <c r="A154">
        <v>150</v>
      </c>
      <c r="B154" s="63">
        <v>3.6</v>
      </c>
      <c r="D154">
        <v>150</v>
      </c>
      <c r="E154" s="63">
        <v>0</v>
      </c>
      <c r="G154">
        <v>150</v>
      </c>
      <c r="H154" s="63">
        <v>0</v>
      </c>
      <c r="J154">
        <v>150</v>
      </c>
      <c r="K154" s="63">
        <v>0</v>
      </c>
    </row>
    <row r="155" spans="1:11">
      <c r="A155">
        <v>151</v>
      </c>
      <c r="B155" s="63">
        <v>0.2</v>
      </c>
      <c r="D155">
        <v>151</v>
      </c>
      <c r="E155" s="63">
        <v>0</v>
      </c>
      <c r="G155">
        <v>151</v>
      </c>
      <c r="H155" s="63">
        <v>0</v>
      </c>
      <c r="J155">
        <v>151</v>
      </c>
      <c r="K155" s="63">
        <v>0</v>
      </c>
    </row>
    <row r="156" spans="1:11">
      <c r="A156">
        <v>152</v>
      </c>
      <c r="B156" s="63">
        <v>0.6</v>
      </c>
      <c r="D156">
        <v>152</v>
      </c>
      <c r="E156" s="63">
        <v>5.8</v>
      </c>
      <c r="G156">
        <v>152</v>
      </c>
      <c r="H156" s="63">
        <v>7.4</v>
      </c>
      <c r="J156">
        <v>152</v>
      </c>
      <c r="K156" s="63">
        <v>0</v>
      </c>
    </row>
    <row r="157" spans="1:11">
      <c r="A157">
        <v>153</v>
      </c>
      <c r="B157" s="63">
        <v>0</v>
      </c>
      <c r="D157">
        <v>153</v>
      </c>
      <c r="E157" s="63">
        <v>9.1999999999999993</v>
      </c>
      <c r="G157">
        <v>153</v>
      </c>
      <c r="H157" s="63">
        <v>2.8</v>
      </c>
      <c r="J157">
        <v>153</v>
      </c>
      <c r="K157" s="63">
        <v>0</v>
      </c>
    </row>
    <row r="158" spans="1:11">
      <c r="A158">
        <v>154</v>
      </c>
      <c r="B158" s="63">
        <v>0</v>
      </c>
      <c r="D158">
        <v>154</v>
      </c>
      <c r="E158" s="63">
        <v>0</v>
      </c>
      <c r="G158">
        <v>154</v>
      </c>
      <c r="H158" s="63">
        <v>0</v>
      </c>
      <c r="J158">
        <v>154</v>
      </c>
      <c r="K158" s="63">
        <v>0</v>
      </c>
    </row>
    <row r="159" spans="1:11">
      <c r="A159">
        <v>155</v>
      </c>
      <c r="B159" s="63">
        <v>0.4</v>
      </c>
      <c r="D159">
        <v>155</v>
      </c>
      <c r="E159" s="63">
        <v>0</v>
      </c>
      <c r="G159">
        <v>155</v>
      </c>
      <c r="H159" s="63">
        <v>0</v>
      </c>
      <c r="J159">
        <v>155</v>
      </c>
      <c r="K159" s="63">
        <v>0</v>
      </c>
    </row>
    <row r="160" spans="1:11">
      <c r="A160">
        <v>156</v>
      </c>
      <c r="B160" s="63">
        <v>0</v>
      </c>
      <c r="D160">
        <v>156</v>
      </c>
      <c r="E160" s="63">
        <v>0</v>
      </c>
      <c r="G160">
        <v>156</v>
      </c>
      <c r="H160" s="63">
        <v>0</v>
      </c>
      <c r="J160">
        <v>156</v>
      </c>
      <c r="K160" s="63">
        <v>0</v>
      </c>
    </row>
    <row r="161" spans="1:11">
      <c r="A161">
        <v>157</v>
      </c>
      <c r="B161" s="63">
        <v>11.4</v>
      </c>
      <c r="D161">
        <v>157</v>
      </c>
      <c r="E161" s="63">
        <v>0</v>
      </c>
      <c r="G161">
        <v>157</v>
      </c>
      <c r="H161" s="63">
        <v>0</v>
      </c>
      <c r="J161">
        <v>157</v>
      </c>
      <c r="K161" s="63">
        <v>0</v>
      </c>
    </row>
    <row r="162" spans="1:11">
      <c r="A162">
        <v>158</v>
      </c>
      <c r="B162" s="63">
        <v>1.6</v>
      </c>
      <c r="D162">
        <v>158</v>
      </c>
      <c r="E162" s="63">
        <v>0</v>
      </c>
      <c r="G162">
        <v>158</v>
      </c>
      <c r="H162" s="63">
        <v>0</v>
      </c>
      <c r="J162">
        <v>158</v>
      </c>
      <c r="K162" s="63">
        <v>0</v>
      </c>
    </row>
    <row r="163" spans="1:11">
      <c r="A163">
        <v>159</v>
      </c>
      <c r="B163" s="63">
        <v>2.8</v>
      </c>
      <c r="D163">
        <v>159</v>
      </c>
      <c r="E163" s="63">
        <v>0</v>
      </c>
      <c r="G163">
        <v>159</v>
      </c>
      <c r="H163" s="63">
        <v>0</v>
      </c>
      <c r="J163">
        <v>159</v>
      </c>
      <c r="K163" s="63">
        <v>0.2</v>
      </c>
    </row>
    <row r="164" spans="1:11">
      <c r="A164">
        <v>160</v>
      </c>
      <c r="B164" s="63">
        <v>0.6</v>
      </c>
      <c r="D164">
        <v>160</v>
      </c>
      <c r="E164" s="63">
        <v>0</v>
      </c>
      <c r="G164">
        <v>160</v>
      </c>
      <c r="H164" s="63">
        <v>0</v>
      </c>
      <c r="J164">
        <v>160</v>
      </c>
      <c r="K164" s="63">
        <v>0</v>
      </c>
    </row>
    <row r="165" spans="1:11">
      <c r="A165">
        <v>161</v>
      </c>
      <c r="B165" s="63">
        <v>1.2</v>
      </c>
      <c r="D165">
        <v>161</v>
      </c>
      <c r="E165" s="63">
        <v>0</v>
      </c>
      <c r="G165">
        <v>161</v>
      </c>
      <c r="H165" s="63">
        <v>0</v>
      </c>
      <c r="J165">
        <v>161</v>
      </c>
      <c r="K165" s="63">
        <v>0</v>
      </c>
    </row>
    <row r="166" spans="1:11">
      <c r="A166">
        <v>162</v>
      </c>
      <c r="B166" s="63">
        <v>19.600000000000001</v>
      </c>
      <c r="D166">
        <v>162</v>
      </c>
      <c r="E166" s="63">
        <v>0</v>
      </c>
      <c r="G166">
        <v>162</v>
      </c>
      <c r="H166" s="63">
        <v>0</v>
      </c>
      <c r="J166">
        <v>162</v>
      </c>
      <c r="K166" s="63">
        <v>0</v>
      </c>
    </row>
    <row r="167" spans="1:11">
      <c r="A167">
        <v>163</v>
      </c>
      <c r="B167" s="63">
        <v>7.4</v>
      </c>
      <c r="D167">
        <v>163</v>
      </c>
      <c r="E167" s="63">
        <v>0</v>
      </c>
      <c r="G167">
        <v>163</v>
      </c>
      <c r="H167" s="63">
        <v>0</v>
      </c>
      <c r="J167">
        <v>163</v>
      </c>
      <c r="K167" s="63">
        <v>0</v>
      </c>
    </row>
    <row r="168" spans="1:11">
      <c r="A168">
        <v>164</v>
      </c>
      <c r="B168" s="63">
        <v>0.2</v>
      </c>
      <c r="D168">
        <v>164</v>
      </c>
      <c r="E168" s="63">
        <v>0</v>
      </c>
      <c r="G168">
        <v>164</v>
      </c>
      <c r="H168" s="63">
        <v>0</v>
      </c>
      <c r="J168">
        <v>164</v>
      </c>
      <c r="K168" s="63">
        <v>0</v>
      </c>
    </row>
    <row r="169" spans="1:11">
      <c r="A169">
        <v>165</v>
      </c>
      <c r="B169" s="63">
        <v>0</v>
      </c>
      <c r="D169">
        <v>165</v>
      </c>
      <c r="E169" s="63">
        <v>0</v>
      </c>
      <c r="G169">
        <v>165</v>
      </c>
      <c r="H169" s="63">
        <v>0</v>
      </c>
      <c r="J169">
        <v>165</v>
      </c>
      <c r="K169" s="63">
        <v>3.6</v>
      </c>
    </row>
    <row r="170" spans="1:11">
      <c r="A170">
        <v>166</v>
      </c>
      <c r="B170" s="63">
        <v>1.2</v>
      </c>
      <c r="D170">
        <v>166</v>
      </c>
      <c r="E170" s="63">
        <v>0</v>
      </c>
      <c r="G170">
        <v>166</v>
      </c>
      <c r="H170" s="63">
        <v>0</v>
      </c>
      <c r="J170">
        <v>166</v>
      </c>
      <c r="K170" s="63">
        <v>0</v>
      </c>
    </row>
    <row r="171" spans="1:11">
      <c r="A171">
        <v>167</v>
      </c>
      <c r="B171" s="63">
        <v>0.4</v>
      </c>
      <c r="D171">
        <v>167</v>
      </c>
      <c r="E171" s="63">
        <v>0</v>
      </c>
      <c r="G171">
        <v>167</v>
      </c>
      <c r="H171" s="63">
        <v>0</v>
      </c>
      <c r="J171">
        <v>167</v>
      </c>
      <c r="K171" s="63">
        <v>0</v>
      </c>
    </row>
    <row r="172" spans="1:11">
      <c r="A172">
        <v>168</v>
      </c>
      <c r="B172" s="63">
        <v>2.4</v>
      </c>
      <c r="D172">
        <v>168</v>
      </c>
      <c r="E172" s="63">
        <v>0</v>
      </c>
      <c r="G172">
        <v>168</v>
      </c>
      <c r="H172" s="63">
        <v>0</v>
      </c>
      <c r="J172">
        <v>168</v>
      </c>
      <c r="K172" s="63">
        <v>0</v>
      </c>
    </row>
    <row r="173" spans="1:11">
      <c r="A173">
        <v>169</v>
      </c>
      <c r="B173" s="63">
        <v>1.8</v>
      </c>
      <c r="D173">
        <v>169</v>
      </c>
      <c r="E173" s="63">
        <v>1.6</v>
      </c>
      <c r="G173">
        <v>169</v>
      </c>
      <c r="H173" s="63">
        <v>7</v>
      </c>
      <c r="J173">
        <v>169</v>
      </c>
      <c r="K173" s="63">
        <v>1.6</v>
      </c>
    </row>
    <row r="174" spans="1:11">
      <c r="A174">
        <v>170</v>
      </c>
      <c r="B174" s="63">
        <v>6.8</v>
      </c>
      <c r="D174">
        <v>170</v>
      </c>
      <c r="E174" s="63">
        <v>0.4</v>
      </c>
      <c r="G174">
        <v>170</v>
      </c>
      <c r="H174" s="63">
        <v>0</v>
      </c>
      <c r="J174">
        <v>170</v>
      </c>
      <c r="K174" s="63">
        <v>20.8</v>
      </c>
    </row>
    <row r="175" spans="1:11">
      <c r="A175">
        <v>171</v>
      </c>
      <c r="B175" s="63">
        <v>5.4</v>
      </c>
      <c r="D175">
        <v>171</v>
      </c>
      <c r="E175" s="63">
        <v>0</v>
      </c>
      <c r="G175">
        <v>171</v>
      </c>
      <c r="H175" s="63">
        <v>0</v>
      </c>
      <c r="J175">
        <v>171</v>
      </c>
      <c r="K175" s="63">
        <v>3.2</v>
      </c>
    </row>
    <row r="176" spans="1:11">
      <c r="A176">
        <v>172</v>
      </c>
      <c r="B176" s="63">
        <v>0</v>
      </c>
      <c r="D176">
        <v>172</v>
      </c>
      <c r="E176" s="63">
        <v>0</v>
      </c>
      <c r="G176">
        <v>172</v>
      </c>
      <c r="H176" s="63">
        <v>0</v>
      </c>
      <c r="J176">
        <v>172</v>
      </c>
      <c r="K176" s="63">
        <v>1.2</v>
      </c>
    </row>
    <row r="177" spans="1:11">
      <c r="A177">
        <v>173</v>
      </c>
      <c r="B177" s="63">
        <v>0</v>
      </c>
      <c r="D177">
        <v>173</v>
      </c>
      <c r="E177" s="63">
        <v>0</v>
      </c>
      <c r="G177">
        <v>173</v>
      </c>
      <c r="H177" s="63">
        <v>0</v>
      </c>
      <c r="J177">
        <v>173</v>
      </c>
      <c r="K177" s="63">
        <v>0</v>
      </c>
    </row>
    <row r="178" spans="1:11">
      <c r="A178">
        <v>174</v>
      </c>
      <c r="B178" s="63">
        <v>0.8</v>
      </c>
      <c r="D178">
        <v>174</v>
      </c>
      <c r="E178" s="63">
        <v>0</v>
      </c>
      <c r="G178">
        <v>174</v>
      </c>
      <c r="H178" s="63">
        <v>1.4</v>
      </c>
      <c r="J178">
        <v>174</v>
      </c>
      <c r="K178" s="63">
        <v>15.4</v>
      </c>
    </row>
    <row r="179" spans="1:11">
      <c r="A179">
        <v>175</v>
      </c>
      <c r="B179" s="63">
        <v>7</v>
      </c>
      <c r="D179">
        <v>175</v>
      </c>
      <c r="E179" s="63">
        <v>0</v>
      </c>
      <c r="G179">
        <v>175</v>
      </c>
      <c r="H179" s="63">
        <v>13.4</v>
      </c>
      <c r="J179">
        <v>175</v>
      </c>
      <c r="K179" s="63">
        <v>1.2</v>
      </c>
    </row>
    <row r="180" spans="1:11">
      <c r="A180">
        <v>176</v>
      </c>
      <c r="B180" s="63">
        <v>0</v>
      </c>
      <c r="D180">
        <v>176</v>
      </c>
      <c r="E180" s="63">
        <v>0</v>
      </c>
      <c r="G180">
        <v>176</v>
      </c>
      <c r="H180" s="63">
        <v>4</v>
      </c>
      <c r="J180">
        <v>176</v>
      </c>
      <c r="K180" s="63">
        <v>0</v>
      </c>
    </row>
    <row r="181" spans="1:11">
      <c r="A181">
        <v>177</v>
      </c>
      <c r="B181" s="63">
        <v>1.4</v>
      </c>
      <c r="D181">
        <v>177</v>
      </c>
      <c r="E181" s="63">
        <v>0</v>
      </c>
      <c r="G181">
        <v>177</v>
      </c>
      <c r="H181" s="63">
        <v>0</v>
      </c>
      <c r="J181">
        <v>177</v>
      </c>
      <c r="K181" s="63">
        <v>5.8</v>
      </c>
    </row>
    <row r="182" spans="1:11">
      <c r="A182">
        <v>178</v>
      </c>
      <c r="B182" s="63">
        <v>2</v>
      </c>
      <c r="D182">
        <v>178</v>
      </c>
      <c r="E182" s="63">
        <v>0</v>
      </c>
      <c r="G182">
        <v>178</v>
      </c>
      <c r="H182" s="63">
        <v>0</v>
      </c>
      <c r="J182">
        <v>178</v>
      </c>
      <c r="K182" s="63">
        <v>20.399999999999999</v>
      </c>
    </row>
    <row r="183" spans="1:11">
      <c r="A183">
        <v>179</v>
      </c>
      <c r="B183" s="63">
        <v>3.4</v>
      </c>
      <c r="D183">
        <v>179</v>
      </c>
      <c r="E183" s="63">
        <v>0</v>
      </c>
      <c r="G183">
        <v>179</v>
      </c>
      <c r="H183" s="63">
        <v>0</v>
      </c>
      <c r="J183">
        <v>179</v>
      </c>
      <c r="K183" s="63">
        <v>20.399999999999999</v>
      </c>
    </row>
    <row r="184" spans="1:11">
      <c r="A184">
        <v>180</v>
      </c>
      <c r="B184" s="63">
        <v>0</v>
      </c>
      <c r="D184">
        <v>180</v>
      </c>
      <c r="E184" s="63">
        <v>0</v>
      </c>
      <c r="G184">
        <v>180</v>
      </c>
      <c r="H184" s="63">
        <v>0</v>
      </c>
      <c r="J184">
        <v>180</v>
      </c>
      <c r="K184" s="63">
        <v>0.6</v>
      </c>
    </row>
    <row r="185" spans="1:11">
      <c r="A185">
        <v>181</v>
      </c>
      <c r="B185" s="63">
        <v>0</v>
      </c>
      <c r="D185">
        <v>181</v>
      </c>
      <c r="E185" s="63">
        <v>0</v>
      </c>
      <c r="G185">
        <v>181</v>
      </c>
      <c r="H185" s="63">
        <v>0</v>
      </c>
      <c r="J185">
        <v>181</v>
      </c>
      <c r="K185" s="63">
        <v>0</v>
      </c>
    </row>
    <row r="186" spans="1:11">
      <c r="A186">
        <v>182</v>
      </c>
      <c r="B186" s="63">
        <v>1.6</v>
      </c>
      <c r="D186">
        <v>182</v>
      </c>
      <c r="E186" s="63">
        <v>0</v>
      </c>
      <c r="G186">
        <v>182</v>
      </c>
      <c r="H186" s="63">
        <v>0</v>
      </c>
      <c r="J186">
        <v>182</v>
      </c>
      <c r="K186" s="63">
        <v>0</v>
      </c>
    </row>
    <row r="187" spans="1:11">
      <c r="A187">
        <v>183</v>
      </c>
      <c r="B187" s="63">
        <v>0.2</v>
      </c>
      <c r="D187">
        <v>183</v>
      </c>
      <c r="E187" s="63">
        <v>0</v>
      </c>
      <c r="G187">
        <v>183</v>
      </c>
      <c r="H187" s="63">
        <v>0</v>
      </c>
      <c r="J187">
        <v>183</v>
      </c>
      <c r="K187" s="63">
        <v>1.8</v>
      </c>
    </row>
    <row r="188" spans="1:11">
      <c r="A188">
        <v>184</v>
      </c>
      <c r="B188" s="63">
        <v>0</v>
      </c>
      <c r="D188">
        <v>184</v>
      </c>
      <c r="E188" s="63">
        <v>0</v>
      </c>
      <c r="G188">
        <v>184</v>
      </c>
      <c r="H188" s="63">
        <v>0</v>
      </c>
      <c r="J188">
        <v>184</v>
      </c>
      <c r="K188" s="63">
        <v>6.2</v>
      </c>
    </row>
    <row r="189" spans="1:11">
      <c r="A189">
        <v>185</v>
      </c>
      <c r="B189" s="63">
        <v>0</v>
      </c>
      <c r="D189">
        <v>185</v>
      </c>
      <c r="E189" s="63">
        <v>0</v>
      </c>
      <c r="G189">
        <v>185</v>
      </c>
      <c r="H189" s="63">
        <v>0</v>
      </c>
      <c r="J189">
        <v>185</v>
      </c>
      <c r="K189" s="63">
        <v>9.4</v>
      </c>
    </row>
    <row r="190" spans="1:11">
      <c r="A190">
        <v>186</v>
      </c>
      <c r="B190" s="63">
        <v>0</v>
      </c>
      <c r="D190">
        <v>186</v>
      </c>
      <c r="E190" s="63">
        <v>0</v>
      </c>
      <c r="G190">
        <v>186</v>
      </c>
      <c r="H190" s="63">
        <v>0</v>
      </c>
      <c r="J190">
        <v>186</v>
      </c>
      <c r="K190" s="63">
        <v>26.6</v>
      </c>
    </row>
    <row r="191" spans="1:11">
      <c r="A191">
        <v>187</v>
      </c>
      <c r="B191" s="63">
        <v>0</v>
      </c>
      <c r="D191">
        <v>187</v>
      </c>
      <c r="E191" s="63">
        <v>0</v>
      </c>
      <c r="G191">
        <v>187</v>
      </c>
      <c r="H191" s="63">
        <v>0</v>
      </c>
      <c r="J191">
        <v>187</v>
      </c>
      <c r="K191" s="63">
        <v>13.6</v>
      </c>
    </row>
    <row r="192" spans="1:11">
      <c r="A192">
        <v>188</v>
      </c>
      <c r="B192" s="63">
        <v>0</v>
      </c>
      <c r="D192">
        <v>188</v>
      </c>
      <c r="E192" s="63">
        <v>0</v>
      </c>
      <c r="G192">
        <v>188</v>
      </c>
      <c r="H192" s="63">
        <v>0.2</v>
      </c>
      <c r="J192">
        <v>188</v>
      </c>
      <c r="K192" s="63">
        <v>0</v>
      </c>
    </row>
    <row r="193" spans="1:11">
      <c r="A193">
        <v>189</v>
      </c>
      <c r="B193" s="63">
        <v>0.6</v>
      </c>
      <c r="D193">
        <v>189</v>
      </c>
      <c r="E193" s="63">
        <v>0</v>
      </c>
      <c r="G193">
        <v>189</v>
      </c>
      <c r="H193" s="63">
        <v>0</v>
      </c>
      <c r="J193">
        <v>189</v>
      </c>
      <c r="K193" s="63">
        <v>0</v>
      </c>
    </row>
    <row r="194" spans="1:11">
      <c r="A194">
        <v>190</v>
      </c>
      <c r="B194" s="63">
        <v>0.2</v>
      </c>
      <c r="D194">
        <v>190</v>
      </c>
      <c r="E194" s="63">
        <v>0</v>
      </c>
      <c r="G194">
        <v>190</v>
      </c>
      <c r="H194" s="63">
        <v>1</v>
      </c>
      <c r="J194">
        <v>190</v>
      </c>
      <c r="K194" s="63">
        <v>0</v>
      </c>
    </row>
    <row r="195" spans="1:11">
      <c r="A195">
        <v>191</v>
      </c>
      <c r="B195" s="63">
        <v>3.4</v>
      </c>
      <c r="D195">
        <v>191</v>
      </c>
      <c r="E195" s="63">
        <v>0</v>
      </c>
      <c r="G195">
        <v>191</v>
      </c>
      <c r="H195" s="63">
        <v>1.2</v>
      </c>
      <c r="J195">
        <v>191</v>
      </c>
      <c r="K195" s="63">
        <v>0</v>
      </c>
    </row>
    <row r="196" spans="1:11">
      <c r="A196">
        <v>192</v>
      </c>
      <c r="B196" s="63">
        <v>2.8</v>
      </c>
      <c r="D196">
        <v>192</v>
      </c>
      <c r="E196" s="63">
        <v>10.8</v>
      </c>
      <c r="G196">
        <v>192</v>
      </c>
      <c r="H196" s="63">
        <v>2.4</v>
      </c>
      <c r="J196">
        <v>192</v>
      </c>
      <c r="K196" s="63">
        <v>0</v>
      </c>
    </row>
    <row r="197" spans="1:11">
      <c r="A197">
        <v>193</v>
      </c>
      <c r="B197" s="63">
        <v>0.2</v>
      </c>
      <c r="D197">
        <v>193</v>
      </c>
      <c r="E197" s="63">
        <v>12</v>
      </c>
      <c r="G197">
        <v>193</v>
      </c>
      <c r="H197" s="63">
        <v>4</v>
      </c>
      <c r="J197">
        <v>193</v>
      </c>
      <c r="K197" s="63">
        <v>0</v>
      </c>
    </row>
    <row r="198" spans="1:11">
      <c r="A198">
        <v>194</v>
      </c>
      <c r="B198" s="63">
        <v>2.2000000000000002</v>
      </c>
      <c r="D198">
        <v>194</v>
      </c>
      <c r="E198" s="63">
        <v>0</v>
      </c>
      <c r="G198">
        <v>194</v>
      </c>
      <c r="H198" s="63">
        <v>0</v>
      </c>
      <c r="J198">
        <v>194</v>
      </c>
      <c r="K198" s="63">
        <v>0</v>
      </c>
    </row>
    <row r="199" spans="1:11">
      <c r="A199">
        <v>195</v>
      </c>
      <c r="B199" s="63">
        <v>1.4</v>
      </c>
      <c r="D199">
        <v>195</v>
      </c>
      <c r="E199" s="63">
        <v>0</v>
      </c>
      <c r="G199">
        <v>195</v>
      </c>
      <c r="H199" s="63">
        <v>0</v>
      </c>
      <c r="J199">
        <v>195</v>
      </c>
      <c r="K199" s="63">
        <v>0</v>
      </c>
    </row>
    <row r="200" spans="1:11">
      <c r="A200">
        <v>196</v>
      </c>
      <c r="B200" s="63">
        <v>0</v>
      </c>
      <c r="D200">
        <v>196</v>
      </c>
      <c r="E200" s="63">
        <v>0</v>
      </c>
      <c r="G200">
        <v>196</v>
      </c>
      <c r="H200" s="63">
        <v>0</v>
      </c>
      <c r="J200">
        <v>196</v>
      </c>
      <c r="K200" s="63">
        <v>0</v>
      </c>
    </row>
    <row r="201" spans="1:11">
      <c r="A201">
        <v>197</v>
      </c>
      <c r="B201" s="63">
        <v>0</v>
      </c>
      <c r="D201">
        <v>197</v>
      </c>
      <c r="E201" s="63">
        <v>0</v>
      </c>
      <c r="G201">
        <v>197</v>
      </c>
      <c r="H201" s="63">
        <v>0</v>
      </c>
      <c r="J201">
        <v>197</v>
      </c>
      <c r="K201" s="63">
        <v>0</v>
      </c>
    </row>
    <row r="202" spans="1:11">
      <c r="A202">
        <v>198</v>
      </c>
      <c r="B202" s="63">
        <v>0</v>
      </c>
      <c r="D202">
        <v>198</v>
      </c>
      <c r="E202" s="63">
        <v>0</v>
      </c>
      <c r="G202">
        <v>198</v>
      </c>
      <c r="H202" s="63">
        <v>0</v>
      </c>
      <c r="J202">
        <v>198</v>
      </c>
      <c r="K202" s="63">
        <v>0</v>
      </c>
    </row>
    <row r="203" spans="1:11">
      <c r="A203">
        <v>199</v>
      </c>
      <c r="B203" s="63">
        <v>0</v>
      </c>
      <c r="D203">
        <v>199</v>
      </c>
      <c r="E203" s="63">
        <v>0</v>
      </c>
      <c r="G203">
        <v>199</v>
      </c>
      <c r="H203" s="63">
        <v>0</v>
      </c>
      <c r="J203">
        <v>199</v>
      </c>
      <c r="K203" s="63">
        <v>37</v>
      </c>
    </row>
    <row r="204" spans="1:11">
      <c r="A204">
        <v>200</v>
      </c>
      <c r="B204" s="63">
        <v>0</v>
      </c>
      <c r="D204">
        <v>200</v>
      </c>
      <c r="E204" s="63">
        <v>0</v>
      </c>
      <c r="G204">
        <v>200</v>
      </c>
      <c r="H204" s="63">
        <v>0</v>
      </c>
      <c r="J204">
        <v>200</v>
      </c>
      <c r="K204" s="63">
        <v>1.8</v>
      </c>
    </row>
    <row r="205" spans="1:11">
      <c r="A205">
        <v>201</v>
      </c>
      <c r="B205" s="63">
        <v>0</v>
      </c>
      <c r="D205">
        <v>201</v>
      </c>
      <c r="E205" s="63">
        <v>0</v>
      </c>
      <c r="G205">
        <v>201</v>
      </c>
      <c r="H205" s="63">
        <v>0.6</v>
      </c>
      <c r="J205">
        <v>201</v>
      </c>
      <c r="K205" s="63">
        <v>0</v>
      </c>
    </row>
    <row r="206" spans="1:11">
      <c r="A206">
        <v>202</v>
      </c>
      <c r="B206" s="63">
        <v>0</v>
      </c>
      <c r="D206">
        <v>202</v>
      </c>
      <c r="E206" s="63">
        <v>0</v>
      </c>
      <c r="G206">
        <v>202</v>
      </c>
      <c r="H206" s="63">
        <v>0</v>
      </c>
      <c r="J206">
        <v>202</v>
      </c>
      <c r="K206" s="63">
        <v>0</v>
      </c>
    </row>
    <row r="207" spans="1:11">
      <c r="A207">
        <v>203</v>
      </c>
      <c r="B207" s="63">
        <v>0</v>
      </c>
      <c r="D207">
        <v>203</v>
      </c>
      <c r="E207" s="63">
        <v>0</v>
      </c>
      <c r="G207">
        <v>203</v>
      </c>
      <c r="H207" s="63">
        <v>0</v>
      </c>
      <c r="J207">
        <v>203</v>
      </c>
      <c r="K207" s="63">
        <v>8</v>
      </c>
    </row>
    <row r="208" spans="1:11">
      <c r="A208">
        <v>204</v>
      </c>
      <c r="B208" s="63">
        <v>0</v>
      </c>
      <c r="D208">
        <v>204</v>
      </c>
      <c r="E208" s="63">
        <v>0.4</v>
      </c>
      <c r="G208">
        <v>204</v>
      </c>
      <c r="H208" s="63">
        <v>8.4</v>
      </c>
      <c r="J208">
        <v>204</v>
      </c>
      <c r="K208" s="63">
        <v>18.2</v>
      </c>
    </row>
    <row r="209" spans="1:11">
      <c r="A209">
        <v>205</v>
      </c>
      <c r="B209" s="63">
        <v>0</v>
      </c>
      <c r="D209">
        <v>205</v>
      </c>
      <c r="E209" s="63">
        <v>1</v>
      </c>
      <c r="G209">
        <v>205</v>
      </c>
      <c r="H209" s="63">
        <v>4</v>
      </c>
      <c r="J209">
        <v>205</v>
      </c>
      <c r="K209" s="63">
        <v>0.6</v>
      </c>
    </row>
    <row r="210" spans="1:11">
      <c r="A210">
        <v>206</v>
      </c>
      <c r="B210" s="63">
        <v>0</v>
      </c>
      <c r="D210">
        <v>206</v>
      </c>
      <c r="E210" s="63">
        <v>10.8</v>
      </c>
      <c r="G210">
        <v>206</v>
      </c>
      <c r="H210" s="63">
        <v>4.2</v>
      </c>
      <c r="J210">
        <v>206</v>
      </c>
      <c r="K210" s="63">
        <v>0</v>
      </c>
    </row>
    <row r="211" spans="1:11">
      <c r="A211">
        <v>207</v>
      </c>
      <c r="B211" s="63">
        <v>0</v>
      </c>
      <c r="D211">
        <v>207</v>
      </c>
      <c r="E211" s="63">
        <v>0.6</v>
      </c>
      <c r="G211">
        <v>207</v>
      </c>
      <c r="H211" s="63">
        <v>0</v>
      </c>
      <c r="J211">
        <v>207</v>
      </c>
      <c r="K211" s="63">
        <v>0</v>
      </c>
    </row>
    <row r="212" spans="1:11">
      <c r="A212">
        <v>208</v>
      </c>
      <c r="B212" s="63">
        <v>0</v>
      </c>
      <c r="D212">
        <v>208</v>
      </c>
      <c r="E212" s="63">
        <v>0</v>
      </c>
      <c r="G212">
        <v>208</v>
      </c>
      <c r="H212" s="63">
        <v>0</v>
      </c>
      <c r="J212">
        <v>208</v>
      </c>
      <c r="K212" s="63">
        <v>0</v>
      </c>
    </row>
    <row r="213" spans="1:11">
      <c r="A213">
        <v>209</v>
      </c>
      <c r="B213" s="63">
        <v>0</v>
      </c>
      <c r="D213">
        <v>209</v>
      </c>
      <c r="E213" s="63">
        <v>0</v>
      </c>
      <c r="G213">
        <v>209</v>
      </c>
      <c r="H213" s="63">
        <v>0</v>
      </c>
      <c r="J213">
        <v>209</v>
      </c>
      <c r="K213" s="63">
        <v>0</v>
      </c>
    </row>
    <row r="214" spans="1:11">
      <c r="A214">
        <v>210</v>
      </c>
      <c r="B214" s="63">
        <v>0</v>
      </c>
      <c r="D214">
        <v>210</v>
      </c>
      <c r="E214" s="63">
        <v>0</v>
      </c>
      <c r="G214">
        <v>210</v>
      </c>
      <c r="H214" s="63">
        <v>0</v>
      </c>
      <c r="J214">
        <v>210</v>
      </c>
      <c r="K214" s="63">
        <v>0</v>
      </c>
    </row>
    <row r="215" spans="1:11">
      <c r="A215">
        <v>211</v>
      </c>
      <c r="B215" s="63">
        <v>0</v>
      </c>
      <c r="D215">
        <v>211</v>
      </c>
      <c r="E215" s="63">
        <v>0</v>
      </c>
      <c r="G215">
        <v>211</v>
      </c>
      <c r="H215" s="63">
        <v>0</v>
      </c>
      <c r="J215">
        <v>211</v>
      </c>
      <c r="K215" s="63">
        <v>0</v>
      </c>
    </row>
    <row r="216" spans="1:11">
      <c r="A216">
        <v>212</v>
      </c>
      <c r="B216" s="63">
        <v>5.4</v>
      </c>
      <c r="D216">
        <v>212</v>
      </c>
      <c r="E216" s="63">
        <v>0</v>
      </c>
      <c r="G216">
        <v>212</v>
      </c>
      <c r="H216" s="63">
        <v>0</v>
      </c>
      <c r="J216">
        <v>212</v>
      </c>
      <c r="K216" s="63">
        <v>0</v>
      </c>
    </row>
    <row r="217" spans="1:11">
      <c r="A217">
        <v>213</v>
      </c>
      <c r="B217" s="63">
        <v>0.4</v>
      </c>
      <c r="D217">
        <v>213</v>
      </c>
      <c r="E217" s="63">
        <v>0</v>
      </c>
      <c r="G217">
        <v>213</v>
      </c>
      <c r="H217" s="63">
        <v>0</v>
      </c>
      <c r="J217">
        <v>213</v>
      </c>
      <c r="K217" s="63">
        <v>0</v>
      </c>
    </row>
    <row r="218" spans="1:11">
      <c r="A218">
        <v>214</v>
      </c>
      <c r="B218" s="63">
        <v>0</v>
      </c>
      <c r="D218">
        <v>214</v>
      </c>
      <c r="E218" s="63">
        <v>0</v>
      </c>
      <c r="G218">
        <v>214</v>
      </c>
      <c r="H218" s="63">
        <v>0</v>
      </c>
      <c r="J218">
        <v>214</v>
      </c>
      <c r="K218" s="63">
        <v>0</v>
      </c>
    </row>
    <row r="219" spans="1:11">
      <c r="A219">
        <v>215</v>
      </c>
      <c r="B219" s="63">
        <v>0</v>
      </c>
      <c r="D219">
        <v>215</v>
      </c>
      <c r="E219" s="63">
        <v>0</v>
      </c>
      <c r="G219">
        <v>215</v>
      </c>
      <c r="H219" s="63">
        <v>0</v>
      </c>
      <c r="J219">
        <v>215</v>
      </c>
      <c r="K219" s="63">
        <v>0</v>
      </c>
    </row>
    <row r="220" spans="1:11">
      <c r="A220">
        <v>216</v>
      </c>
      <c r="B220" s="63">
        <v>0</v>
      </c>
      <c r="D220">
        <v>216</v>
      </c>
      <c r="E220" s="63">
        <v>6.6</v>
      </c>
      <c r="G220">
        <v>216</v>
      </c>
      <c r="H220" s="63">
        <v>0</v>
      </c>
      <c r="J220">
        <v>216</v>
      </c>
      <c r="K220" s="63">
        <v>0</v>
      </c>
    </row>
    <row r="221" spans="1:11">
      <c r="A221">
        <v>217</v>
      </c>
      <c r="B221" s="63">
        <v>0</v>
      </c>
      <c r="D221">
        <v>217</v>
      </c>
      <c r="E221" s="63">
        <v>4.8</v>
      </c>
      <c r="G221">
        <v>217</v>
      </c>
      <c r="H221" s="63">
        <v>0</v>
      </c>
      <c r="J221">
        <v>217</v>
      </c>
      <c r="K221" s="63">
        <v>0</v>
      </c>
    </row>
    <row r="222" spans="1:11">
      <c r="A222">
        <v>218</v>
      </c>
      <c r="B222" s="63">
        <v>0</v>
      </c>
      <c r="D222">
        <v>218</v>
      </c>
      <c r="E222" s="63">
        <v>0</v>
      </c>
      <c r="G222">
        <v>218</v>
      </c>
      <c r="H222" s="63">
        <v>3.2</v>
      </c>
      <c r="J222">
        <v>218</v>
      </c>
      <c r="K222" s="63">
        <v>0</v>
      </c>
    </row>
    <row r="223" spans="1:11">
      <c r="A223">
        <v>219</v>
      </c>
      <c r="B223" s="63">
        <v>0</v>
      </c>
      <c r="D223">
        <v>219</v>
      </c>
      <c r="E223" s="63">
        <v>0.2</v>
      </c>
      <c r="G223">
        <v>219</v>
      </c>
      <c r="H223" s="63">
        <v>14.6</v>
      </c>
      <c r="J223">
        <v>219</v>
      </c>
      <c r="K223" s="63">
        <v>0</v>
      </c>
    </row>
    <row r="224" spans="1:11">
      <c r="A224">
        <v>220</v>
      </c>
      <c r="B224" s="63">
        <v>0</v>
      </c>
      <c r="D224">
        <v>220</v>
      </c>
      <c r="E224" s="63">
        <v>5</v>
      </c>
      <c r="G224">
        <v>220</v>
      </c>
      <c r="H224" s="63">
        <v>24.4</v>
      </c>
      <c r="J224">
        <v>220</v>
      </c>
      <c r="K224" s="63">
        <v>0</v>
      </c>
    </row>
    <row r="225" spans="1:11">
      <c r="A225">
        <v>221</v>
      </c>
      <c r="B225" s="63">
        <v>0</v>
      </c>
      <c r="D225">
        <v>221</v>
      </c>
      <c r="E225" s="63">
        <v>1</v>
      </c>
      <c r="G225">
        <v>221</v>
      </c>
      <c r="H225" s="63">
        <v>1.8</v>
      </c>
      <c r="J225">
        <v>221</v>
      </c>
      <c r="K225" s="63">
        <v>0</v>
      </c>
    </row>
    <row r="226" spans="1:11">
      <c r="A226">
        <v>222</v>
      </c>
      <c r="B226" s="63">
        <v>0</v>
      </c>
      <c r="D226">
        <v>222</v>
      </c>
      <c r="E226" s="63">
        <v>0</v>
      </c>
      <c r="G226">
        <v>222</v>
      </c>
      <c r="H226" s="63">
        <v>0</v>
      </c>
      <c r="J226">
        <v>222</v>
      </c>
      <c r="K226" s="63">
        <v>0</v>
      </c>
    </row>
    <row r="227" spans="1:11">
      <c r="A227">
        <v>223</v>
      </c>
      <c r="B227" s="63">
        <v>0.4</v>
      </c>
      <c r="D227">
        <v>223</v>
      </c>
      <c r="E227" s="63">
        <v>0</v>
      </c>
      <c r="G227">
        <v>223</v>
      </c>
      <c r="H227" s="63">
        <v>0</v>
      </c>
      <c r="J227">
        <v>223</v>
      </c>
      <c r="K227" s="63">
        <v>0</v>
      </c>
    </row>
    <row r="228" spans="1:11">
      <c r="A228">
        <v>224</v>
      </c>
      <c r="B228" s="63">
        <v>4.4000000000000004</v>
      </c>
      <c r="D228">
        <v>224</v>
      </c>
      <c r="E228" s="63">
        <v>0</v>
      </c>
      <c r="G228">
        <v>224</v>
      </c>
      <c r="H228" s="63">
        <v>0</v>
      </c>
      <c r="J228">
        <v>224</v>
      </c>
      <c r="K228" s="63">
        <v>0</v>
      </c>
    </row>
    <row r="229" spans="1:11">
      <c r="A229">
        <v>225</v>
      </c>
      <c r="B229" s="63">
        <v>1</v>
      </c>
      <c r="D229">
        <v>225</v>
      </c>
      <c r="E229" s="63">
        <v>0</v>
      </c>
      <c r="G229">
        <v>225</v>
      </c>
      <c r="H229" s="63">
        <v>0</v>
      </c>
      <c r="J229">
        <v>225</v>
      </c>
      <c r="K229" s="63">
        <v>0</v>
      </c>
    </row>
    <row r="230" spans="1:11">
      <c r="A230">
        <v>226</v>
      </c>
      <c r="B230" s="63">
        <v>0.4</v>
      </c>
      <c r="D230">
        <v>226</v>
      </c>
      <c r="E230" s="63">
        <v>9.8000000000000007</v>
      </c>
      <c r="G230">
        <v>226</v>
      </c>
      <c r="H230" s="63">
        <v>0</v>
      </c>
      <c r="J230">
        <v>226</v>
      </c>
      <c r="K230" s="63">
        <v>0</v>
      </c>
    </row>
    <row r="231" spans="1:11">
      <c r="A231">
        <v>227</v>
      </c>
      <c r="B231" s="63">
        <v>8.4</v>
      </c>
      <c r="D231">
        <v>227</v>
      </c>
      <c r="E231" s="63">
        <v>3</v>
      </c>
      <c r="G231">
        <v>227</v>
      </c>
      <c r="H231" s="63">
        <v>0</v>
      </c>
      <c r="J231">
        <v>227</v>
      </c>
      <c r="K231" s="63">
        <v>0</v>
      </c>
    </row>
    <row r="232" spans="1:11">
      <c r="A232">
        <v>228</v>
      </c>
      <c r="B232" s="63">
        <v>4.4000000000000004</v>
      </c>
      <c r="D232">
        <v>228</v>
      </c>
      <c r="E232" s="63">
        <v>0</v>
      </c>
      <c r="G232">
        <v>228</v>
      </c>
      <c r="H232" s="63">
        <v>0</v>
      </c>
      <c r="J232">
        <v>228</v>
      </c>
      <c r="K232" s="63">
        <v>0</v>
      </c>
    </row>
    <row r="233" spans="1:11">
      <c r="A233">
        <v>229</v>
      </c>
      <c r="B233" s="63">
        <v>4.4000000000000004</v>
      </c>
      <c r="D233">
        <v>229</v>
      </c>
      <c r="E233" s="63">
        <v>0</v>
      </c>
      <c r="G233">
        <v>229</v>
      </c>
      <c r="H233" s="63">
        <v>0</v>
      </c>
      <c r="J233">
        <v>229</v>
      </c>
      <c r="K233" s="63">
        <v>0</v>
      </c>
    </row>
    <row r="234" spans="1:11">
      <c r="A234">
        <v>230</v>
      </c>
      <c r="B234" s="63">
        <v>14.8</v>
      </c>
      <c r="D234">
        <v>230</v>
      </c>
      <c r="E234" s="63">
        <v>0</v>
      </c>
      <c r="G234">
        <v>230</v>
      </c>
      <c r="H234" s="63">
        <v>0</v>
      </c>
      <c r="J234">
        <v>230</v>
      </c>
      <c r="K234" s="63">
        <v>0</v>
      </c>
    </row>
    <row r="235" spans="1:11">
      <c r="A235">
        <v>231</v>
      </c>
      <c r="B235" s="63">
        <v>5.6</v>
      </c>
      <c r="D235">
        <v>231</v>
      </c>
      <c r="E235" s="63">
        <v>0</v>
      </c>
      <c r="G235">
        <v>231</v>
      </c>
      <c r="H235" s="63">
        <v>0</v>
      </c>
      <c r="J235">
        <v>231</v>
      </c>
      <c r="K235" s="63">
        <v>0</v>
      </c>
    </row>
    <row r="236" spans="1:11">
      <c r="A236">
        <v>232</v>
      </c>
      <c r="B236" s="63">
        <v>1.2</v>
      </c>
      <c r="D236">
        <v>232</v>
      </c>
      <c r="E236" s="63">
        <v>0</v>
      </c>
      <c r="G236">
        <v>232</v>
      </c>
      <c r="H236" s="63">
        <v>0</v>
      </c>
      <c r="J236">
        <v>232</v>
      </c>
      <c r="K236" s="63">
        <v>0</v>
      </c>
    </row>
    <row r="237" spans="1:11">
      <c r="A237">
        <v>233</v>
      </c>
      <c r="B237" s="63">
        <v>0.4</v>
      </c>
      <c r="D237">
        <v>233</v>
      </c>
      <c r="E237" s="63">
        <v>0</v>
      </c>
      <c r="G237">
        <v>233</v>
      </c>
      <c r="H237" s="63">
        <v>0</v>
      </c>
      <c r="J237">
        <v>233</v>
      </c>
      <c r="K237" s="63">
        <v>0</v>
      </c>
    </row>
    <row r="238" spans="1:11">
      <c r="A238">
        <v>234</v>
      </c>
      <c r="B238" s="63">
        <v>0.6</v>
      </c>
      <c r="D238">
        <v>234</v>
      </c>
      <c r="E238" s="63">
        <v>0</v>
      </c>
      <c r="G238">
        <v>234</v>
      </c>
      <c r="H238" s="63">
        <v>0</v>
      </c>
      <c r="J238">
        <v>234</v>
      </c>
      <c r="K238" s="63">
        <v>0</v>
      </c>
    </row>
    <row r="239" spans="1:11">
      <c r="A239">
        <v>235</v>
      </c>
      <c r="B239" s="63">
        <v>5.2</v>
      </c>
      <c r="D239">
        <v>235</v>
      </c>
      <c r="E239" s="63">
        <v>0</v>
      </c>
      <c r="G239">
        <v>235</v>
      </c>
      <c r="H239" s="63">
        <v>0</v>
      </c>
      <c r="J239">
        <v>235</v>
      </c>
      <c r="K239" s="63">
        <v>0</v>
      </c>
    </row>
    <row r="240" spans="1:11">
      <c r="A240">
        <v>236</v>
      </c>
      <c r="B240" s="63">
        <v>1.4</v>
      </c>
      <c r="D240">
        <v>236</v>
      </c>
      <c r="E240" s="63">
        <v>0</v>
      </c>
      <c r="G240">
        <v>236</v>
      </c>
      <c r="H240" s="63">
        <v>0</v>
      </c>
      <c r="J240">
        <v>236</v>
      </c>
      <c r="K240" s="63">
        <v>0</v>
      </c>
    </row>
    <row r="241" spans="1:11">
      <c r="A241">
        <v>237</v>
      </c>
      <c r="B241" s="63">
        <v>0</v>
      </c>
      <c r="D241">
        <v>237</v>
      </c>
      <c r="E241" s="63">
        <v>0</v>
      </c>
      <c r="G241">
        <v>237</v>
      </c>
      <c r="H241" s="63">
        <v>0</v>
      </c>
      <c r="J241">
        <v>237</v>
      </c>
      <c r="K241" s="63">
        <v>0</v>
      </c>
    </row>
    <row r="242" spans="1:11">
      <c r="A242">
        <v>238</v>
      </c>
      <c r="B242" s="63">
        <v>0</v>
      </c>
      <c r="D242">
        <v>238</v>
      </c>
      <c r="E242" s="63">
        <v>0</v>
      </c>
      <c r="G242">
        <v>238</v>
      </c>
      <c r="H242" s="63">
        <v>0</v>
      </c>
      <c r="J242">
        <v>238</v>
      </c>
      <c r="K242" s="63">
        <v>0</v>
      </c>
    </row>
    <row r="243" spans="1:11">
      <c r="A243">
        <v>239</v>
      </c>
      <c r="B243" s="63">
        <v>0.4</v>
      </c>
      <c r="D243">
        <v>239</v>
      </c>
      <c r="E243" s="63">
        <v>3</v>
      </c>
      <c r="G243">
        <v>239</v>
      </c>
      <c r="H243" s="63">
        <v>2.8</v>
      </c>
      <c r="J243">
        <v>239</v>
      </c>
      <c r="K243" s="63">
        <v>0</v>
      </c>
    </row>
    <row r="244" spans="1:11">
      <c r="A244">
        <v>240</v>
      </c>
      <c r="B244" s="63">
        <v>1.2</v>
      </c>
      <c r="D244">
        <v>240</v>
      </c>
      <c r="E244" s="63">
        <v>6.8</v>
      </c>
      <c r="G244">
        <v>240</v>
      </c>
      <c r="H244" s="63">
        <v>10.4</v>
      </c>
      <c r="J244">
        <v>240</v>
      </c>
      <c r="K244" s="63">
        <v>0.4</v>
      </c>
    </row>
    <row r="245" spans="1:11">
      <c r="A245">
        <v>241</v>
      </c>
      <c r="B245" s="63">
        <v>4</v>
      </c>
      <c r="D245">
        <v>241</v>
      </c>
      <c r="E245" s="63">
        <v>16.2</v>
      </c>
      <c r="G245">
        <v>241</v>
      </c>
      <c r="H245" s="63">
        <v>33.4</v>
      </c>
      <c r="J245">
        <v>241</v>
      </c>
      <c r="K245" s="63">
        <v>7.8</v>
      </c>
    </row>
    <row r="246" spans="1:11">
      <c r="A246">
        <v>242</v>
      </c>
      <c r="B246" s="63">
        <v>0</v>
      </c>
      <c r="D246">
        <v>242</v>
      </c>
      <c r="E246" s="63">
        <v>6.2</v>
      </c>
      <c r="G246">
        <v>242</v>
      </c>
      <c r="H246" s="63">
        <v>26</v>
      </c>
      <c r="J246">
        <v>242</v>
      </c>
      <c r="K246" s="63">
        <v>3.6</v>
      </c>
    </row>
    <row r="247" spans="1:11">
      <c r="A247">
        <v>243</v>
      </c>
      <c r="B247" s="63">
        <v>0</v>
      </c>
      <c r="D247">
        <v>243</v>
      </c>
      <c r="E247" s="63">
        <v>14.2</v>
      </c>
      <c r="G247">
        <v>243</v>
      </c>
      <c r="H247" s="63">
        <v>6</v>
      </c>
      <c r="J247">
        <v>243</v>
      </c>
      <c r="K247" s="63">
        <v>10.6</v>
      </c>
    </row>
    <row r="248" spans="1:11">
      <c r="A248">
        <v>244</v>
      </c>
      <c r="B248" s="63">
        <v>0</v>
      </c>
      <c r="D248">
        <v>244</v>
      </c>
      <c r="E248" s="63">
        <v>1.6</v>
      </c>
      <c r="G248">
        <v>244</v>
      </c>
      <c r="H248" s="63">
        <v>15.8</v>
      </c>
      <c r="J248">
        <v>244</v>
      </c>
      <c r="K248" s="63">
        <v>3.2</v>
      </c>
    </row>
    <row r="249" spans="1:11">
      <c r="A249">
        <v>245</v>
      </c>
      <c r="B249" s="63">
        <v>0</v>
      </c>
      <c r="D249">
        <v>245</v>
      </c>
      <c r="E249" s="63">
        <v>9.4</v>
      </c>
      <c r="G249">
        <v>245</v>
      </c>
      <c r="H249" s="63">
        <v>0.8</v>
      </c>
      <c r="J249">
        <v>245</v>
      </c>
      <c r="K249" s="63">
        <v>6.2</v>
      </c>
    </row>
    <row r="250" spans="1:11">
      <c r="A250">
        <v>246</v>
      </c>
      <c r="B250" s="63">
        <v>4.8</v>
      </c>
      <c r="D250">
        <v>246</v>
      </c>
      <c r="E250" s="63">
        <v>0.6</v>
      </c>
      <c r="G250">
        <v>246</v>
      </c>
      <c r="H250" s="63">
        <v>2.4</v>
      </c>
      <c r="J250">
        <v>246</v>
      </c>
      <c r="K250" s="63">
        <v>0</v>
      </c>
    </row>
    <row r="251" spans="1:11">
      <c r="A251">
        <v>247</v>
      </c>
      <c r="B251" s="63">
        <v>0</v>
      </c>
      <c r="D251">
        <v>247</v>
      </c>
      <c r="E251" s="63">
        <v>0</v>
      </c>
      <c r="G251">
        <v>247</v>
      </c>
      <c r="H251" s="63">
        <v>0</v>
      </c>
      <c r="J251">
        <v>247</v>
      </c>
      <c r="K251" s="63">
        <v>0</v>
      </c>
    </row>
    <row r="252" spans="1:11">
      <c r="A252">
        <v>248</v>
      </c>
      <c r="B252" s="63">
        <v>0</v>
      </c>
      <c r="D252">
        <v>248</v>
      </c>
      <c r="E252" s="63">
        <v>0.2</v>
      </c>
      <c r="G252">
        <v>248</v>
      </c>
      <c r="H252" s="63">
        <v>1.6</v>
      </c>
      <c r="J252">
        <v>248</v>
      </c>
      <c r="K252" s="63">
        <v>0</v>
      </c>
    </row>
    <row r="253" spans="1:11">
      <c r="A253">
        <v>249</v>
      </c>
      <c r="B253" s="63">
        <v>0</v>
      </c>
      <c r="D253">
        <v>249</v>
      </c>
      <c r="E253" s="63">
        <v>0.2</v>
      </c>
      <c r="G253">
        <v>249</v>
      </c>
      <c r="H253" s="63">
        <v>0</v>
      </c>
      <c r="J253">
        <v>249</v>
      </c>
      <c r="K253" s="63">
        <v>0</v>
      </c>
    </row>
    <row r="254" spans="1:11">
      <c r="A254">
        <v>250</v>
      </c>
      <c r="B254" s="63">
        <v>0</v>
      </c>
      <c r="D254">
        <v>250</v>
      </c>
      <c r="E254" s="63">
        <v>4</v>
      </c>
      <c r="G254">
        <v>250</v>
      </c>
      <c r="H254" s="63">
        <v>29.6</v>
      </c>
      <c r="J254">
        <v>250</v>
      </c>
      <c r="K254" s="63">
        <v>0</v>
      </c>
    </row>
    <row r="255" spans="1:11">
      <c r="A255">
        <v>251</v>
      </c>
      <c r="B255" s="63">
        <v>0</v>
      </c>
      <c r="D255">
        <v>251</v>
      </c>
      <c r="E255" s="63">
        <v>0</v>
      </c>
      <c r="G255">
        <v>251</v>
      </c>
      <c r="H255" s="63">
        <v>13</v>
      </c>
      <c r="J255">
        <v>251</v>
      </c>
      <c r="K255" s="63">
        <v>0</v>
      </c>
    </row>
    <row r="256" spans="1:11">
      <c r="A256">
        <v>252</v>
      </c>
      <c r="B256" s="63">
        <v>0</v>
      </c>
      <c r="D256">
        <v>252</v>
      </c>
      <c r="E256" s="63">
        <v>0</v>
      </c>
      <c r="G256">
        <v>252</v>
      </c>
      <c r="H256" s="63">
        <v>1.4</v>
      </c>
      <c r="J256">
        <v>252</v>
      </c>
      <c r="K256" s="63">
        <v>0</v>
      </c>
    </row>
    <row r="257" spans="1:11">
      <c r="A257">
        <v>253</v>
      </c>
      <c r="B257" s="63">
        <v>0</v>
      </c>
      <c r="D257">
        <v>253</v>
      </c>
      <c r="E257" s="63">
        <v>0</v>
      </c>
      <c r="G257">
        <v>253</v>
      </c>
      <c r="H257" s="63">
        <v>0</v>
      </c>
      <c r="J257">
        <v>253</v>
      </c>
      <c r="K257" s="63">
        <v>0</v>
      </c>
    </row>
    <row r="258" spans="1:11">
      <c r="A258">
        <v>254</v>
      </c>
      <c r="B258" s="63">
        <v>0</v>
      </c>
      <c r="D258">
        <v>254</v>
      </c>
      <c r="E258" s="63">
        <v>0</v>
      </c>
      <c r="G258">
        <v>254</v>
      </c>
      <c r="H258" s="63">
        <v>0</v>
      </c>
      <c r="J258">
        <v>254</v>
      </c>
      <c r="K258" s="63">
        <v>0</v>
      </c>
    </row>
    <row r="259" spans="1:11">
      <c r="A259">
        <v>255</v>
      </c>
      <c r="B259" s="63">
        <v>0</v>
      </c>
      <c r="D259">
        <v>255</v>
      </c>
      <c r="E259" s="63">
        <v>0</v>
      </c>
      <c r="G259">
        <v>255</v>
      </c>
      <c r="H259" s="63">
        <v>0</v>
      </c>
      <c r="J259">
        <v>255</v>
      </c>
      <c r="K259" s="63">
        <v>0</v>
      </c>
    </row>
    <row r="260" spans="1:11">
      <c r="A260">
        <v>256</v>
      </c>
      <c r="B260" s="63">
        <v>0</v>
      </c>
      <c r="D260">
        <v>256</v>
      </c>
      <c r="E260" s="63">
        <v>0</v>
      </c>
      <c r="G260">
        <v>256</v>
      </c>
      <c r="H260" s="63">
        <v>0</v>
      </c>
      <c r="J260">
        <v>256</v>
      </c>
      <c r="K260" s="63">
        <v>0</v>
      </c>
    </row>
    <row r="261" spans="1:11">
      <c r="A261">
        <v>257</v>
      </c>
      <c r="B261" s="63">
        <v>0</v>
      </c>
      <c r="D261">
        <v>257</v>
      </c>
      <c r="E261" s="63">
        <v>0</v>
      </c>
      <c r="G261">
        <v>257</v>
      </c>
      <c r="H261" s="63">
        <v>0</v>
      </c>
      <c r="J261">
        <v>257</v>
      </c>
      <c r="K261" s="63">
        <v>0</v>
      </c>
    </row>
    <row r="262" spans="1:11">
      <c r="A262">
        <v>258</v>
      </c>
      <c r="B262" s="63">
        <v>0.6</v>
      </c>
      <c r="D262">
        <v>258</v>
      </c>
      <c r="E262" s="63">
        <v>3.2</v>
      </c>
      <c r="G262">
        <v>258</v>
      </c>
      <c r="H262" s="63">
        <v>2</v>
      </c>
      <c r="J262">
        <v>258</v>
      </c>
      <c r="K262" s="63">
        <v>0</v>
      </c>
    </row>
    <row r="263" spans="1:11">
      <c r="A263">
        <v>259</v>
      </c>
      <c r="B263" s="63">
        <v>0</v>
      </c>
      <c r="D263">
        <v>259</v>
      </c>
      <c r="E263" s="63">
        <v>6.4</v>
      </c>
      <c r="G263">
        <v>259</v>
      </c>
      <c r="H263" s="63">
        <v>4</v>
      </c>
      <c r="J263">
        <v>259</v>
      </c>
      <c r="K263" s="63">
        <v>0</v>
      </c>
    </row>
    <row r="264" spans="1:11">
      <c r="A264">
        <v>260</v>
      </c>
      <c r="B264" s="63">
        <v>0.8</v>
      </c>
      <c r="D264">
        <v>260</v>
      </c>
      <c r="E264" s="63">
        <v>2</v>
      </c>
      <c r="G264">
        <v>260</v>
      </c>
      <c r="H264" s="63">
        <v>2.8</v>
      </c>
      <c r="J264">
        <v>260</v>
      </c>
      <c r="K264" s="63">
        <v>0</v>
      </c>
    </row>
    <row r="265" spans="1:11">
      <c r="A265">
        <v>261</v>
      </c>
      <c r="B265" s="63">
        <v>1.2</v>
      </c>
      <c r="D265">
        <v>261</v>
      </c>
      <c r="E265" s="63">
        <v>8.6</v>
      </c>
      <c r="G265">
        <v>261</v>
      </c>
      <c r="H265" s="63">
        <v>46.4</v>
      </c>
      <c r="J265">
        <v>261</v>
      </c>
      <c r="K265" s="63">
        <v>26.4</v>
      </c>
    </row>
    <row r="266" spans="1:11">
      <c r="A266">
        <v>262</v>
      </c>
      <c r="B266" s="63">
        <v>0.8</v>
      </c>
      <c r="D266">
        <v>262</v>
      </c>
      <c r="E266" s="63">
        <v>9.8000000000000007</v>
      </c>
      <c r="G266">
        <v>262</v>
      </c>
      <c r="H266" s="63">
        <v>86.8</v>
      </c>
      <c r="J266">
        <v>262</v>
      </c>
      <c r="K266" s="63">
        <v>0.4</v>
      </c>
    </row>
    <row r="267" spans="1:11">
      <c r="A267">
        <v>263</v>
      </c>
      <c r="B267" s="63">
        <v>1.4</v>
      </c>
      <c r="D267">
        <v>263</v>
      </c>
      <c r="E267" s="63">
        <v>7.4</v>
      </c>
      <c r="G267">
        <v>263</v>
      </c>
      <c r="H267" s="63">
        <v>1.4</v>
      </c>
      <c r="J267">
        <v>263</v>
      </c>
      <c r="K267" s="63">
        <v>0</v>
      </c>
    </row>
    <row r="268" spans="1:11">
      <c r="A268">
        <v>264</v>
      </c>
      <c r="B268" s="63">
        <v>1.4</v>
      </c>
      <c r="D268">
        <v>264</v>
      </c>
      <c r="E268" s="63">
        <v>0</v>
      </c>
      <c r="G268">
        <v>264</v>
      </c>
      <c r="H268" s="63">
        <v>4.2</v>
      </c>
      <c r="J268">
        <v>264</v>
      </c>
      <c r="K268" s="63">
        <v>2</v>
      </c>
    </row>
    <row r="269" spans="1:11">
      <c r="A269">
        <v>265</v>
      </c>
      <c r="B269" s="63">
        <v>5</v>
      </c>
      <c r="D269">
        <v>265</v>
      </c>
      <c r="E269" s="63">
        <v>0</v>
      </c>
      <c r="G269">
        <v>265</v>
      </c>
      <c r="H269" s="63">
        <v>39.799999999999997</v>
      </c>
      <c r="J269">
        <v>265</v>
      </c>
      <c r="K269" s="63">
        <v>12.4</v>
      </c>
    </row>
    <row r="270" spans="1:11">
      <c r="A270">
        <v>266</v>
      </c>
      <c r="B270" s="63">
        <v>1.2</v>
      </c>
      <c r="D270">
        <v>266</v>
      </c>
      <c r="E270" s="63">
        <v>8.4</v>
      </c>
      <c r="G270">
        <v>266</v>
      </c>
      <c r="H270" s="63">
        <v>29.8</v>
      </c>
      <c r="J270">
        <v>266</v>
      </c>
      <c r="K270" s="63">
        <v>29.4</v>
      </c>
    </row>
    <row r="271" spans="1:11">
      <c r="A271">
        <v>267</v>
      </c>
      <c r="B271" s="63">
        <v>1.6</v>
      </c>
      <c r="D271">
        <v>267</v>
      </c>
      <c r="E271" s="63">
        <v>7.8</v>
      </c>
      <c r="G271">
        <v>267</v>
      </c>
      <c r="H271" s="63">
        <v>11.8</v>
      </c>
      <c r="J271">
        <v>267</v>
      </c>
      <c r="K271" s="63">
        <v>1.6</v>
      </c>
    </row>
    <row r="272" spans="1:11">
      <c r="A272">
        <v>268</v>
      </c>
      <c r="B272" s="63">
        <v>0</v>
      </c>
      <c r="D272">
        <v>268</v>
      </c>
      <c r="E272" s="63">
        <v>0.4</v>
      </c>
      <c r="G272">
        <v>268</v>
      </c>
      <c r="H272" s="63">
        <v>1.6</v>
      </c>
      <c r="J272">
        <v>268</v>
      </c>
      <c r="K272" s="63">
        <v>0.6</v>
      </c>
    </row>
    <row r="273" spans="1:11">
      <c r="A273">
        <v>269</v>
      </c>
      <c r="B273" s="63">
        <v>4</v>
      </c>
      <c r="D273">
        <v>269</v>
      </c>
      <c r="E273" s="63">
        <v>0</v>
      </c>
      <c r="G273">
        <v>269</v>
      </c>
      <c r="H273" s="63">
        <v>0</v>
      </c>
      <c r="J273">
        <v>269</v>
      </c>
      <c r="K273" s="63">
        <v>8.1999999999999993</v>
      </c>
    </row>
    <row r="274" spans="1:11">
      <c r="A274">
        <v>270</v>
      </c>
      <c r="B274" s="63">
        <v>1.6</v>
      </c>
      <c r="D274">
        <v>270</v>
      </c>
      <c r="E274" s="63">
        <v>0</v>
      </c>
      <c r="G274">
        <v>270</v>
      </c>
      <c r="H274" s="63">
        <v>0</v>
      </c>
      <c r="J274">
        <v>270</v>
      </c>
      <c r="K274" s="63">
        <v>0</v>
      </c>
    </row>
    <row r="275" spans="1:11">
      <c r="A275">
        <v>271</v>
      </c>
      <c r="B275" s="63">
        <v>11</v>
      </c>
      <c r="D275">
        <v>271</v>
      </c>
      <c r="E275" s="63">
        <v>0</v>
      </c>
      <c r="G275">
        <v>271</v>
      </c>
      <c r="H275" s="63">
        <v>0</v>
      </c>
      <c r="J275">
        <v>271</v>
      </c>
      <c r="K275" s="63">
        <v>12.4</v>
      </c>
    </row>
    <row r="276" spans="1:11">
      <c r="A276">
        <v>272</v>
      </c>
      <c r="B276" s="63">
        <v>5</v>
      </c>
      <c r="D276">
        <v>272</v>
      </c>
      <c r="E276" s="63">
        <v>0</v>
      </c>
      <c r="G276">
        <v>272</v>
      </c>
      <c r="H276" s="63">
        <v>0</v>
      </c>
      <c r="J276">
        <v>272</v>
      </c>
      <c r="K276" s="63">
        <v>5.6</v>
      </c>
    </row>
    <row r="277" spans="1:11">
      <c r="A277">
        <v>273</v>
      </c>
      <c r="B277" s="63">
        <v>2.2000000000000002</v>
      </c>
      <c r="D277">
        <v>273</v>
      </c>
      <c r="E277" s="63">
        <v>0</v>
      </c>
      <c r="G277">
        <v>273</v>
      </c>
      <c r="H277" s="63">
        <v>0</v>
      </c>
      <c r="J277">
        <v>273</v>
      </c>
      <c r="K277" s="63">
        <v>0</v>
      </c>
    </row>
    <row r="278" spans="1:11">
      <c r="A278">
        <v>274</v>
      </c>
      <c r="B278" s="63">
        <v>0</v>
      </c>
      <c r="D278">
        <v>274</v>
      </c>
      <c r="E278" s="63">
        <v>0</v>
      </c>
      <c r="G278">
        <v>274</v>
      </c>
      <c r="H278" s="63">
        <v>0</v>
      </c>
      <c r="J278">
        <v>274</v>
      </c>
      <c r="K278" s="63">
        <v>0</v>
      </c>
    </row>
    <row r="279" spans="1:11">
      <c r="A279">
        <v>275</v>
      </c>
      <c r="B279" s="63">
        <v>0</v>
      </c>
      <c r="D279">
        <v>275</v>
      </c>
      <c r="E279" s="63">
        <v>0</v>
      </c>
      <c r="G279">
        <v>275</v>
      </c>
      <c r="H279" s="63">
        <v>0</v>
      </c>
      <c r="J279">
        <v>275</v>
      </c>
      <c r="K279" s="63">
        <v>0</v>
      </c>
    </row>
    <row r="280" spans="1:11">
      <c r="A280">
        <v>276</v>
      </c>
      <c r="B280" s="63">
        <v>1.2</v>
      </c>
      <c r="D280">
        <v>276</v>
      </c>
      <c r="E280" s="63">
        <v>0</v>
      </c>
      <c r="G280">
        <v>276</v>
      </c>
      <c r="H280" s="63">
        <v>0</v>
      </c>
      <c r="J280">
        <v>276</v>
      </c>
      <c r="K280" s="63">
        <v>57.8</v>
      </c>
    </row>
    <row r="281" spans="1:11">
      <c r="A281">
        <v>277</v>
      </c>
      <c r="B281" s="63">
        <v>28.4</v>
      </c>
      <c r="D281">
        <v>277</v>
      </c>
      <c r="E281" s="63">
        <v>0</v>
      </c>
      <c r="G281">
        <v>277</v>
      </c>
      <c r="H281" s="63">
        <v>0</v>
      </c>
      <c r="J281">
        <v>277</v>
      </c>
      <c r="K281" s="63">
        <v>6</v>
      </c>
    </row>
    <row r="282" spans="1:11">
      <c r="A282">
        <v>278</v>
      </c>
      <c r="B282" s="63">
        <v>26</v>
      </c>
      <c r="D282">
        <v>278</v>
      </c>
      <c r="E282" s="63">
        <v>0</v>
      </c>
      <c r="G282">
        <v>278</v>
      </c>
      <c r="H282" s="63">
        <v>0</v>
      </c>
      <c r="J282">
        <v>278</v>
      </c>
      <c r="K282" s="63">
        <v>9.1999999999999993</v>
      </c>
    </row>
    <row r="283" spans="1:11">
      <c r="A283">
        <v>279</v>
      </c>
      <c r="B283" s="63">
        <v>8.8000000000000007</v>
      </c>
      <c r="D283">
        <v>279</v>
      </c>
      <c r="E283" s="63">
        <v>2.4</v>
      </c>
      <c r="G283">
        <v>279</v>
      </c>
      <c r="H283" s="63">
        <v>4</v>
      </c>
      <c r="J283">
        <v>279</v>
      </c>
      <c r="K283" s="63">
        <v>0.4</v>
      </c>
    </row>
    <row r="284" spans="1:11">
      <c r="A284">
        <v>280</v>
      </c>
      <c r="B284" s="63">
        <v>10.6</v>
      </c>
      <c r="D284">
        <v>280</v>
      </c>
      <c r="E284" s="63">
        <v>9</v>
      </c>
      <c r="G284">
        <v>280</v>
      </c>
      <c r="H284" s="63">
        <v>15.6</v>
      </c>
      <c r="J284">
        <v>280</v>
      </c>
      <c r="K284" s="63">
        <v>0</v>
      </c>
    </row>
    <row r="285" spans="1:11">
      <c r="A285">
        <v>281</v>
      </c>
      <c r="B285" s="63">
        <v>0</v>
      </c>
      <c r="D285">
        <v>281</v>
      </c>
      <c r="E285" s="63">
        <v>1</v>
      </c>
      <c r="G285">
        <v>281</v>
      </c>
      <c r="H285" s="63">
        <v>9.1999999999999993</v>
      </c>
      <c r="J285">
        <v>281</v>
      </c>
      <c r="K285" s="63">
        <v>1.4</v>
      </c>
    </row>
    <row r="286" spans="1:11">
      <c r="A286">
        <v>282</v>
      </c>
      <c r="B286" s="63">
        <v>1.2</v>
      </c>
      <c r="D286">
        <v>282</v>
      </c>
      <c r="E286" s="63">
        <v>15.6</v>
      </c>
      <c r="G286">
        <v>282</v>
      </c>
      <c r="H286" s="63">
        <v>26.4</v>
      </c>
      <c r="J286">
        <v>282</v>
      </c>
      <c r="K286" s="63">
        <v>1.8</v>
      </c>
    </row>
    <row r="287" spans="1:11">
      <c r="A287">
        <v>283</v>
      </c>
      <c r="B287" s="63">
        <v>0</v>
      </c>
      <c r="D287">
        <v>283</v>
      </c>
      <c r="E287" s="63">
        <v>14.4</v>
      </c>
      <c r="G287">
        <v>283</v>
      </c>
      <c r="H287" s="63">
        <v>27</v>
      </c>
      <c r="J287">
        <v>283</v>
      </c>
      <c r="K287" s="63">
        <v>17.8</v>
      </c>
    </row>
    <row r="288" spans="1:11">
      <c r="A288">
        <v>284</v>
      </c>
      <c r="B288" s="63">
        <v>0</v>
      </c>
      <c r="D288">
        <v>284</v>
      </c>
      <c r="E288" s="63">
        <v>7.8</v>
      </c>
      <c r="G288">
        <v>284</v>
      </c>
      <c r="H288" s="63">
        <v>37.6</v>
      </c>
      <c r="J288">
        <v>284</v>
      </c>
      <c r="K288" s="63">
        <v>15.4</v>
      </c>
    </row>
    <row r="289" spans="1:11">
      <c r="A289">
        <v>285</v>
      </c>
      <c r="B289" s="63">
        <v>0</v>
      </c>
      <c r="D289">
        <v>285</v>
      </c>
      <c r="E289" s="63">
        <v>6</v>
      </c>
      <c r="G289">
        <v>285</v>
      </c>
      <c r="H289" s="63">
        <v>0.8</v>
      </c>
      <c r="J289">
        <v>285</v>
      </c>
      <c r="K289" s="63">
        <v>33</v>
      </c>
    </row>
    <row r="290" spans="1:11">
      <c r="A290">
        <v>286</v>
      </c>
      <c r="B290" s="63">
        <v>0</v>
      </c>
      <c r="D290">
        <v>286</v>
      </c>
      <c r="E290" s="63">
        <v>0</v>
      </c>
      <c r="G290">
        <v>286</v>
      </c>
      <c r="H290" s="63">
        <v>0.6</v>
      </c>
      <c r="J290">
        <v>286</v>
      </c>
      <c r="K290" s="63">
        <v>31.4</v>
      </c>
    </row>
    <row r="291" spans="1:11">
      <c r="A291">
        <v>287</v>
      </c>
      <c r="B291" s="63">
        <v>0</v>
      </c>
      <c r="D291">
        <v>287</v>
      </c>
      <c r="E291" s="63">
        <v>0</v>
      </c>
      <c r="G291">
        <v>287</v>
      </c>
      <c r="H291" s="63">
        <v>0</v>
      </c>
      <c r="J291">
        <v>287</v>
      </c>
      <c r="K291" s="63">
        <v>28.4</v>
      </c>
    </row>
    <row r="292" spans="1:11">
      <c r="A292">
        <v>288</v>
      </c>
      <c r="B292" s="63">
        <v>1</v>
      </c>
      <c r="D292">
        <v>288</v>
      </c>
      <c r="E292" s="63">
        <v>0</v>
      </c>
      <c r="G292">
        <v>288</v>
      </c>
      <c r="H292" s="63">
        <v>0</v>
      </c>
      <c r="J292">
        <v>288</v>
      </c>
      <c r="K292" s="63">
        <v>6.4</v>
      </c>
    </row>
    <row r="293" spans="1:11">
      <c r="A293">
        <v>289</v>
      </c>
      <c r="B293" s="63">
        <v>0</v>
      </c>
      <c r="D293">
        <v>289</v>
      </c>
      <c r="E293" s="63">
        <v>4.8</v>
      </c>
      <c r="G293">
        <v>289</v>
      </c>
      <c r="H293" s="63">
        <v>14.2</v>
      </c>
      <c r="J293">
        <v>289</v>
      </c>
      <c r="K293" s="63">
        <v>17.2</v>
      </c>
    </row>
    <row r="294" spans="1:11">
      <c r="A294">
        <v>290</v>
      </c>
      <c r="B294" s="63">
        <v>0</v>
      </c>
      <c r="D294">
        <v>290</v>
      </c>
      <c r="E294" s="63">
        <v>1.8</v>
      </c>
      <c r="G294">
        <v>290</v>
      </c>
      <c r="H294" s="63">
        <v>6.4</v>
      </c>
      <c r="J294">
        <v>290</v>
      </c>
      <c r="K294" s="63">
        <v>27</v>
      </c>
    </row>
    <row r="295" spans="1:11">
      <c r="A295">
        <v>291</v>
      </c>
      <c r="B295" s="63">
        <v>0</v>
      </c>
      <c r="D295">
        <v>291</v>
      </c>
      <c r="E295" s="63">
        <v>3.2</v>
      </c>
      <c r="G295">
        <v>291</v>
      </c>
      <c r="H295" s="63">
        <v>23.4</v>
      </c>
      <c r="J295">
        <v>291</v>
      </c>
      <c r="K295" s="63">
        <v>16.8</v>
      </c>
    </row>
    <row r="296" spans="1:11">
      <c r="A296">
        <v>292</v>
      </c>
      <c r="B296" s="63">
        <v>0</v>
      </c>
      <c r="D296">
        <v>292</v>
      </c>
      <c r="E296" s="63">
        <v>4.2</v>
      </c>
      <c r="G296">
        <v>292</v>
      </c>
      <c r="H296" s="63">
        <v>0.6</v>
      </c>
      <c r="J296">
        <v>292</v>
      </c>
      <c r="K296" s="63">
        <v>46.2</v>
      </c>
    </row>
    <row r="297" spans="1:11">
      <c r="A297">
        <v>293</v>
      </c>
      <c r="B297" s="63">
        <v>0</v>
      </c>
      <c r="D297">
        <v>293</v>
      </c>
      <c r="E297" s="63">
        <v>0</v>
      </c>
      <c r="G297">
        <v>293</v>
      </c>
      <c r="H297" s="63">
        <v>10.199999999999999</v>
      </c>
      <c r="J297">
        <v>293</v>
      </c>
      <c r="K297" s="63">
        <v>10.8</v>
      </c>
    </row>
    <row r="298" spans="1:11">
      <c r="A298">
        <v>294</v>
      </c>
      <c r="B298" s="63">
        <v>0</v>
      </c>
      <c r="D298">
        <v>294</v>
      </c>
      <c r="E298" s="63">
        <v>6</v>
      </c>
      <c r="G298">
        <v>294</v>
      </c>
      <c r="H298" s="63">
        <v>4</v>
      </c>
      <c r="J298">
        <v>294</v>
      </c>
      <c r="K298" s="63">
        <v>40.200000000000003</v>
      </c>
    </row>
    <row r="299" spans="1:11">
      <c r="A299">
        <v>295</v>
      </c>
      <c r="B299" s="63">
        <v>0</v>
      </c>
      <c r="D299">
        <v>295</v>
      </c>
      <c r="E299" s="63">
        <v>0</v>
      </c>
      <c r="G299">
        <v>295</v>
      </c>
      <c r="H299" s="63">
        <v>9.8000000000000007</v>
      </c>
      <c r="J299">
        <v>295</v>
      </c>
      <c r="K299" s="63">
        <v>21.4</v>
      </c>
    </row>
    <row r="300" spans="1:11">
      <c r="A300">
        <v>296</v>
      </c>
      <c r="B300" s="63">
        <v>0</v>
      </c>
      <c r="D300">
        <v>296</v>
      </c>
      <c r="E300" s="63">
        <v>0</v>
      </c>
      <c r="G300">
        <v>296</v>
      </c>
      <c r="H300" s="63">
        <v>0</v>
      </c>
      <c r="J300">
        <v>296</v>
      </c>
      <c r="K300" s="63">
        <v>9.4</v>
      </c>
    </row>
    <row r="301" spans="1:11">
      <c r="A301">
        <v>297</v>
      </c>
      <c r="B301" s="63">
        <v>0</v>
      </c>
      <c r="D301">
        <v>297</v>
      </c>
      <c r="E301" s="63">
        <v>0.8</v>
      </c>
      <c r="G301">
        <v>297</v>
      </c>
      <c r="H301" s="63">
        <v>5.8</v>
      </c>
      <c r="J301">
        <v>297</v>
      </c>
      <c r="K301" s="63">
        <v>1.6</v>
      </c>
    </row>
    <row r="302" spans="1:11">
      <c r="A302">
        <v>298</v>
      </c>
      <c r="B302" s="63">
        <v>0</v>
      </c>
      <c r="D302">
        <v>298</v>
      </c>
      <c r="E302" s="63">
        <v>0</v>
      </c>
      <c r="G302">
        <v>298</v>
      </c>
      <c r="H302" s="63">
        <v>4</v>
      </c>
      <c r="J302">
        <v>298</v>
      </c>
      <c r="K302" s="63">
        <v>21.8</v>
      </c>
    </row>
    <row r="303" spans="1:11">
      <c r="A303">
        <v>299</v>
      </c>
      <c r="B303" s="63">
        <v>9.6</v>
      </c>
      <c r="D303">
        <v>299</v>
      </c>
      <c r="E303" s="63">
        <v>0</v>
      </c>
      <c r="G303">
        <v>299</v>
      </c>
      <c r="H303" s="63">
        <v>0</v>
      </c>
      <c r="J303">
        <v>299</v>
      </c>
      <c r="K303" s="63">
        <v>2.4</v>
      </c>
    </row>
    <row r="304" spans="1:11">
      <c r="A304">
        <v>300</v>
      </c>
      <c r="B304" s="63">
        <v>0</v>
      </c>
      <c r="D304">
        <v>300</v>
      </c>
      <c r="E304" s="63">
        <v>6</v>
      </c>
      <c r="G304">
        <v>300</v>
      </c>
      <c r="H304" s="63">
        <v>6.8</v>
      </c>
      <c r="J304">
        <v>300</v>
      </c>
      <c r="K304" s="63">
        <v>33.6</v>
      </c>
    </row>
    <row r="305" spans="1:11">
      <c r="A305">
        <v>301</v>
      </c>
      <c r="B305" s="63">
        <v>0</v>
      </c>
      <c r="D305">
        <v>301</v>
      </c>
      <c r="E305" s="63">
        <v>4.8</v>
      </c>
      <c r="G305">
        <v>301</v>
      </c>
      <c r="H305" s="63">
        <v>39</v>
      </c>
      <c r="J305">
        <v>301</v>
      </c>
      <c r="K305" s="63">
        <v>24.4</v>
      </c>
    </row>
    <row r="306" spans="1:11">
      <c r="A306">
        <v>302</v>
      </c>
      <c r="B306" s="63">
        <v>0</v>
      </c>
      <c r="D306">
        <v>302</v>
      </c>
      <c r="E306" s="63">
        <v>10.199999999999999</v>
      </c>
      <c r="G306">
        <v>302</v>
      </c>
      <c r="H306" s="63">
        <v>40.6</v>
      </c>
      <c r="J306">
        <v>302</v>
      </c>
      <c r="K306" s="63">
        <v>7</v>
      </c>
    </row>
    <row r="307" spans="1:11">
      <c r="A307">
        <v>303</v>
      </c>
      <c r="B307" s="63">
        <v>14.1</v>
      </c>
      <c r="D307">
        <v>303</v>
      </c>
      <c r="E307" s="63">
        <v>8</v>
      </c>
      <c r="G307">
        <v>303</v>
      </c>
      <c r="H307" s="63">
        <v>35.4</v>
      </c>
      <c r="J307">
        <v>303</v>
      </c>
      <c r="K307" s="63">
        <v>9</v>
      </c>
    </row>
    <row r="308" spans="1:11">
      <c r="A308">
        <v>304</v>
      </c>
      <c r="B308" s="63">
        <v>2</v>
      </c>
      <c r="D308">
        <v>304</v>
      </c>
      <c r="E308" s="63">
        <v>10</v>
      </c>
      <c r="G308">
        <v>304</v>
      </c>
      <c r="H308" s="63">
        <v>21.2</v>
      </c>
      <c r="J308">
        <v>304</v>
      </c>
      <c r="K308" s="63">
        <v>15</v>
      </c>
    </row>
    <row r="309" spans="1:11">
      <c r="A309">
        <v>305</v>
      </c>
      <c r="B309" s="63">
        <v>0.8</v>
      </c>
      <c r="D309">
        <v>305</v>
      </c>
      <c r="E309" s="63">
        <v>7.6</v>
      </c>
      <c r="G309">
        <v>305</v>
      </c>
      <c r="H309" s="63">
        <v>1.2</v>
      </c>
      <c r="J309">
        <v>305</v>
      </c>
      <c r="K309" s="63">
        <v>6.4</v>
      </c>
    </row>
    <row r="310" spans="1:11">
      <c r="A310">
        <v>306</v>
      </c>
      <c r="B310" s="63">
        <v>0</v>
      </c>
      <c r="D310">
        <v>306</v>
      </c>
      <c r="E310" s="63">
        <v>0</v>
      </c>
      <c r="G310">
        <v>306</v>
      </c>
      <c r="H310" s="63">
        <v>0</v>
      </c>
      <c r="J310">
        <v>306</v>
      </c>
      <c r="K310" s="63">
        <v>37.6</v>
      </c>
    </row>
    <row r="311" spans="1:11">
      <c r="A311">
        <v>307</v>
      </c>
      <c r="B311" s="63">
        <v>0</v>
      </c>
      <c r="D311">
        <v>307</v>
      </c>
      <c r="E311" s="63">
        <v>0</v>
      </c>
      <c r="G311">
        <v>307</v>
      </c>
      <c r="H311" s="63">
        <v>0</v>
      </c>
      <c r="J311">
        <v>307</v>
      </c>
      <c r="K311" s="63">
        <v>35.200000000000003</v>
      </c>
    </row>
    <row r="312" spans="1:11">
      <c r="A312">
        <v>308</v>
      </c>
      <c r="B312" s="63">
        <v>1.2</v>
      </c>
      <c r="D312">
        <v>308</v>
      </c>
      <c r="E312" s="63">
        <v>4.5999999999999996</v>
      </c>
      <c r="G312">
        <v>308</v>
      </c>
      <c r="H312" s="63">
        <v>3.4</v>
      </c>
      <c r="J312">
        <v>308</v>
      </c>
      <c r="K312" s="63">
        <v>9</v>
      </c>
    </row>
    <row r="313" spans="1:11">
      <c r="A313">
        <v>309</v>
      </c>
      <c r="B313" s="63">
        <v>3</v>
      </c>
      <c r="D313">
        <v>309</v>
      </c>
      <c r="E313" s="63">
        <v>2</v>
      </c>
      <c r="G313">
        <v>309</v>
      </c>
      <c r="H313" s="63">
        <v>6</v>
      </c>
      <c r="J313">
        <v>309</v>
      </c>
      <c r="K313" s="63">
        <v>4.4000000000000004</v>
      </c>
    </row>
    <row r="314" spans="1:11">
      <c r="A314">
        <v>310</v>
      </c>
      <c r="B314" s="63">
        <v>3.2</v>
      </c>
      <c r="D314">
        <v>310</v>
      </c>
      <c r="E314" s="63">
        <v>15</v>
      </c>
      <c r="G314">
        <v>310</v>
      </c>
      <c r="H314" s="63">
        <v>44.2</v>
      </c>
      <c r="J314">
        <v>310</v>
      </c>
      <c r="K314" s="63">
        <v>20.2</v>
      </c>
    </row>
    <row r="315" spans="1:11">
      <c r="A315">
        <v>311</v>
      </c>
      <c r="B315" s="63">
        <v>3.2</v>
      </c>
      <c r="D315">
        <v>311</v>
      </c>
      <c r="E315" s="63">
        <v>3.6</v>
      </c>
      <c r="G315">
        <v>311</v>
      </c>
      <c r="H315" s="63">
        <v>2.2000000000000002</v>
      </c>
      <c r="J315">
        <v>311</v>
      </c>
      <c r="K315" s="63">
        <v>1.4</v>
      </c>
    </row>
    <row r="316" spans="1:11">
      <c r="A316">
        <v>312</v>
      </c>
      <c r="B316" s="63">
        <v>5.6</v>
      </c>
      <c r="D316">
        <v>312</v>
      </c>
      <c r="E316" s="63">
        <v>4.4000000000000004</v>
      </c>
      <c r="G316">
        <v>312</v>
      </c>
      <c r="H316" s="63">
        <v>1.6</v>
      </c>
      <c r="J316">
        <v>312</v>
      </c>
      <c r="K316" s="63">
        <v>34</v>
      </c>
    </row>
    <row r="317" spans="1:11">
      <c r="A317">
        <v>313</v>
      </c>
      <c r="B317" s="63">
        <v>0</v>
      </c>
      <c r="D317">
        <v>313</v>
      </c>
      <c r="E317" s="63">
        <v>0</v>
      </c>
      <c r="G317">
        <v>313</v>
      </c>
      <c r="H317" s="63">
        <v>0</v>
      </c>
      <c r="J317">
        <v>313</v>
      </c>
      <c r="K317" s="63">
        <v>0</v>
      </c>
    </row>
    <row r="318" spans="1:11">
      <c r="A318">
        <v>314</v>
      </c>
      <c r="B318" s="63">
        <v>0</v>
      </c>
      <c r="D318">
        <v>314</v>
      </c>
      <c r="E318" s="63">
        <v>9.6</v>
      </c>
      <c r="G318">
        <v>314</v>
      </c>
      <c r="H318" s="63">
        <v>20.5</v>
      </c>
      <c r="J318">
        <v>314</v>
      </c>
      <c r="K318" s="63">
        <v>0</v>
      </c>
    </row>
    <row r="319" spans="1:11">
      <c r="A319">
        <v>315</v>
      </c>
      <c r="B319" s="63">
        <v>1.8</v>
      </c>
      <c r="D319">
        <v>315</v>
      </c>
      <c r="E319" s="63">
        <v>1.2</v>
      </c>
      <c r="G319">
        <v>315</v>
      </c>
      <c r="H319" s="63">
        <v>18.8</v>
      </c>
      <c r="J319">
        <v>315</v>
      </c>
      <c r="K319" s="63">
        <v>0</v>
      </c>
    </row>
    <row r="320" spans="1:11">
      <c r="A320">
        <v>316</v>
      </c>
      <c r="B320" s="63">
        <v>9.6</v>
      </c>
      <c r="D320">
        <v>316</v>
      </c>
      <c r="E320" s="63">
        <v>8.1999999999999993</v>
      </c>
      <c r="G320">
        <v>316</v>
      </c>
      <c r="H320" s="63">
        <v>59</v>
      </c>
      <c r="J320">
        <v>316</v>
      </c>
      <c r="K320" s="63">
        <v>0</v>
      </c>
    </row>
    <row r="321" spans="1:11">
      <c r="A321">
        <v>317</v>
      </c>
      <c r="B321" s="63">
        <v>8.8000000000000007</v>
      </c>
      <c r="D321">
        <v>317</v>
      </c>
      <c r="E321" s="63">
        <v>0.8</v>
      </c>
      <c r="G321">
        <v>317</v>
      </c>
      <c r="H321" s="63">
        <v>11.4</v>
      </c>
      <c r="J321">
        <v>317</v>
      </c>
      <c r="K321" s="63">
        <v>0</v>
      </c>
    </row>
    <row r="322" spans="1:11">
      <c r="A322">
        <v>318</v>
      </c>
      <c r="B322" s="63">
        <v>1.4</v>
      </c>
      <c r="D322">
        <v>318</v>
      </c>
      <c r="E322" s="63">
        <v>2.4</v>
      </c>
      <c r="G322">
        <v>318</v>
      </c>
      <c r="H322" s="63">
        <v>0.6</v>
      </c>
      <c r="J322">
        <v>318</v>
      </c>
      <c r="K322" s="63">
        <v>0</v>
      </c>
    </row>
    <row r="323" spans="1:11">
      <c r="A323">
        <v>319</v>
      </c>
      <c r="B323" s="63">
        <v>11.8</v>
      </c>
      <c r="D323">
        <v>319</v>
      </c>
      <c r="E323" s="63">
        <v>0.2</v>
      </c>
      <c r="G323">
        <v>319</v>
      </c>
      <c r="H323" s="63">
        <v>6</v>
      </c>
      <c r="J323">
        <v>319</v>
      </c>
      <c r="K323" s="63">
        <v>0</v>
      </c>
    </row>
    <row r="324" spans="1:11">
      <c r="A324">
        <v>320</v>
      </c>
      <c r="B324" s="63">
        <v>0</v>
      </c>
      <c r="D324">
        <v>320</v>
      </c>
      <c r="E324" s="63">
        <v>8.1999999999999993</v>
      </c>
      <c r="G324">
        <v>320</v>
      </c>
      <c r="H324" s="63">
        <v>55.4</v>
      </c>
      <c r="J324">
        <v>320</v>
      </c>
      <c r="K324" s="63">
        <v>0</v>
      </c>
    </row>
    <row r="325" spans="1:11">
      <c r="A325">
        <v>321</v>
      </c>
      <c r="B325" s="63">
        <v>4.5999999999999996</v>
      </c>
      <c r="D325">
        <v>321</v>
      </c>
      <c r="E325" s="63">
        <v>5.8</v>
      </c>
      <c r="G325">
        <v>321</v>
      </c>
      <c r="H325" s="63">
        <v>6.2</v>
      </c>
      <c r="J325">
        <v>321</v>
      </c>
      <c r="K325" s="63">
        <v>0</v>
      </c>
    </row>
    <row r="326" spans="1:11">
      <c r="A326">
        <v>322</v>
      </c>
      <c r="B326" s="63">
        <v>0</v>
      </c>
      <c r="D326">
        <v>322</v>
      </c>
      <c r="E326" s="63">
        <v>0</v>
      </c>
      <c r="G326">
        <v>322</v>
      </c>
      <c r="H326" s="63">
        <v>0</v>
      </c>
      <c r="J326">
        <v>322</v>
      </c>
      <c r="K326" s="63">
        <v>0</v>
      </c>
    </row>
    <row r="327" spans="1:11">
      <c r="A327">
        <v>323</v>
      </c>
      <c r="B327" s="63">
        <v>0</v>
      </c>
      <c r="D327">
        <v>323</v>
      </c>
      <c r="E327" s="63">
        <v>0</v>
      </c>
      <c r="G327">
        <v>323</v>
      </c>
      <c r="H327" s="63">
        <v>0</v>
      </c>
      <c r="J327">
        <v>323</v>
      </c>
      <c r="K327" s="63">
        <v>3.4</v>
      </c>
    </row>
    <row r="328" spans="1:11">
      <c r="A328">
        <v>324</v>
      </c>
      <c r="B328" s="63">
        <v>0</v>
      </c>
      <c r="D328">
        <v>324</v>
      </c>
      <c r="E328" s="63">
        <v>0</v>
      </c>
      <c r="G328">
        <v>324</v>
      </c>
      <c r="H328" s="63">
        <v>0</v>
      </c>
      <c r="J328">
        <v>324</v>
      </c>
      <c r="K328" s="63">
        <v>29.4</v>
      </c>
    </row>
    <row r="329" spans="1:11">
      <c r="A329">
        <v>325</v>
      </c>
      <c r="B329" s="63">
        <v>0.6</v>
      </c>
      <c r="D329">
        <v>325</v>
      </c>
      <c r="E329" s="63">
        <v>0</v>
      </c>
      <c r="G329">
        <v>325</v>
      </c>
      <c r="H329" s="63">
        <v>0</v>
      </c>
      <c r="J329">
        <v>325</v>
      </c>
      <c r="K329" s="63">
        <v>32.799999999999997</v>
      </c>
    </row>
    <row r="330" spans="1:11">
      <c r="A330">
        <v>326</v>
      </c>
      <c r="B330" s="63">
        <v>0</v>
      </c>
      <c r="D330">
        <v>326</v>
      </c>
      <c r="E330" s="63">
        <v>1.8</v>
      </c>
      <c r="G330">
        <v>326</v>
      </c>
      <c r="H330" s="63">
        <v>0</v>
      </c>
      <c r="J330">
        <v>326</v>
      </c>
      <c r="K330" s="63">
        <v>25.6</v>
      </c>
    </row>
    <row r="331" spans="1:11">
      <c r="A331">
        <v>327</v>
      </c>
      <c r="B331" s="63">
        <v>5</v>
      </c>
      <c r="D331">
        <v>327</v>
      </c>
      <c r="E331" s="63">
        <v>4.5999999999999996</v>
      </c>
      <c r="G331">
        <v>327</v>
      </c>
      <c r="H331" s="63">
        <v>0</v>
      </c>
      <c r="J331">
        <v>327</v>
      </c>
      <c r="K331" s="63">
        <v>15.2</v>
      </c>
    </row>
    <row r="332" spans="1:11">
      <c r="A332">
        <v>328</v>
      </c>
      <c r="B332" s="63">
        <v>4.4000000000000004</v>
      </c>
      <c r="D332">
        <v>328</v>
      </c>
      <c r="E332" s="63">
        <v>0</v>
      </c>
      <c r="G332">
        <v>328</v>
      </c>
      <c r="H332" s="63">
        <v>0</v>
      </c>
      <c r="J332">
        <v>328</v>
      </c>
      <c r="K332" s="63">
        <v>60.6</v>
      </c>
    </row>
    <row r="333" spans="1:11">
      <c r="A333">
        <v>329</v>
      </c>
      <c r="B333" s="63">
        <v>0</v>
      </c>
      <c r="D333">
        <v>329</v>
      </c>
      <c r="E333" s="63">
        <v>0</v>
      </c>
      <c r="G333">
        <v>329</v>
      </c>
      <c r="H333" s="63">
        <v>0</v>
      </c>
      <c r="J333">
        <v>329</v>
      </c>
      <c r="K333" s="63">
        <v>15</v>
      </c>
    </row>
    <row r="334" spans="1:11">
      <c r="A334">
        <v>330</v>
      </c>
      <c r="B334" s="63">
        <v>0.2</v>
      </c>
      <c r="D334">
        <v>330</v>
      </c>
      <c r="E334" s="63">
        <v>0</v>
      </c>
      <c r="G334">
        <v>330</v>
      </c>
      <c r="H334" s="63">
        <v>0</v>
      </c>
      <c r="J334">
        <v>330</v>
      </c>
      <c r="K334" s="63">
        <v>43</v>
      </c>
    </row>
    <row r="335" spans="1:11">
      <c r="A335">
        <v>331</v>
      </c>
      <c r="B335" s="63">
        <v>3.6</v>
      </c>
      <c r="D335">
        <v>331</v>
      </c>
      <c r="E335" s="63">
        <v>0</v>
      </c>
      <c r="G335">
        <v>331</v>
      </c>
      <c r="H335" s="63">
        <v>0</v>
      </c>
      <c r="J335">
        <v>331</v>
      </c>
      <c r="K335" s="63">
        <v>15</v>
      </c>
    </row>
    <row r="336" spans="1:11">
      <c r="A336">
        <v>332</v>
      </c>
      <c r="B336" s="63">
        <v>2.4</v>
      </c>
      <c r="D336">
        <v>332</v>
      </c>
      <c r="E336" s="63">
        <v>0</v>
      </c>
      <c r="G336">
        <v>332</v>
      </c>
      <c r="H336" s="63">
        <v>0</v>
      </c>
      <c r="J336">
        <v>332</v>
      </c>
      <c r="K336" s="63">
        <v>0</v>
      </c>
    </row>
    <row r="337" spans="1:11">
      <c r="A337">
        <v>333</v>
      </c>
      <c r="B337" s="63">
        <v>10.199999999999999</v>
      </c>
      <c r="D337">
        <v>333</v>
      </c>
      <c r="E337" s="63">
        <v>0</v>
      </c>
      <c r="G337">
        <v>333</v>
      </c>
      <c r="H337" s="63">
        <v>0</v>
      </c>
      <c r="J337">
        <v>333</v>
      </c>
      <c r="K337" s="63">
        <v>0</v>
      </c>
    </row>
    <row r="338" spans="1:11">
      <c r="A338">
        <v>334</v>
      </c>
      <c r="B338" s="63">
        <v>26.6</v>
      </c>
      <c r="D338">
        <v>334</v>
      </c>
      <c r="E338" s="63">
        <v>4</v>
      </c>
      <c r="G338">
        <v>334</v>
      </c>
      <c r="H338" s="63">
        <v>13</v>
      </c>
      <c r="J338">
        <v>334</v>
      </c>
      <c r="K338" s="63">
        <v>0</v>
      </c>
    </row>
    <row r="339" spans="1:11">
      <c r="A339">
        <v>335</v>
      </c>
      <c r="B339" s="63">
        <v>5.4</v>
      </c>
      <c r="D339">
        <v>335</v>
      </c>
      <c r="E339" s="63">
        <v>8.4</v>
      </c>
      <c r="G339">
        <v>335</v>
      </c>
      <c r="H339" s="63">
        <v>34.6</v>
      </c>
      <c r="J339">
        <v>335</v>
      </c>
      <c r="K339" s="63">
        <v>0</v>
      </c>
    </row>
    <row r="340" spans="1:11">
      <c r="A340">
        <v>336</v>
      </c>
      <c r="B340" s="63">
        <v>0</v>
      </c>
      <c r="D340">
        <v>336</v>
      </c>
      <c r="E340" s="63">
        <v>39.200000000000003</v>
      </c>
      <c r="G340">
        <v>336</v>
      </c>
      <c r="H340" s="63">
        <v>27.4</v>
      </c>
      <c r="J340">
        <v>336</v>
      </c>
      <c r="K340" s="63">
        <v>0</v>
      </c>
    </row>
    <row r="341" spans="1:11">
      <c r="A341">
        <v>337</v>
      </c>
      <c r="B341" s="63">
        <v>0</v>
      </c>
      <c r="D341">
        <v>337</v>
      </c>
      <c r="E341" s="63">
        <v>10.199999999999999</v>
      </c>
      <c r="G341">
        <v>337</v>
      </c>
      <c r="H341" s="63">
        <v>32.6</v>
      </c>
      <c r="J341">
        <v>337</v>
      </c>
      <c r="K341" s="63">
        <v>0</v>
      </c>
    </row>
    <row r="342" spans="1:11">
      <c r="A342">
        <v>338</v>
      </c>
      <c r="B342" s="63">
        <v>0</v>
      </c>
      <c r="D342">
        <v>338</v>
      </c>
      <c r="E342" s="63">
        <v>6.4</v>
      </c>
      <c r="G342">
        <v>338</v>
      </c>
      <c r="H342" s="63">
        <v>27.2</v>
      </c>
      <c r="J342">
        <v>338</v>
      </c>
      <c r="K342" s="63">
        <v>1.2</v>
      </c>
    </row>
    <row r="343" spans="1:11">
      <c r="A343">
        <v>339</v>
      </c>
      <c r="B343" s="63">
        <v>0</v>
      </c>
      <c r="D343">
        <v>339</v>
      </c>
      <c r="E343" s="63">
        <v>48.2</v>
      </c>
      <c r="G343">
        <v>339</v>
      </c>
      <c r="H343" s="63">
        <v>33.799999999999997</v>
      </c>
      <c r="J343">
        <v>339</v>
      </c>
      <c r="K343" s="63">
        <v>45.4</v>
      </c>
    </row>
    <row r="344" spans="1:11">
      <c r="A344">
        <v>340</v>
      </c>
      <c r="B344" s="63">
        <v>0</v>
      </c>
      <c r="D344">
        <v>340</v>
      </c>
      <c r="E344" s="63">
        <v>16.8</v>
      </c>
      <c r="G344">
        <v>340</v>
      </c>
      <c r="H344" s="63">
        <v>22.4</v>
      </c>
      <c r="J344">
        <v>340</v>
      </c>
      <c r="K344" s="63">
        <v>0.8</v>
      </c>
    </row>
    <row r="345" spans="1:11">
      <c r="A345">
        <v>341</v>
      </c>
      <c r="B345" s="63">
        <v>0</v>
      </c>
      <c r="D345">
        <v>341</v>
      </c>
      <c r="E345" s="63">
        <v>11</v>
      </c>
      <c r="G345">
        <v>341</v>
      </c>
      <c r="H345" s="63">
        <v>37.200000000000003</v>
      </c>
      <c r="J345">
        <v>341</v>
      </c>
      <c r="K345" s="63">
        <v>15.2</v>
      </c>
    </row>
    <row r="346" spans="1:11">
      <c r="A346">
        <v>342</v>
      </c>
      <c r="B346" s="63">
        <v>0</v>
      </c>
      <c r="D346">
        <v>342</v>
      </c>
      <c r="E346" s="63">
        <v>11</v>
      </c>
      <c r="G346">
        <v>342</v>
      </c>
      <c r="H346" s="63">
        <v>27</v>
      </c>
      <c r="J346">
        <v>342</v>
      </c>
      <c r="K346" s="63">
        <v>48.6</v>
      </c>
    </row>
    <row r="347" spans="1:11">
      <c r="A347">
        <v>343</v>
      </c>
      <c r="B347" s="63">
        <v>0</v>
      </c>
      <c r="D347">
        <v>343</v>
      </c>
      <c r="E347" s="63">
        <v>3.2</v>
      </c>
      <c r="G347">
        <v>343</v>
      </c>
      <c r="H347" s="63">
        <v>4.8</v>
      </c>
      <c r="J347">
        <v>343</v>
      </c>
      <c r="K347" s="63">
        <v>34.200000000000003</v>
      </c>
    </row>
    <row r="348" spans="1:11">
      <c r="A348">
        <v>344</v>
      </c>
      <c r="B348" s="63">
        <v>0</v>
      </c>
      <c r="D348">
        <v>344</v>
      </c>
      <c r="E348" s="63">
        <v>9</v>
      </c>
      <c r="G348">
        <v>344</v>
      </c>
      <c r="H348" s="63">
        <v>12.2</v>
      </c>
      <c r="J348">
        <v>344</v>
      </c>
      <c r="K348" s="63">
        <v>4.4000000000000004</v>
      </c>
    </row>
    <row r="349" spans="1:11">
      <c r="A349">
        <v>345</v>
      </c>
      <c r="B349" s="63">
        <v>3.2</v>
      </c>
      <c r="D349">
        <v>345</v>
      </c>
      <c r="E349" s="63">
        <v>3</v>
      </c>
      <c r="G349">
        <v>345</v>
      </c>
      <c r="H349" s="63">
        <v>3.4</v>
      </c>
      <c r="J349">
        <v>345</v>
      </c>
      <c r="K349" s="63">
        <v>17.8</v>
      </c>
    </row>
    <row r="350" spans="1:11">
      <c r="A350">
        <v>346</v>
      </c>
      <c r="B350" s="63">
        <v>1.8</v>
      </c>
      <c r="D350">
        <v>346</v>
      </c>
      <c r="E350" s="63">
        <v>35.200000000000003</v>
      </c>
      <c r="G350">
        <v>346</v>
      </c>
      <c r="H350" s="63">
        <v>23.8</v>
      </c>
      <c r="J350">
        <v>346</v>
      </c>
      <c r="K350" s="63">
        <v>1.4</v>
      </c>
    </row>
    <row r="351" spans="1:11">
      <c r="A351">
        <v>347</v>
      </c>
      <c r="B351" s="63">
        <v>10.4</v>
      </c>
      <c r="D351">
        <v>347</v>
      </c>
      <c r="E351" s="63">
        <v>1</v>
      </c>
      <c r="G351">
        <v>347</v>
      </c>
      <c r="H351" s="63">
        <v>0</v>
      </c>
      <c r="J351">
        <v>347</v>
      </c>
      <c r="K351" s="63">
        <v>1</v>
      </c>
    </row>
    <row r="352" spans="1:11">
      <c r="A352">
        <v>348</v>
      </c>
      <c r="B352" s="63">
        <v>26</v>
      </c>
      <c r="D352">
        <v>348</v>
      </c>
      <c r="E352" s="63">
        <v>0</v>
      </c>
      <c r="G352">
        <v>348</v>
      </c>
      <c r="H352" s="63">
        <v>2.4</v>
      </c>
      <c r="J352">
        <v>348</v>
      </c>
      <c r="K352" s="63">
        <v>0</v>
      </c>
    </row>
    <row r="353" spans="1:11">
      <c r="A353">
        <v>349</v>
      </c>
      <c r="B353" s="63">
        <v>0.8</v>
      </c>
      <c r="D353">
        <v>349</v>
      </c>
      <c r="E353" s="63">
        <v>2</v>
      </c>
      <c r="G353">
        <v>349</v>
      </c>
      <c r="H353" s="63">
        <v>3</v>
      </c>
      <c r="J353">
        <v>349</v>
      </c>
      <c r="K353" s="63">
        <v>9</v>
      </c>
    </row>
    <row r="354" spans="1:11">
      <c r="A354">
        <v>350</v>
      </c>
      <c r="B354" s="63">
        <v>11.8</v>
      </c>
      <c r="D354">
        <v>350</v>
      </c>
      <c r="E354" s="63">
        <v>0</v>
      </c>
      <c r="G354">
        <v>350</v>
      </c>
      <c r="H354" s="63">
        <v>2.2000000000000002</v>
      </c>
      <c r="J354">
        <v>350</v>
      </c>
      <c r="K354" s="63">
        <v>20.2</v>
      </c>
    </row>
    <row r="355" spans="1:11">
      <c r="A355">
        <v>351</v>
      </c>
      <c r="B355" s="63">
        <v>4.5999999999999996</v>
      </c>
      <c r="D355">
        <v>351</v>
      </c>
      <c r="E355" s="63">
        <v>10.199999999999999</v>
      </c>
      <c r="G355">
        <v>351</v>
      </c>
      <c r="H355" s="63">
        <v>21.8</v>
      </c>
      <c r="J355">
        <v>351</v>
      </c>
      <c r="K355" s="63">
        <v>0.8</v>
      </c>
    </row>
    <row r="356" spans="1:11">
      <c r="A356">
        <v>352</v>
      </c>
      <c r="B356" s="63">
        <v>0</v>
      </c>
      <c r="D356">
        <v>352</v>
      </c>
      <c r="E356" s="63">
        <v>5.4</v>
      </c>
      <c r="G356">
        <v>352</v>
      </c>
      <c r="H356" s="63">
        <v>25.5</v>
      </c>
      <c r="J356">
        <v>352</v>
      </c>
      <c r="K356" s="63">
        <v>24.6</v>
      </c>
    </row>
    <row r="357" spans="1:11">
      <c r="A357">
        <v>353</v>
      </c>
      <c r="B357" s="63">
        <v>0</v>
      </c>
      <c r="D357">
        <v>353</v>
      </c>
      <c r="E357" s="63">
        <v>11.4</v>
      </c>
      <c r="G357">
        <v>353</v>
      </c>
      <c r="H357" s="63">
        <v>31.8</v>
      </c>
      <c r="J357">
        <v>353</v>
      </c>
      <c r="K357" s="63">
        <v>0</v>
      </c>
    </row>
    <row r="358" spans="1:11">
      <c r="A358">
        <v>354</v>
      </c>
      <c r="B358" s="63">
        <v>3.8</v>
      </c>
      <c r="D358">
        <v>354</v>
      </c>
      <c r="E358" s="63">
        <v>2.4</v>
      </c>
      <c r="G358">
        <v>354</v>
      </c>
      <c r="H358" s="63">
        <v>22.6</v>
      </c>
      <c r="J358">
        <v>354</v>
      </c>
      <c r="K358" s="63">
        <v>0</v>
      </c>
    </row>
    <row r="359" spans="1:11">
      <c r="A359">
        <v>355</v>
      </c>
      <c r="B359" s="63">
        <v>7.6</v>
      </c>
      <c r="D359">
        <v>355</v>
      </c>
      <c r="E359" s="63">
        <v>0.4</v>
      </c>
      <c r="G359">
        <v>355</v>
      </c>
      <c r="H359" s="63">
        <v>9</v>
      </c>
      <c r="J359">
        <v>355</v>
      </c>
      <c r="K359" s="63">
        <v>8.8000000000000007</v>
      </c>
    </row>
    <row r="360" spans="1:11">
      <c r="A360">
        <v>356</v>
      </c>
      <c r="B360" s="63">
        <v>20.6</v>
      </c>
      <c r="D360">
        <v>356</v>
      </c>
      <c r="E360" s="63">
        <v>4</v>
      </c>
      <c r="G360">
        <v>356</v>
      </c>
      <c r="H360" s="63">
        <v>35.799999999999997</v>
      </c>
      <c r="J360">
        <v>356</v>
      </c>
      <c r="K360" s="63">
        <v>11.6</v>
      </c>
    </row>
    <row r="361" spans="1:11">
      <c r="A361">
        <v>357</v>
      </c>
      <c r="B361" s="63">
        <v>1.4</v>
      </c>
      <c r="D361">
        <v>357</v>
      </c>
      <c r="E361" s="63">
        <v>10.8</v>
      </c>
      <c r="G361">
        <v>357</v>
      </c>
      <c r="H361" s="63">
        <v>9.4</v>
      </c>
      <c r="J361">
        <v>357</v>
      </c>
      <c r="K361" s="63">
        <v>10</v>
      </c>
    </row>
    <row r="362" spans="1:11">
      <c r="A362">
        <v>358</v>
      </c>
      <c r="B362" s="63">
        <v>3.8</v>
      </c>
      <c r="D362">
        <v>358</v>
      </c>
      <c r="E362" s="63">
        <v>0.6</v>
      </c>
      <c r="G362">
        <v>358</v>
      </c>
      <c r="H362" s="63">
        <v>0</v>
      </c>
      <c r="J362">
        <v>358</v>
      </c>
      <c r="K362" s="63">
        <v>2.2000000000000002</v>
      </c>
    </row>
    <row r="363" spans="1:11">
      <c r="A363">
        <v>359</v>
      </c>
      <c r="B363" s="63">
        <v>25.6</v>
      </c>
      <c r="D363">
        <v>359</v>
      </c>
      <c r="E363" s="63">
        <v>0</v>
      </c>
      <c r="G363">
        <v>359</v>
      </c>
      <c r="H363" s="63">
        <v>0</v>
      </c>
      <c r="J363">
        <v>359</v>
      </c>
      <c r="K363" s="63">
        <v>0.6</v>
      </c>
    </row>
    <row r="364" spans="1:11">
      <c r="A364">
        <v>360</v>
      </c>
      <c r="B364" s="63">
        <v>24.8</v>
      </c>
      <c r="D364">
        <v>360</v>
      </c>
      <c r="E364" s="63">
        <v>6.4</v>
      </c>
      <c r="G364">
        <v>360</v>
      </c>
      <c r="H364" s="63">
        <v>26.2</v>
      </c>
      <c r="J364">
        <v>360</v>
      </c>
      <c r="K364" s="63">
        <v>10.199999999999999</v>
      </c>
    </row>
    <row r="365" spans="1:11">
      <c r="A365">
        <v>361</v>
      </c>
      <c r="B365" s="63">
        <v>2.2000000000000002</v>
      </c>
      <c r="D365">
        <v>361</v>
      </c>
      <c r="E365" s="63">
        <v>2.4</v>
      </c>
      <c r="G365">
        <v>361</v>
      </c>
      <c r="H365" s="63">
        <v>1.6</v>
      </c>
      <c r="J365">
        <v>361</v>
      </c>
      <c r="K365" s="63">
        <v>5.4</v>
      </c>
    </row>
    <row r="366" spans="1:11">
      <c r="A366">
        <v>362</v>
      </c>
      <c r="B366" s="63">
        <v>21.8</v>
      </c>
      <c r="D366">
        <v>362</v>
      </c>
      <c r="E366" s="63">
        <v>0</v>
      </c>
      <c r="G366">
        <v>362</v>
      </c>
      <c r="H366" s="63">
        <v>0.2</v>
      </c>
      <c r="J366">
        <v>362</v>
      </c>
      <c r="K366" s="63">
        <v>0</v>
      </c>
    </row>
    <row r="367" spans="1:11">
      <c r="A367">
        <v>363</v>
      </c>
      <c r="B367" s="63">
        <v>2.4</v>
      </c>
      <c r="D367">
        <v>363</v>
      </c>
      <c r="E367" s="63">
        <v>0</v>
      </c>
      <c r="G367">
        <v>363</v>
      </c>
      <c r="H367" s="63">
        <v>0</v>
      </c>
      <c r="J367">
        <v>363</v>
      </c>
      <c r="K367" s="63">
        <v>0</v>
      </c>
    </row>
    <row r="368" spans="1:11">
      <c r="A368">
        <v>364</v>
      </c>
      <c r="B368" s="63">
        <v>2.8</v>
      </c>
      <c r="D368">
        <v>364</v>
      </c>
      <c r="E368" s="63">
        <v>0</v>
      </c>
      <c r="G368">
        <v>364</v>
      </c>
      <c r="H368" s="63">
        <v>0</v>
      </c>
      <c r="J368">
        <v>364</v>
      </c>
      <c r="K368" s="63">
        <v>0</v>
      </c>
    </row>
    <row r="369" spans="1:11">
      <c r="A369">
        <v>365</v>
      </c>
      <c r="B369" s="63">
        <v>0.2</v>
      </c>
      <c r="D369">
        <v>365</v>
      </c>
      <c r="E369" s="63">
        <v>0</v>
      </c>
      <c r="G369">
        <v>365</v>
      </c>
      <c r="H369" s="63">
        <v>0</v>
      </c>
      <c r="J369">
        <v>365</v>
      </c>
      <c r="K369" s="63">
        <v>0</v>
      </c>
    </row>
    <row r="370" spans="1:11">
      <c r="B370" s="64"/>
      <c r="E370" s="64"/>
      <c r="G370" s="64"/>
      <c r="H370" s="64"/>
      <c r="K370" s="64"/>
    </row>
    <row r="371" spans="1:11">
      <c r="B371" s="64"/>
      <c r="D371" s="64"/>
      <c r="E371" s="64"/>
      <c r="G371" s="64"/>
      <c r="H371" s="64"/>
      <c r="K371" s="64"/>
    </row>
    <row r="372" spans="1:11">
      <c r="B372" s="64"/>
      <c r="D372" s="64"/>
      <c r="E372" s="64"/>
      <c r="G372" s="64"/>
      <c r="H372" s="64"/>
      <c r="J372" s="64"/>
      <c r="K372" s="64"/>
    </row>
    <row r="373" spans="1:11">
      <c r="B373" s="64"/>
      <c r="D373" s="64"/>
      <c r="E373" s="64"/>
      <c r="G373" s="64"/>
      <c r="H373" s="64"/>
      <c r="J373" s="64"/>
      <c r="K373" s="64"/>
    </row>
    <row r="374" spans="1:11">
      <c r="B374" s="64"/>
      <c r="D374" s="64"/>
      <c r="E374" s="64"/>
      <c r="G374" s="64"/>
      <c r="H374" s="64"/>
      <c r="J374" s="64"/>
      <c r="K374" s="64"/>
    </row>
    <row r="375" spans="1:11">
      <c r="B375" s="64"/>
      <c r="D375" s="64"/>
      <c r="E375" s="64"/>
      <c r="G375" s="64"/>
      <c r="H375" s="64"/>
      <c r="J375" s="64"/>
      <c r="K375" s="64"/>
    </row>
    <row r="376" spans="1:11">
      <c r="B376" s="64"/>
      <c r="D376" s="64"/>
      <c r="E376" s="64"/>
      <c r="G376" s="64"/>
      <c r="H376" s="64"/>
      <c r="J376" s="64"/>
      <c r="K376" s="64"/>
    </row>
    <row r="377" spans="1:11">
      <c r="B377" s="64"/>
      <c r="D377" s="64"/>
      <c r="E377" s="64"/>
      <c r="G377" s="64"/>
      <c r="H377" s="64"/>
      <c r="J377" s="64"/>
      <c r="K377" s="64"/>
    </row>
    <row r="378" spans="1:11">
      <c r="B378" s="64"/>
      <c r="D378" s="64"/>
      <c r="E378" s="64"/>
      <c r="G378" s="64"/>
      <c r="H378" s="64"/>
      <c r="J378" s="64"/>
      <c r="K378" s="64"/>
    </row>
    <row r="379" spans="1:11">
      <c r="B379" s="64"/>
      <c r="D379" s="64"/>
      <c r="E379" s="64"/>
      <c r="G379" s="64"/>
      <c r="H379" s="64"/>
      <c r="J379" s="64"/>
      <c r="K379" s="64"/>
    </row>
    <row r="380" spans="1:11">
      <c r="B380" s="64"/>
      <c r="D380" s="64"/>
      <c r="E380" s="64"/>
      <c r="G380" s="64"/>
      <c r="H380" s="64"/>
      <c r="J380" s="64"/>
      <c r="K380" s="64"/>
    </row>
    <row r="381" spans="1:11">
      <c r="B381" s="64"/>
      <c r="D381" s="64"/>
      <c r="E381" s="64"/>
      <c r="G381" s="64"/>
      <c r="H381" s="64"/>
      <c r="J381" s="64"/>
      <c r="K381" s="64"/>
    </row>
    <row r="382" spans="1:11">
      <c r="B382" s="64"/>
      <c r="D382" s="64"/>
      <c r="E382" s="64"/>
      <c r="G382" s="64"/>
      <c r="H382" s="64"/>
      <c r="J382" s="64"/>
      <c r="K382" s="64"/>
    </row>
    <row r="383" spans="1:11">
      <c r="B383" s="64"/>
      <c r="D383" s="64"/>
      <c r="E383" s="64"/>
      <c r="G383" s="64"/>
      <c r="H383" s="64"/>
      <c r="J383" s="64"/>
      <c r="K383" s="64"/>
    </row>
    <row r="384" spans="1:11">
      <c r="B384" s="64"/>
      <c r="D384" s="64"/>
      <c r="E384" s="64"/>
      <c r="G384" s="64"/>
      <c r="H384" s="64"/>
      <c r="J384" s="64"/>
      <c r="K384" s="64"/>
    </row>
    <row r="385" spans="2:11">
      <c r="B385" s="64"/>
      <c r="D385" s="64"/>
      <c r="E385" s="64"/>
      <c r="G385" s="64"/>
      <c r="H385" s="64"/>
      <c r="J385" s="64"/>
      <c r="K385" s="64"/>
    </row>
    <row r="386" spans="2:11">
      <c r="B386" s="64"/>
      <c r="D386" s="64"/>
      <c r="E386" s="64"/>
      <c r="G386" s="64"/>
      <c r="H386" s="64"/>
      <c r="J386" s="64"/>
      <c r="K386" s="64"/>
    </row>
    <row r="387" spans="2:11">
      <c r="B387" s="64"/>
      <c r="D387" s="64"/>
      <c r="E387" s="64"/>
      <c r="G387" s="64"/>
      <c r="H387" s="64"/>
      <c r="J387" s="64"/>
      <c r="K387" s="64"/>
    </row>
    <row r="388" spans="2:11">
      <c r="B388" s="64"/>
      <c r="D388" s="64"/>
      <c r="E388" s="64"/>
      <c r="G388" s="64"/>
      <c r="H388" s="64"/>
      <c r="J388" s="64"/>
      <c r="K388" s="64"/>
    </row>
    <row r="389" spans="2:11">
      <c r="B389" s="64"/>
      <c r="D389" s="64"/>
      <c r="E389" s="64"/>
      <c r="G389" s="64"/>
      <c r="H389" s="64"/>
      <c r="J389" s="64"/>
      <c r="K389" s="64"/>
    </row>
    <row r="390" spans="2:11">
      <c r="B390" s="64"/>
      <c r="D390" s="64"/>
      <c r="E390" s="64"/>
      <c r="G390" s="64"/>
      <c r="H390" s="64"/>
      <c r="J390" s="64"/>
      <c r="K390" s="64"/>
    </row>
    <row r="391" spans="2:11">
      <c r="B391" s="64"/>
      <c r="D391" s="64"/>
      <c r="E391" s="64"/>
      <c r="G391" s="64"/>
      <c r="H391" s="64"/>
      <c r="J391" s="64"/>
      <c r="K391" s="64"/>
    </row>
    <row r="392" spans="2:11">
      <c r="B392" s="64"/>
      <c r="D392" s="64"/>
      <c r="E392" s="64"/>
      <c r="G392" s="64"/>
      <c r="H392" s="64"/>
      <c r="J392" s="64"/>
      <c r="K392" s="64"/>
    </row>
    <row r="393" spans="2:11">
      <c r="B393" s="64"/>
      <c r="D393" s="64"/>
      <c r="E393" s="64"/>
      <c r="G393" s="64"/>
      <c r="H393" s="64"/>
      <c r="J393" s="64"/>
      <c r="K393" s="64"/>
    </row>
    <row r="394" spans="2:11">
      <c r="B394" s="64"/>
      <c r="D394" s="64"/>
      <c r="E394" s="64"/>
      <c r="G394" s="64"/>
      <c r="H394" s="64"/>
      <c r="J394" s="64"/>
      <c r="K394" s="64"/>
    </row>
    <row r="395" spans="2:11">
      <c r="B395" s="64"/>
      <c r="D395" s="64"/>
      <c r="E395" s="64"/>
      <c r="G395" s="64"/>
      <c r="H395" s="64"/>
      <c r="J395" s="64"/>
      <c r="K395" s="64"/>
    </row>
    <row r="396" spans="2:11">
      <c r="B396" s="64"/>
      <c r="D396" s="64"/>
      <c r="E396" s="64"/>
      <c r="G396" s="64"/>
      <c r="H396" s="64"/>
      <c r="J396" s="64"/>
      <c r="K396" s="64"/>
    </row>
    <row r="397" spans="2:11">
      <c r="B397" s="64"/>
      <c r="D397" s="64"/>
      <c r="E397" s="64"/>
      <c r="G397" s="64"/>
      <c r="H397" s="64"/>
      <c r="J397" s="64"/>
      <c r="K397" s="64"/>
    </row>
    <row r="398" spans="2:11">
      <c r="B398" s="64"/>
      <c r="D398" s="64"/>
      <c r="E398" s="64"/>
      <c r="G398" s="64"/>
      <c r="H398" s="64"/>
      <c r="J398" s="64"/>
      <c r="K398" s="64"/>
    </row>
    <row r="399" spans="2:11">
      <c r="B399" s="64"/>
      <c r="D399" s="64"/>
      <c r="E399" s="64"/>
      <c r="G399" s="64"/>
      <c r="H399" s="64"/>
      <c r="J399" s="64"/>
      <c r="K399" s="64"/>
    </row>
    <row r="400" spans="2:11">
      <c r="B400" s="64"/>
      <c r="D400" s="64"/>
      <c r="E400" s="64"/>
      <c r="G400" s="64"/>
      <c r="H400" s="64"/>
      <c r="J400" s="64"/>
      <c r="K400" s="64"/>
    </row>
    <row r="401" spans="1:11">
      <c r="B401" s="64"/>
      <c r="D401" s="64"/>
      <c r="E401" s="64"/>
      <c r="G401" s="64"/>
      <c r="H401" s="64"/>
      <c r="J401" s="64"/>
      <c r="K401" s="64"/>
    </row>
    <row r="402" spans="1:11">
      <c r="B402" s="64"/>
      <c r="D402" s="64"/>
      <c r="E402" s="64"/>
      <c r="G402" s="64"/>
      <c r="H402" s="64"/>
      <c r="J402" s="64"/>
      <c r="K402" s="64"/>
    </row>
    <row r="403" spans="1:11">
      <c r="B403" s="64"/>
      <c r="D403" s="64"/>
      <c r="E403" s="64"/>
      <c r="G403" s="64"/>
      <c r="H403" s="64"/>
      <c r="J403" s="64"/>
      <c r="K403" s="64"/>
    </row>
    <row r="404" spans="1:11">
      <c r="B404" s="64"/>
      <c r="D404" s="64"/>
      <c r="E404" s="64"/>
      <c r="G404" s="64"/>
      <c r="H404" s="64"/>
      <c r="J404" s="64"/>
      <c r="K404" s="64"/>
    </row>
    <row r="405" spans="1:11">
      <c r="A405" s="64"/>
      <c r="B405" s="64"/>
      <c r="D405" s="64"/>
      <c r="E405" s="64"/>
      <c r="G405" s="64"/>
      <c r="H405" s="64"/>
      <c r="J405" s="64"/>
      <c r="K405" s="64"/>
    </row>
    <row r="406" spans="1:11">
      <c r="A406" s="64"/>
      <c r="B406" s="64"/>
      <c r="D406" s="64"/>
      <c r="E406" s="64"/>
      <c r="G406" s="64"/>
      <c r="H406" s="64"/>
      <c r="J406" s="64"/>
      <c r="K406" s="64"/>
    </row>
    <row r="407" spans="1:11">
      <c r="A407" s="64"/>
      <c r="B407" s="64"/>
      <c r="D407" s="64"/>
      <c r="E407" s="64"/>
      <c r="G407" s="64"/>
      <c r="H407" s="64"/>
      <c r="J407" s="64"/>
      <c r="K407" s="64"/>
    </row>
    <row r="408" spans="1:11">
      <c r="A408" s="64"/>
      <c r="B408" s="64"/>
      <c r="D408" s="64"/>
      <c r="E408" s="64"/>
      <c r="G408" s="64"/>
      <c r="H408" s="64"/>
      <c r="J408" s="64"/>
      <c r="K408" s="64"/>
    </row>
    <row r="409" spans="1:11">
      <c r="A409" s="64"/>
      <c r="B409" s="64"/>
      <c r="D409" s="64"/>
      <c r="E409" s="64"/>
      <c r="G409" s="64"/>
      <c r="H409" s="64"/>
      <c r="J409" s="64"/>
      <c r="K409" s="64"/>
    </row>
    <row r="410" spans="1:11">
      <c r="A410" s="64"/>
      <c r="B410" s="64"/>
      <c r="D410" s="64"/>
      <c r="E410" s="64"/>
      <c r="G410" s="64"/>
      <c r="H410" s="64"/>
      <c r="J410" s="64"/>
      <c r="K410" s="64"/>
    </row>
    <row r="411" spans="1:11">
      <c r="A411" s="64"/>
      <c r="B411" s="64"/>
      <c r="D411" s="64"/>
      <c r="E411" s="64"/>
      <c r="G411" s="64"/>
      <c r="H411" s="64"/>
      <c r="J411" s="64"/>
      <c r="K411" s="64"/>
    </row>
    <row r="412" spans="1:11">
      <c r="A412" s="64"/>
      <c r="B412" s="64"/>
      <c r="D412" s="64"/>
      <c r="E412" s="64"/>
      <c r="G412" s="64"/>
      <c r="H412" s="64"/>
      <c r="J412" s="64"/>
      <c r="K412" s="64"/>
    </row>
    <row r="413" spans="1:11">
      <c r="A413" s="64"/>
      <c r="B413" s="64"/>
      <c r="D413" s="64"/>
      <c r="E413" s="64"/>
      <c r="G413" s="64"/>
      <c r="H413" s="64"/>
      <c r="J413" s="64"/>
      <c r="K413" s="64"/>
    </row>
    <row r="414" spans="1:11">
      <c r="A414" s="64"/>
      <c r="B414" s="64"/>
      <c r="D414" s="64"/>
      <c r="E414" s="64"/>
      <c r="G414" s="64"/>
      <c r="H414" s="64"/>
      <c r="J414" s="64"/>
      <c r="K414" s="64"/>
    </row>
    <row r="415" spans="1:11">
      <c r="A415" s="64"/>
      <c r="B415" s="64"/>
      <c r="D415" s="64"/>
      <c r="E415" s="64"/>
      <c r="G415" s="64"/>
      <c r="H415" s="64"/>
      <c r="J415" s="64"/>
      <c r="K415" s="64"/>
    </row>
    <row r="416" spans="1:11">
      <c r="A416" s="64"/>
      <c r="B416" s="64"/>
      <c r="D416" s="64"/>
      <c r="E416" s="64"/>
      <c r="G416" s="64"/>
      <c r="H416" s="64"/>
      <c r="J416" s="64"/>
      <c r="K416" s="64"/>
    </row>
    <row r="417" spans="1:11">
      <c r="A417" s="64"/>
      <c r="B417" s="64"/>
      <c r="D417" s="64"/>
      <c r="E417" s="64"/>
      <c r="G417" s="64"/>
      <c r="H417" s="64"/>
      <c r="J417" s="64"/>
      <c r="K417" s="64"/>
    </row>
    <row r="418" spans="1:11">
      <c r="A418" s="64"/>
      <c r="B418" s="64"/>
      <c r="D418" s="64"/>
      <c r="E418" s="64"/>
      <c r="G418" s="64"/>
      <c r="H418" s="64"/>
      <c r="J418" s="64"/>
      <c r="K418" s="64"/>
    </row>
    <row r="419" spans="1:11">
      <c r="A419" s="64"/>
      <c r="B419" s="64"/>
      <c r="D419" s="64"/>
      <c r="E419" s="64"/>
      <c r="G419" s="64"/>
      <c r="H419" s="64"/>
      <c r="J419" s="64"/>
      <c r="K419" s="64"/>
    </row>
    <row r="420" spans="1:11">
      <c r="A420" s="64"/>
      <c r="B420" s="64"/>
      <c r="D420" s="64"/>
      <c r="E420" s="64"/>
      <c r="G420" s="64"/>
      <c r="H420" s="64"/>
      <c r="J420" s="64"/>
      <c r="K420" s="64"/>
    </row>
    <row r="421" spans="1:11">
      <c r="A421" s="64"/>
      <c r="B421" s="64"/>
      <c r="D421" s="64"/>
      <c r="E421" s="64"/>
      <c r="G421" s="64"/>
      <c r="H421" s="64"/>
      <c r="J421" s="64"/>
      <c r="K421" s="64"/>
    </row>
    <row r="422" spans="1:11">
      <c r="A422" s="64"/>
      <c r="B422" s="64"/>
      <c r="D422" s="64"/>
      <c r="E422" s="64"/>
      <c r="G422" s="64"/>
      <c r="H422" s="64"/>
      <c r="J422" s="64"/>
      <c r="K422" s="64"/>
    </row>
    <row r="423" spans="1:11">
      <c r="A423" s="64"/>
      <c r="B423" s="64"/>
      <c r="D423" s="64"/>
      <c r="E423" s="64"/>
      <c r="G423" s="64"/>
      <c r="H423" s="64"/>
      <c r="J423" s="64"/>
      <c r="K423" s="64"/>
    </row>
    <row r="424" spans="1:11">
      <c r="A424" s="64"/>
      <c r="B424" s="64"/>
      <c r="D424" s="64"/>
      <c r="E424" s="64"/>
      <c r="G424" s="64"/>
      <c r="H424" s="64"/>
      <c r="J424" s="64"/>
      <c r="K424" s="64"/>
    </row>
    <row r="425" spans="1:11">
      <c r="A425" s="64"/>
      <c r="B425" s="64"/>
      <c r="D425" s="64"/>
      <c r="E425" s="64"/>
      <c r="G425" s="64"/>
      <c r="H425" s="64"/>
      <c r="J425" s="64"/>
      <c r="K425" s="64"/>
    </row>
    <row r="426" spans="1:11">
      <c r="A426" s="64"/>
      <c r="B426" s="64"/>
      <c r="D426" s="64"/>
      <c r="E426" s="64"/>
      <c r="G426" s="64"/>
      <c r="H426" s="64"/>
      <c r="J426" s="64"/>
      <c r="K426" s="64"/>
    </row>
    <row r="427" spans="1:11">
      <c r="A427" s="64"/>
      <c r="B427" s="64"/>
      <c r="D427" s="64"/>
      <c r="E427" s="64"/>
      <c r="G427" s="64"/>
      <c r="H427" s="64"/>
      <c r="J427" s="64"/>
      <c r="K427" s="64"/>
    </row>
    <row r="428" spans="1:11">
      <c r="A428" s="64"/>
      <c r="B428" s="64"/>
      <c r="D428" s="64"/>
      <c r="E428" s="64"/>
      <c r="G428" s="64"/>
      <c r="H428" s="64"/>
      <c r="J428" s="64"/>
      <c r="K428" s="64"/>
    </row>
    <row r="429" spans="1:11">
      <c r="A429" s="64"/>
      <c r="B429" s="64"/>
      <c r="D429" s="64"/>
      <c r="E429" s="64"/>
      <c r="G429" s="64"/>
      <c r="H429" s="64"/>
      <c r="J429" s="64"/>
      <c r="K429" s="64"/>
    </row>
    <row r="430" spans="1:11">
      <c r="A430" s="64"/>
      <c r="B430" s="64"/>
      <c r="D430" s="64"/>
      <c r="E430" s="64"/>
      <c r="G430" s="64"/>
      <c r="H430" s="64"/>
      <c r="J430" s="64"/>
      <c r="K430" s="64"/>
    </row>
    <row r="431" spans="1:11">
      <c r="A431" s="64"/>
      <c r="B431" s="64"/>
      <c r="D431" s="64"/>
      <c r="E431" s="64"/>
      <c r="G431" s="64"/>
      <c r="H431" s="64"/>
      <c r="J431" s="64"/>
      <c r="K431" s="64"/>
    </row>
    <row r="432" spans="1:11">
      <c r="A432" s="64"/>
      <c r="B432" s="64"/>
      <c r="D432" s="64"/>
      <c r="E432" s="64"/>
      <c r="G432" s="64"/>
      <c r="H432" s="64"/>
      <c r="J432" s="64"/>
      <c r="K432" s="64"/>
    </row>
    <row r="433" spans="1:11">
      <c r="A433" s="64"/>
      <c r="B433" s="64"/>
      <c r="D433" s="64"/>
      <c r="E433" s="64"/>
      <c r="G433" s="64"/>
      <c r="H433" s="64"/>
      <c r="J433" s="64"/>
      <c r="K433" s="64"/>
    </row>
    <row r="434" spans="1:11">
      <c r="A434" s="64"/>
      <c r="B434" s="64"/>
      <c r="D434" s="64"/>
      <c r="E434" s="64"/>
      <c r="G434" s="64"/>
      <c r="H434" s="64"/>
      <c r="J434" s="64"/>
      <c r="K434" s="64"/>
    </row>
    <row r="435" spans="1:11">
      <c r="A435" s="64"/>
      <c r="B435" s="64"/>
      <c r="D435" s="64"/>
      <c r="E435" s="64"/>
      <c r="G435" s="64"/>
      <c r="H435" s="64"/>
      <c r="J435" s="64"/>
      <c r="K435" s="64"/>
    </row>
    <row r="436" spans="1:11">
      <c r="A436" s="64"/>
      <c r="B436" s="64"/>
      <c r="D436" s="64"/>
      <c r="E436" s="64"/>
      <c r="G436" s="64"/>
      <c r="H436" s="64"/>
      <c r="J436" s="64"/>
      <c r="K436" s="64"/>
    </row>
    <row r="437" spans="1:11">
      <c r="A437" s="64"/>
      <c r="B437" s="64"/>
      <c r="D437" s="64"/>
      <c r="E437" s="64"/>
      <c r="G437" s="64"/>
      <c r="H437" s="64"/>
      <c r="J437" s="64"/>
      <c r="K437" s="64"/>
    </row>
    <row r="438" spans="1:11">
      <c r="A438" s="64"/>
      <c r="B438" s="64"/>
      <c r="D438" s="64"/>
      <c r="E438" s="64"/>
      <c r="G438" s="64"/>
      <c r="H438" s="64"/>
      <c r="J438" s="64"/>
      <c r="K438" s="64"/>
    </row>
    <row r="439" spans="1:11">
      <c r="A439" s="64"/>
      <c r="B439" s="64"/>
      <c r="D439" s="64"/>
      <c r="E439" s="64"/>
      <c r="G439" s="64"/>
      <c r="H439" s="64"/>
      <c r="J439" s="64"/>
      <c r="K439" s="64"/>
    </row>
    <row r="440" spans="1:11">
      <c r="A440" s="64"/>
      <c r="B440" s="64"/>
      <c r="D440" s="64"/>
      <c r="E440" s="64"/>
      <c r="G440" s="64"/>
      <c r="H440" s="64"/>
      <c r="J440" s="64"/>
      <c r="K440" s="64"/>
    </row>
    <row r="441" spans="1:11">
      <c r="A441" s="64"/>
      <c r="B441" s="64"/>
      <c r="D441" s="64"/>
      <c r="E441" s="64"/>
      <c r="G441" s="64"/>
      <c r="H441" s="64"/>
      <c r="J441" s="64"/>
      <c r="K441" s="64"/>
    </row>
    <row r="442" spans="1:11">
      <c r="A442" s="64"/>
      <c r="B442" s="64"/>
      <c r="D442" s="64"/>
      <c r="E442" s="64"/>
      <c r="G442" s="64"/>
      <c r="H442" s="64"/>
      <c r="J442" s="64"/>
      <c r="K442" s="64"/>
    </row>
    <row r="443" spans="1:11">
      <c r="A443" s="64"/>
      <c r="B443" s="64"/>
      <c r="D443" s="64"/>
      <c r="E443" s="64"/>
      <c r="G443" s="64"/>
      <c r="H443" s="64"/>
      <c r="J443" s="64"/>
      <c r="K443" s="64"/>
    </row>
    <row r="444" spans="1:11">
      <c r="A444" s="64"/>
      <c r="B444" s="64"/>
      <c r="D444" s="64"/>
      <c r="E444" s="64"/>
      <c r="G444" s="64"/>
      <c r="H444" s="64"/>
      <c r="J444" s="64"/>
      <c r="K444" s="64"/>
    </row>
    <row r="445" spans="1:11">
      <c r="A445" s="64"/>
      <c r="B445" s="64"/>
      <c r="D445" s="64"/>
      <c r="E445" s="64"/>
      <c r="G445" s="64"/>
      <c r="H445" s="64"/>
      <c r="J445" s="64"/>
      <c r="K445" s="64"/>
    </row>
    <row r="446" spans="1:11">
      <c r="A446" s="64"/>
      <c r="B446" s="64"/>
      <c r="D446" s="64"/>
      <c r="E446" s="64"/>
      <c r="G446" s="64"/>
      <c r="H446" s="64"/>
      <c r="J446" s="64"/>
      <c r="K446" s="64"/>
    </row>
    <row r="447" spans="1:11">
      <c r="A447" s="64"/>
      <c r="B447" s="64"/>
      <c r="D447" s="64"/>
      <c r="E447" s="64"/>
      <c r="G447" s="64"/>
      <c r="H447" s="64"/>
      <c r="J447" s="64"/>
      <c r="K447" s="64"/>
    </row>
    <row r="448" spans="1:11">
      <c r="A448" s="64"/>
      <c r="B448" s="64"/>
      <c r="D448" s="64"/>
      <c r="E448" s="64"/>
      <c r="G448" s="64"/>
      <c r="H448" s="64"/>
      <c r="J448" s="64"/>
      <c r="K448" s="64"/>
    </row>
    <row r="449" spans="1:11">
      <c r="A449" s="64"/>
      <c r="B449" s="64"/>
      <c r="D449" s="64"/>
      <c r="E449" s="64"/>
      <c r="G449" s="64"/>
      <c r="H449" s="64"/>
      <c r="J449" s="64"/>
      <c r="K449" s="64"/>
    </row>
    <row r="450" spans="1:11">
      <c r="A450" s="64"/>
      <c r="B450" s="64"/>
      <c r="D450" s="64"/>
      <c r="E450" s="64"/>
      <c r="G450" s="64"/>
      <c r="H450" s="64"/>
      <c r="J450" s="64"/>
      <c r="K450" s="64"/>
    </row>
    <row r="451" spans="1:11">
      <c r="A451" s="64"/>
      <c r="B451" s="64"/>
      <c r="D451" s="64"/>
      <c r="E451" s="64"/>
      <c r="G451" s="64"/>
      <c r="H451" s="64"/>
      <c r="J451" s="64"/>
      <c r="K451" s="64"/>
    </row>
    <row r="452" spans="1:11">
      <c r="A452" s="64"/>
      <c r="B452" s="64"/>
      <c r="D452" s="64"/>
      <c r="E452" s="64"/>
      <c r="G452" s="64"/>
      <c r="H452" s="64"/>
      <c r="J452" s="64"/>
      <c r="K452" s="64"/>
    </row>
    <row r="453" spans="1:11">
      <c r="A453" s="64"/>
      <c r="B453" s="64"/>
      <c r="D453" s="64"/>
      <c r="E453" s="64"/>
      <c r="G453" s="64"/>
      <c r="H453" s="64"/>
      <c r="J453" s="64"/>
      <c r="K453" s="64"/>
    </row>
    <row r="454" spans="1:11">
      <c r="A454" s="64"/>
      <c r="B454" s="64"/>
      <c r="D454" s="64"/>
      <c r="E454" s="64"/>
      <c r="G454" s="64"/>
      <c r="H454" s="64"/>
      <c r="J454" s="64"/>
      <c r="K454" s="64"/>
    </row>
    <row r="455" spans="1:11">
      <c r="A455" s="64"/>
      <c r="B455" s="64"/>
      <c r="D455" s="64"/>
      <c r="E455" s="64"/>
      <c r="G455" s="64"/>
      <c r="H455" s="64"/>
      <c r="J455" s="64"/>
      <c r="K455" s="64"/>
    </row>
    <row r="456" spans="1:11">
      <c r="A456" s="64"/>
      <c r="B456" s="64"/>
      <c r="D456" s="64"/>
      <c r="E456" s="64"/>
      <c r="G456" s="64"/>
      <c r="H456" s="64"/>
      <c r="J456" s="64"/>
      <c r="K456" s="64"/>
    </row>
    <row r="457" spans="1:11">
      <c r="A457" s="64"/>
      <c r="B457" s="64"/>
      <c r="D457" s="64"/>
      <c r="E457" s="64"/>
      <c r="G457" s="64"/>
      <c r="H457" s="64"/>
      <c r="J457" s="64"/>
      <c r="K457" s="64"/>
    </row>
    <row r="458" spans="1:11">
      <c r="A458" s="64"/>
      <c r="B458" s="64"/>
      <c r="D458" s="64"/>
      <c r="E458" s="64"/>
      <c r="G458" s="64"/>
      <c r="H458" s="64"/>
      <c r="J458" s="64"/>
      <c r="K458" s="64"/>
    </row>
    <row r="459" spans="1:11">
      <c r="A459" s="64"/>
      <c r="B459" s="64"/>
      <c r="D459" s="64"/>
      <c r="E459" s="64"/>
      <c r="G459" s="64"/>
      <c r="H459" s="64"/>
      <c r="J459" s="64"/>
      <c r="K459" s="64"/>
    </row>
    <row r="460" spans="1:11">
      <c r="A460" s="64"/>
      <c r="B460" s="64"/>
      <c r="D460" s="64"/>
      <c r="E460" s="64"/>
      <c r="G460" s="64"/>
      <c r="H460" s="64"/>
      <c r="J460" s="64"/>
      <c r="K460" s="64"/>
    </row>
    <row r="461" spans="1:11">
      <c r="A461" s="64"/>
      <c r="B461" s="64"/>
      <c r="D461" s="64"/>
      <c r="E461" s="64"/>
      <c r="G461" s="64"/>
      <c r="H461" s="64"/>
      <c r="J461" s="64"/>
      <c r="K461" s="64"/>
    </row>
    <row r="462" spans="1:11">
      <c r="A462" s="64"/>
      <c r="B462" s="64"/>
      <c r="D462" s="64"/>
      <c r="E462" s="64"/>
      <c r="G462" s="64"/>
      <c r="H462" s="64"/>
      <c r="J462" s="64"/>
      <c r="K462" s="64"/>
    </row>
    <row r="463" spans="1:11">
      <c r="A463" s="64"/>
      <c r="B463" s="64"/>
      <c r="D463" s="64"/>
      <c r="E463" s="64"/>
      <c r="G463" s="64"/>
      <c r="H463" s="64"/>
      <c r="J463" s="64"/>
      <c r="K463" s="64"/>
    </row>
    <row r="464" spans="1:11">
      <c r="A464" s="64"/>
      <c r="B464" s="64"/>
      <c r="D464" s="64"/>
      <c r="E464" s="64"/>
      <c r="G464" s="64"/>
      <c r="H464" s="64"/>
      <c r="J464" s="64"/>
      <c r="K464" s="64"/>
    </row>
    <row r="465" spans="1:11">
      <c r="A465" s="64"/>
      <c r="B465" s="64"/>
      <c r="D465" s="64"/>
      <c r="E465" s="64"/>
      <c r="G465" s="64"/>
      <c r="H465" s="64"/>
      <c r="J465" s="64"/>
      <c r="K465" s="64"/>
    </row>
    <row r="466" spans="1:11">
      <c r="A466" s="64"/>
      <c r="B466" s="64"/>
      <c r="D466" s="64"/>
      <c r="E466" s="64"/>
      <c r="G466" s="64"/>
      <c r="H466" s="64"/>
      <c r="J466" s="64"/>
      <c r="K466" s="64"/>
    </row>
    <row r="467" spans="1:11">
      <c r="A467" s="64"/>
      <c r="B467" s="64"/>
      <c r="D467" s="64"/>
      <c r="E467" s="64"/>
      <c r="G467" s="64"/>
      <c r="H467" s="64"/>
      <c r="J467" s="64"/>
      <c r="K467" s="64"/>
    </row>
    <row r="468" spans="1:11">
      <c r="A468" s="64"/>
      <c r="B468" s="64"/>
      <c r="D468" s="64"/>
      <c r="E468" s="64"/>
      <c r="G468" s="64"/>
      <c r="H468" s="64"/>
      <c r="J468" s="64"/>
      <c r="K468" s="64"/>
    </row>
    <row r="469" spans="1:11">
      <c r="A469" s="64"/>
      <c r="B469" s="64"/>
      <c r="D469" s="64"/>
      <c r="E469" s="64"/>
      <c r="G469" s="64"/>
      <c r="H469" s="64"/>
      <c r="J469" s="64"/>
      <c r="K469" s="64"/>
    </row>
    <row r="470" spans="1:11">
      <c r="A470" s="64"/>
      <c r="B470" s="64"/>
      <c r="D470" s="64"/>
      <c r="E470" s="64"/>
      <c r="G470" s="64"/>
      <c r="H470" s="64"/>
      <c r="J470" s="64"/>
      <c r="K470" s="64"/>
    </row>
    <row r="471" spans="1:11">
      <c r="A471" s="64"/>
      <c r="B471" s="64"/>
      <c r="D471" s="64"/>
      <c r="E471" s="64"/>
      <c r="G471" s="64"/>
      <c r="H471" s="64"/>
      <c r="J471" s="64"/>
      <c r="K471" s="64"/>
    </row>
    <row r="472" spans="1:11">
      <c r="A472" s="64"/>
      <c r="B472" s="64"/>
      <c r="D472" s="64"/>
      <c r="E472" s="64"/>
      <c r="G472" s="64"/>
      <c r="H472" s="64"/>
      <c r="J472" s="64"/>
      <c r="K472" s="64"/>
    </row>
    <row r="473" spans="1:11">
      <c r="A473" s="64"/>
      <c r="B473" s="64"/>
      <c r="D473" s="64"/>
      <c r="E473" s="64"/>
      <c r="G473" s="64"/>
      <c r="H473" s="64"/>
      <c r="J473" s="64"/>
      <c r="K473" s="64"/>
    </row>
    <row r="474" spans="1:11">
      <c r="A474" s="64"/>
      <c r="B474" s="64"/>
      <c r="D474" s="64"/>
      <c r="E474" s="64"/>
      <c r="G474" s="64"/>
      <c r="H474" s="64"/>
      <c r="J474" s="64"/>
      <c r="K474" s="64"/>
    </row>
    <row r="475" spans="1:11">
      <c r="A475" s="64"/>
      <c r="B475" s="64"/>
      <c r="D475" s="64"/>
      <c r="E475" s="64"/>
      <c r="G475" s="64"/>
      <c r="H475" s="64"/>
      <c r="J475" s="64"/>
      <c r="K475" s="64"/>
    </row>
    <row r="476" spans="1:11">
      <c r="A476" s="64"/>
      <c r="B476" s="64"/>
      <c r="D476" s="64"/>
      <c r="E476" s="64"/>
      <c r="G476" s="64"/>
      <c r="H476" s="64"/>
      <c r="J476" s="64"/>
      <c r="K476" s="64"/>
    </row>
    <row r="477" spans="1:11">
      <c r="A477" s="64"/>
      <c r="B477" s="64"/>
      <c r="D477" s="64"/>
      <c r="E477" s="64"/>
      <c r="G477" s="64"/>
      <c r="H477" s="64"/>
      <c r="J477" s="64"/>
      <c r="K477" s="64"/>
    </row>
    <row r="478" spans="1:11">
      <c r="A478" s="64"/>
      <c r="B478" s="64"/>
      <c r="D478" s="64"/>
      <c r="E478" s="64"/>
      <c r="G478" s="64"/>
      <c r="H478" s="64"/>
      <c r="J478" s="64"/>
      <c r="K478" s="64"/>
    </row>
    <row r="479" spans="1:11">
      <c r="A479" s="64"/>
      <c r="B479" s="64"/>
      <c r="D479" s="64"/>
      <c r="E479" s="64"/>
      <c r="G479" s="64"/>
      <c r="H479" s="64"/>
      <c r="J479" s="64"/>
      <c r="K479" s="64"/>
    </row>
    <row r="480" spans="1:11">
      <c r="A480" s="64"/>
      <c r="B480" s="64"/>
      <c r="D480" s="64"/>
      <c r="E480" s="64"/>
      <c r="G480" s="64"/>
      <c r="H480" s="64"/>
      <c r="J480" s="64"/>
      <c r="K480" s="64"/>
    </row>
    <row r="481" spans="1:11">
      <c r="A481" s="64"/>
      <c r="B481" s="64"/>
      <c r="D481" s="64"/>
      <c r="E481" s="64"/>
      <c r="G481" s="64"/>
      <c r="H481" s="64"/>
      <c r="J481" s="64"/>
      <c r="K481" s="64"/>
    </row>
    <row r="482" spans="1:11">
      <c r="A482" s="64"/>
      <c r="B482" s="64"/>
      <c r="D482" s="64"/>
      <c r="E482" s="64"/>
      <c r="G482" s="64"/>
      <c r="H482" s="64"/>
      <c r="J482" s="64"/>
      <c r="K482" s="64"/>
    </row>
    <row r="483" spans="1:11">
      <c r="A483" s="64"/>
      <c r="B483" s="64"/>
      <c r="D483" s="64"/>
      <c r="E483" s="64"/>
      <c r="G483" s="64"/>
      <c r="H483" s="64"/>
      <c r="J483" s="64"/>
      <c r="K483" s="64"/>
    </row>
    <row r="484" spans="1:11">
      <c r="A484" s="64"/>
      <c r="B484" s="64"/>
      <c r="D484" s="64"/>
      <c r="E484" s="64"/>
      <c r="G484" s="64"/>
      <c r="H484" s="64"/>
      <c r="J484" s="64"/>
      <c r="K484" s="64"/>
    </row>
    <row r="485" spans="1:11">
      <c r="A485" s="64"/>
      <c r="B485" s="64"/>
      <c r="D485" s="64"/>
      <c r="E485" s="64"/>
      <c r="G485" s="64"/>
      <c r="H485" s="64"/>
      <c r="J485" s="64"/>
      <c r="K485" s="64"/>
    </row>
    <row r="486" spans="1:11">
      <c r="A486" s="64"/>
      <c r="B486" s="64"/>
      <c r="D486" s="64"/>
      <c r="E486" s="64"/>
      <c r="G486" s="64"/>
      <c r="H486" s="64"/>
      <c r="J486" s="64"/>
      <c r="K486" s="64"/>
    </row>
    <row r="487" spans="1:11">
      <c r="A487" s="64"/>
      <c r="B487" s="64"/>
      <c r="D487" s="64"/>
      <c r="E487" s="64"/>
      <c r="G487" s="64"/>
      <c r="H487" s="64"/>
      <c r="J487" s="64"/>
      <c r="K487" s="64"/>
    </row>
    <row r="488" spans="1:11">
      <c r="A488" s="64"/>
      <c r="B488" s="64"/>
      <c r="D488" s="64"/>
      <c r="E488" s="64"/>
      <c r="G488" s="64"/>
      <c r="H488" s="64"/>
      <c r="J488" s="64"/>
      <c r="K488" s="64"/>
    </row>
    <row r="489" spans="1:11">
      <c r="A489" s="64"/>
      <c r="B489" s="64"/>
      <c r="D489" s="64"/>
      <c r="E489" s="64"/>
      <c r="G489" s="64"/>
      <c r="H489" s="64"/>
      <c r="J489" s="64"/>
      <c r="K489" s="64"/>
    </row>
    <row r="490" spans="1:11">
      <c r="A490" s="64"/>
      <c r="B490" s="64"/>
      <c r="D490" s="64"/>
      <c r="E490" s="64"/>
      <c r="G490" s="64"/>
      <c r="H490" s="64"/>
      <c r="J490" s="64"/>
      <c r="K490" s="64"/>
    </row>
    <row r="491" spans="1:11">
      <c r="A491" s="64"/>
      <c r="B491" s="64"/>
      <c r="D491" s="64"/>
      <c r="E491" s="64"/>
      <c r="G491" s="64"/>
      <c r="H491" s="64"/>
      <c r="J491" s="64"/>
      <c r="K491" s="64"/>
    </row>
    <row r="492" spans="1:11">
      <c r="A492" s="64"/>
      <c r="B492" s="64"/>
      <c r="D492" s="64"/>
      <c r="E492" s="64"/>
      <c r="G492" s="64"/>
      <c r="H492" s="64"/>
      <c r="J492" s="64"/>
      <c r="K492" s="64"/>
    </row>
    <row r="493" spans="1:11">
      <c r="A493" s="64"/>
      <c r="B493" s="64"/>
      <c r="D493" s="64"/>
      <c r="E493" s="64"/>
      <c r="G493" s="64"/>
      <c r="H493" s="64"/>
      <c r="J493" s="64"/>
      <c r="K493" s="64"/>
    </row>
    <row r="494" spans="1:11">
      <c r="A494" s="64"/>
      <c r="B494" s="64"/>
      <c r="D494" s="64"/>
      <c r="E494" s="64"/>
      <c r="G494" s="64"/>
      <c r="H494" s="64"/>
      <c r="J494" s="64"/>
      <c r="K494" s="64"/>
    </row>
    <row r="495" spans="1:11">
      <c r="A495" s="64"/>
      <c r="B495" s="64"/>
      <c r="D495" s="64"/>
      <c r="E495" s="64"/>
      <c r="G495" s="64"/>
      <c r="H495" s="64"/>
      <c r="J495" s="64"/>
      <c r="K495" s="64"/>
    </row>
    <row r="496" spans="1:11">
      <c r="A496" s="64"/>
      <c r="B496" s="64"/>
      <c r="D496" s="64"/>
      <c r="E496" s="64"/>
      <c r="G496" s="64"/>
      <c r="H496" s="64"/>
      <c r="J496" s="64"/>
      <c r="K496" s="64"/>
    </row>
    <row r="497" spans="1:11">
      <c r="A497" s="64"/>
      <c r="B497" s="64"/>
      <c r="D497" s="64"/>
      <c r="E497" s="64"/>
      <c r="G497" s="64"/>
      <c r="H497" s="64"/>
      <c r="J497" s="64"/>
      <c r="K497" s="64"/>
    </row>
    <row r="498" spans="1:11">
      <c r="A498" s="64"/>
      <c r="B498" s="64"/>
      <c r="D498" s="64"/>
      <c r="E498" s="64"/>
      <c r="G498" s="64"/>
      <c r="H498" s="64"/>
      <c r="J498" s="64"/>
      <c r="K498" s="64"/>
    </row>
    <row r="499" spans="1:11">
      <c r="A499" s="64"/>
      <c r="B499" s="64"/>
      <c r="D499" s="64"/>
      <c r="E499" s="64"/>
      <c r="G499" s="64"/>
      <c r="H499" s="64"/>
      <c r="J499" s="64"/>
      <c r="K499" s="64"/>
    </row>
    <row r="500" spans="1:11">
      <c r="A500" s="64"/>
      <c r="B500" s="64"/>
      <c r="D500" s="64"/>
      <c r="E500" s="64"/>
      <c r="G500" s="64"/>
      <c r="H500" s="64"/>
      <c r="J500" s="64"/>
      <c r="K500" s="64"/>
    </row>
    <row r="501" spans="1:11">
      <c r="A501" s="64"/>
      <c r="B501" s="64"/>
      <c r="D501" s="64"/>
      <c r="E501" s="64"/>
      <c r="G501" s="64"/>
      <c r="H501" s="64"/>
      <c r="J501" s="64"/>
      <c r="K501" s="64"/>
    </row>
    <row r="502" spans="1:11">
      <c r="A502" s="64"/>
      <c r="B502" s="64"/>
      <c r="D502" s="64"/>
      <c r="E502" s="64"/>
      <c r="G502" s="64"/>
      <c r="H502" s="64"/>
      <c r="J502" s="64"/>
      <c r="K502" s="64"/>
    </row>
    <row r="503" spans="1:11">
      <c r="A503" s="64"/>
      <c r="B503" s="64"/>
      <c r="D503" s="64"/>
      <c r="E503" s="64"/>
      <c r="G503" s="64"/>
      <c r="H503" s="64"/>
      <c r="J503" s="64"/>
      <c r="K503" s="64"/>
    </row>
    <row r="504" spans="1:11">
      <c r="A504" s="64"/>
      <c r="B504" s="64"/>
      <c r="D504" s="64"/>
      <c r="E504" s="64"/>
      <c r="G504" s="64"/>
      <c r="H504" s="64"/>
      <c r="J504" s="64"/>
      <c r="K504" s="64"/>
    </row>
    <row r="505" spans="1:11">
      <c r="A505" s="64"/>
      <c r="B505" s="64"/>
      <c r="D505" s="64"/>
      <c r="E505" s="64"/>
      <c r="G505" s="64"/>
      <c r="H505" s="64"/>
      <c r="J505" s="64"/>
      <c r="K505" s="64"/>
    </row>
    <row r="506" spans="1:11">
      <c r="A506" s="64"/>
      <c r="B506" s="64"/>
      <c r="D506" s="64"/>
      <c r="E506" s="64"/>
      <c r="G506" s="64"/>
      <c r="H506" s="64"/>
      <c r="J506" s="64"/>
      <c r="K506" s="64"/>
    </row>
    <row r="507" spans="1:11">
      <c r="A507" s="64"/>
      <c r="B507" s="64"/>
      <c r="D507" s="64"/>
      <c r="E507" s="64"/>
      <c r="G507" s="64"/>
      <c r="H507" s="64"/>
      <c r="J507" s="64"/>
      <c r="K507" s="64"/>
    </row>
    <row r="508" spans="1:11">
      <c r="A508" s="64"/>
      <c r="B508" s="64"/>
      <c r="D508" s="64"/>
      <c r="E508" s="64"/>
      <c r="G508" s="64"/>
      <c r="H508" s="64"/>
      <c r="J508" s="64"/>
      <c r="K508" s="64"/>
    </row>
    <row r="509" spans="1:11">
      <c r="A509" s="64"/>
      <c r="B509" s="64"/>
      <c r="D509" s="64"/>
      <c r="E509" s="64"/>
      <c r="G509" s="64"/>
      <c r="H509" s="64"/>
      <c r="J509" s="64"/>
      <c r="K509" s="64"/>
    </row>
    <row r="510" spans="1:11">
      <c r="A510" s="64"/>
      <c r="B510" s="64"/>
      <c r="D510" s="64"/>
      <c r="E510" s="64"/>
      <c r="G510" s="64"/>
      <c r="H510" s="64"/>
      <c r="J510" s="64"/>
      <c r="K510" s="64"/>
    </row>
    <row r="511" spans="1:11">
      <c r="A511" s="64"/>
      <c r="B511" s="64"/>
      <c r="D511" s="64"/>
      <c r="E511" s="64"/>
      <c r="G511" s="64"/>
      <c r="H511" s="64"/>
      <c r="J511" s="64"/>
      <c r="K511" s="64"/>
    </row>
    <row r="512" spans="1:11">
      <c r="A512" s="64"/>
      <c r="B512" s="64"/>
      <c r="D512" s="64"/>
      <c r="E512" s="64"/>
      <c r="G512" s="64"/>
      <c r="H512" s="64"/>
      <c r="J512" s="64"/>
      <c r="K512" s="64"/>
    </row>
    <row r="513" spans="1:11">
      <c r="A513" s="64"/>
      <c r="B513" s="64"/>
      <c r="D513" s="64"/>
      <c r="E513" s="64"/>
      <c r="G513" s="64"/>
      <c r="H513" s="64"/>
      <c r="J513" s="64"/>
      <c r="K513" s="64"/>
    </row>
    <row r="514" spans="1:11">
      <c r="A514" s="64"/>
      <c r="B514" s="64"/>
      <c r="D514" s="64"/>
      <c r="E514" s="64"/>
      <c r="G514" s="64"/>
      <c r="H514" s="64"/>
      <c r="J514" s="64"/>
      <c r="K514" s="64"/>
    </row>
    <row r="515" spans="1:11">
      <c r="A515" s="64"/>
      <c r="B515" s="64"/>
      <c r="D515" s="64"/>
      <c r="E515" s="64"/>
      <c r="G515" s="64"/>
      <c r="H515" s="64"/>
      <c r="J515" s="64"/>
      <c r="K515" s="64"/>
    </row>
    <row r="516" spans="1:11">
      <c r="A516" s="64"/>
      <c r="B516" s="64"/>
      <c r="D516" s="64"/>
      <c r="E516" s="64"/>
      <c r="G516" s="64"/>
      <c r="H516" s="64"/>
      <c r="J516" s="64"/>
      <c r="K516" s="64"/>
    </row>
    <row r="517" spans="1:11">
      <c r="A517" s="64"/>
      <c r="B517" s="64"/>
      <c r="D517" s="64"/>
      <c r="E517" s="64"/>
      <c r="G517" s="64"/>
      <c r="H517" s="64"/>
      <c r="J517" s="64"/>
      <c r="K517" s="64"/>
    </row>
    <row r="518" spans="1:11">
      <c r="A518" s="64"/>
      <c r="B518" s="64"/>
      <c r="D518" s="64"/>
      <c r="E518" s="64"/>
      <c r="G518" s="64"/>
      <c r="H518" s="64"/>
      <c r="J518" s="64"/>
      <c r="K518" s="64"/>
    </row>
    <row r="519" spans="1:11">
      <c r="A519" s="64"/>
      <c r="B519" s="64"/>
      <c r="D519" s="64"/>
      <c r="E519" s="64"/>
      <c r="G519" s="64"/>
      <c r="H519" s="64"/>
      <c r="J519" s="64"/>
      <c r="K519" s="64"/>
    </row>
    <row r="520" spans="1:11">
      <c r="A520" s="64"/>
      <c r="B520" s="64"/>
      <c r="D520" s="64"/>
      <c r="E520" s="64"/>
      <c r="G520" s="64"/>
      <c r="H520" s="64"/>
      <c r="J520" s="64"/>
      <c r="K520" s="64"/>
    </row>
    <row r="521" spans="1:11">
      <c r="A521" s="64"/>
      <c r="B521" s="64"/>
      <c r="D521" s="64"/>
      <c r="E521" s="64"/>
      <c r="G521" s="64"/>
      <c r="H521" s="64"/>
      <c r="J521" s="64"/>
      <c r="K521" s="64"/>
    </row>
    <row r="522" spans="1:11">
      <c r="A522" s="64"/>
      <c r="B522" s="64"/>
      <c r="D522" s="64"/>
      <c r="E522" s="64"/>
      <c r="G522" s="64"/>
      <c r="H522" s="64"/>
      <c r="J522" s="64"/>
      <c r="K522" s="64"/>
    </row>
    <row r="523" spans="1:11">
      <c r="A523" s="64"/>
      <c r="B523" s="64"/>
      <c r="D523" s="64"/>
      <c r="E523" s="64"/>
      <c r="G523" s="64"/>
      <c r="H523" s="64"/>
      <c r="J523" s="64"/>
      <c r="K523" s="64"/>
    </row>
    <row r="524" spans="1:11">
      <c r="A524" s="64"/>
      <c r="B524" s="64"/>
      <c r="D524" s="64"/>
      <c r="E524" s="64"/>
      <c r="G524" s="64"/>
      <c r="H524" s="64"/>
      <c r="J524" s="64"/>
      <c r="K524" s="64"/>
    </row>
    <row r="525" spans="1:11">
      <c r="A525" s="64"/>
      <c r="B525" s="64"/>
      <c r="D525" s="64"/>
      <c r="E525" s="64"/>
      <c r="G525" s="64"/>
      <c r="H525" s="64"/>
      <c r="J525" s="64"/>
      <c r="K525" s="64"/>
    </row>
    <row r="526" spans="1:11">
      <c r="A526" s="64"/>
      <c r="B526" s="64"/>
      <c r="D526" s="64"/>
      <c r="E526" s="64"/>
      <c r="G526" s="64"/>
      <c r="H526" s="64"/>
      <c r="J526" s="64"/>
      <c r="K526" s="64"/>
    </row>
    <row r="527" spans="1:11">
      <c r="A527" s="64"/>
      <c r="B527" s="64"/>
      <c r="D527" s="64"/>
      <c r="E527" s="64"/>
      <c r="G527" s="64"/>
      <c r="H527" s="64"/>
      <c r="J527" s="64"/>
      <c r="K527" s="64"/>
    </row>
    <row r="528" spans="1:11">
      <c r="A528" s="64"/>
      <c r="B528" s="64"/>
      <c r="D528" s="64"/>
      <c r="E528" s="64"/>
      <c r="G528" s="64"/>
      <c r="H528" s="64"/>
      <c r="J528" s="64"/>
      <c r="K528" s="64"/>
    </row>
    <row r="529" spans="1:11">
      <c r="A529" s="64"/>
      <c r="B529" s="64"/>
      <c r="D529" s="64"/>
      <c r="E529" s="64"/>
      <c r="G529" s="64"/>
      <c r="H529" s="64"/>
      <c r="J529" s="64"/>
      <c r="K529" s="64"/>
    </row>
    <row r="530" spans="1:11">
      <c r="A530" s="64"/>
      <c r="B530" s="64"/>
      <c r="D530" s="64"/>
      <c r="E530" s="64"/>
      <c r="G530" s="64"/>
      <c r="H530" s="64"/>
      <c r="J530" s="64"/>
      <c r="K530" s="64"/>
    </row>
    <row r="531" spans="1:11">
      <c r="A531" s="64"/>
      <c r="B531" s="64"/>
      <c r="D531" s="64"/>
      <c r="E531" s="64"/>
      <c r="G531" s="64"/>
      <c r="H531" s="64"/>
      <c r="J531" s="64"/>
      <c r="K531" s="64"/>
    </row>
    <row r="532" spans="1:11">
      <c r="A532" s="64"/>
      <c r="B532" s="64"/>
      <c r="D532" s="64"/>
      <c r="E532" s="64"/>
      <c r="G532" s="64"/>
      <c r="H532" s="64"/>
      <c r="J532" s="64"/>
      <c r="K532" s="64"/>
    </row>
    <row r="533" spans="1:11">
      <c r="A533" s="64"/>
      <c r="B533" s="64"/>
      <c r="D533" s="64"/>
      <c r="E533" s="64"/>
      <c r="G533" s="64"/>
      <c r="H533" s="64"/>
      <c r="J533" s="64"/>
      <c r="K533" s="64"/>
    </row>
    <row r="534" spans="1:11">
      <c r="A534" s="64"/>
      <c r="B534" s="64"/>
      <c r="D534" s="64"/>
      <c r="E534" s="64"/>
      <c r="G534" s="64"/>
      <c r="H534" s="64"/>
      <c r="J534" s="64"/>
      <c r="K534" s="64"/>
    </row>
    <row r="535" spans="1:11">
      <c r="A535" s="64"/>
      <c r="B535" s="64"/>
      <c r="D535" s="64"/>
      <c r="E535" s="64"/>
      <c r="G535" s="64"/>
      <c r="H535" s="64"/>
      <c r="J535" s="64"/>
      <c r="K535" s="64"/>
    </row>
    <row r="536" spans="1:11">
      <c r="A536" s="64"/>
      <c r="B536" s="64"/>
      <c r="D536" s="64"/>
      <c r="E536" s="64"/>
      <c r="G536" s="64"/>
      <c r="H536" s="64"/>
      <c r="J536" s="64"/>
      <c r="K536" s="64"/>
    </row>
    <row r="537" spans="1:11">
      <c r="A537" s="64"/>
      <c r="B537" s="64"/>
      <c r="D537" s="64"/>
      <c r="E537" s="64"/>
      <c r="G537" s="64"/>
      <c r="H537" s="64"/>
      <c r="J537" s="64"/>
      <c r="K537" s="64"/>
    </row>
    <row r="538" spans="1:11">
      <c r="A538" s="64"/>
      <c r="B538" s="64"/>
      <c r="D538" s="64"/>
      <c r="E538" s="64"/>
      <c r="G538" s="64"/>
      <c r="H538" s="64"/>
      <c r="J538" s="64"/>
      <c r="K538" s="64"/>
    </row>
    <row r="539" spans="1:11">
      <c r="A539" s="64"/>
      <c r="B539" s="64"/>
      <c r="D539" s="64"/>
      <c r="E539" s="64"/>
      <c r="G539" s="64"/>
      <c r="H539" s="64"/>
      <c r="J539" s="64"/>
      <c r="K539" s="64"/>
    </row>
    <row r="540" spans="1:11">
      <c r="A540" s="64"/>
      <c r="B540" s="64"/>
      <c r="D540" s="64"/>
      <c r="E540" s="64"/>
      <c r="G540" s="64"/>
      <c r="H540" s="64"/>
      <c r="J540" s="64"/>
      <c r="K540" s="64"/>
    </row>
    <row r="541" spans="1:11">
      <c r="A541" s="64"/>
      <c r="B541" s="64"/>
      <c r="D541" s="64"/>
      <c r="E541" s="64"/>
      <c r="G541" s="64"/>
      <c r="H541" s="64"/>
      <c r="J541" s="64"/>
      <c r="K541" s="64"/>
    </row>
    <row r="542" spans="1:11">
      <c r="A542" s="64"/>
      <c r="B542" s="64"/>
      <c r="D542" s="64"/>
      <c r="E542" s="64"/>
      <c r="G542" s="64"/>
      <c r="H542" s="64"/>
      <c r="J542" s="64"/>
      <c r="K542" s="64"/>
    </row>
    <row r="543" spans="1:11">
      <c r="A543" s="64"/>
      <c r="B543" s="64"/>
      <c r="D543" s="64"/>
      <c r="E543" s="64"/>
      <c r="G543" s="64"/>
      <c r="H543" s="64"/>
      <c r="J543" s="64"/>
      <c r="K543" s="64"/>
    </row>
    <row r="544" spans="1:11">
      <c r="A544" s="64"/>
      <c r="B544" s="64"/>
      <c r="D544" s="64"/>
      <c r="E544" s="64"/>
      <c r="G544" s="64"/>
      <c r="H544" s="64"/>
      <c r="J544" s="64"/>
      <c r="K544" s="64"/>
    </row>
    <row r="545" spans="1:11">
      <c r="A545" s="64"/>
      <c r="B545" s="64"/>
      <c r="D545" s="64"/>
      <c r="E545" s="64"/>
      <c r="G545" s="64"/>
      <c r="H545" s="64"/>
      <c r="J545" s="64"/>
      <c r="K545" s="64"/>
    </row>
    <row r="546" spans="1:11">
      <c r="A546" s="64"/>
      <c r="B546" s="64"/>
      <c r="D546" s="64"/>
      <c r="E546" s="64"/>
      <c r="G546" s="64"/>
      <c r="H546" s="64"/>
      <c r="J546" s="64"/>
      <c r="K546" s="64"/>
    </row>
    <row r="547" spans="1:11">
      <c r="A547" s="64"/>
      <c r="B547" s="64"/>
      <c r="D547" s="64"/>
      <c r="E547" s="64"/>
      <c r="G547" s="64"/>
      <c r="H547" s="64"/>
      <c r="J547" s="64"/>
      <c r="K547" s="64"/>
    </row>
    <row r="548" spans="1:11">
      <c r="A548" s="64"/>
      <c r="B548" s="64"/>
      <c r="D548" s="64"/>
      <c r="E548" s="64"/>
      <c r="G548" s="64"/>
      <c r="H548" s="64"/>
      <c r="J548" s="64"/>
      <c r="K548" s="64"/>
    </row>
    <row r="549" spans="1:11">
      <c r="A549" s="64"/>
      <c r="B549" s="64"/>
      <c r="D549" s="64"/>
      <c r="E549" s="64"/>
      <c r="G549" s="64"/>
      <c r="H549" s="64"/>
      <c r="J549" s="64"/>
      <c r="K549" s="64"/>
    </row>
    <row r="550" spans="1:11">
      <c r="A550" s="64"/>
      <c r="B550" s="64"/>
      <c r="D550" s="64"/>
      <c r="E550" s="64"/>
      <c r="G550" s="64"/>
      <c r="H550" s="64"/>
      <c r="J550" s="64"/>
      <c r="K550" s="64"/>
    </row>
    <row r="551" spans="1:11">
      <c r="A551" s="64"/>
      <c r="B551" s="64"/>
      <c r="D551" s="64"/>
      <c r="E551" s="64"/>
      <c r="G551" s="64"/>
      <c r="H551" s="64"/>
      <c r="J551" s="64"/>
      <c r="K551" s="64"/>
    </row>
    <row r="552" spans="1:11">
      <c r="A552" s="64"/>
      <c r="B552" s="64"/>
      <c r="D552" s="64"/>
      <c r="E552" s="64"/>
      <c r="G552" s="64"/>
      <c r="H552" s="64"/>
      <c r="J552" s="64"/>
      <c r="K552" s="64"/>
    </row>
    <row r="553" spans="1:11">
      <c r="A553" s="64"/>
      <c r="B553" s="64"/>
      <c r="D553" s="64"/>
      <c r="E553" s="64"/>
      <c r="G553" s="64"/>
      <c r="H553" s="64"/>
      <c r="J553" s="64"/>
      <c r="K553" s="64"/>
    </row>
    <row r="554" spans="1:11">
      <c r="A554" s="64"/>
      <c r="B554" s="64"/>
      <c r="D554" s="64"/>
      <c r="E554" s="64"/>
      <c r="G554" s="64"/>
      <c r="H554" s="64"/>
      <c r="J554" s="64"/>
      <c r="K554" s="64"/>
    </row>
    <row r="555" spans="1:11">
      <c r="A555" s="64"/>
      <c r="B555" s="64"/>
      <c r="D555" s="64"/>
      <c r="E555" s="64"/>
      <c r="G555" s="64"/>
      <c r="H555" s="64"/>
      <c r="J555" s="64"/>
      <c r="K555" s="64"/>
    </row>
    <row r="556" spans="1:11">
      <c r="A556" s="64"/>
      <c r="B556" s="64"/>
      <c r="D556" s="64"/>
      <c r="E556" s="64"/>
      <c r="G556" s="64"/>
      <c r="H556" s="64"/>
      <c r="J556" s="64"/>
      <c r="K556" s="64"/>
    </row>
    <row r="557" spans="1:11">
      <c r="A557" s="64"/>
      <c r="B557" s="64"/>
      <c r="D557" s="64"/>
      <c r="E557" s="64"/>
      <c r="G557" s="64"/>
      <c r="H557" s="64"/>
      <c r="J557" s="64"/>
      <c r="K557" s="64"/>
    </row>
    <row r="558" spans="1:11">
      <c r="A558" s="64"/>
      <c r="B558" s="64"/>
      <c r="D558" s="64"/>
      <c r="E558" s="64"/>
      <c r="G558" s="64"/>
      <c r="H558" s="64"/>
      <c r="J558" s="64"/>
      <c r="K558" s="64"/>
    </row>
    <row r="559" spans="1:11">
      <c r="A559" s="64"/>
      <c r="B559" s="64"/>
      <c r="D559" s="64"/>
      <c r="E559" s="64"/>
      <c r="G559" s="64"/>
      <c r="H559" s="64"/>
      <c r="J559" s="64"/>
      <c r="K559" s="64"/>
    </row>
    <row r="560" spans="1:11">
      <c r="A560" s="64"/>
      <c r="B560" s="64"/>
      <c r="D560" s="64"/>
      <c r="E560" s="64"/>
      <c r="G560" s="64"/>
      <c r="H560" s="64"/>
      <c r="J560" s="64"/>
      <c r="K560" s="64"/>
    </row>
    <row r="561" spans="1:11">
      <c r="A561" s="64"/>
      <c r="B561" s="64"/>
      <c r="D561" s="64"/>
      <c r="E561" s="64"/>
      <c r="G561" s="64"/>
      <c r="H561" s="64"/>
      <c r="J561" s="64"/>
      <c r="K561" s="64"/>
    </row>
    <row r="562" spans="1:11">
      <c r="A562" s="64"/>
      <c r="B562" s="64"/>
      <c r="D562" s="64"/>
      <c r="E562" s="64"/>
      <c r="G562" s="64"/>
      <c r="H562" s="64"/>
      <c r="J562" s="64"/>
      <c r="K562" s="64"/>
    </row>
    <row r="563" spans="1:11">
      <c r="A563" s="64"/>
      <c r="B563" s="64"/>
      <c r="D563" s="64"/>
      <c r="E563" s="64"/>
      <c r="G563" s="64"/>
      <c r="H563" s="64"/>
      <c r="J563" s="64"/>
      <c r="K563" s="64"/>
    </row>
    <row r="564" spans="1:11">
      <c r="A564" s="64"/>
      <c r="B564" s="64"/>
      <c r="D564" s="64"/>
      <c r="E564" s="64"/>
      <c r="G564" s="64"/>
      <c r="H564" s="64"/>
      <c r="J564" s="64"/>
      <c r="K564" s="64"/>
    </row>
    <row r="565" spans="1:11">
      <c r="A565" s="64"/>
      <c r="B565" s="64"/>
      <c r="D565" s="64"/>
      <c r="E565" s="64"/>
      <c r="G565" s="64"/>
      <c r="H565" s="64"/>
      <c r="J565" s="64"/>
      <c r="K565" s="64"/>
    </row>
    <row r="566" spans="1:11">
      <c r="A566" s="64"/>
      <c r="B566" s="64"/>
      <c r="D566" s="64"/>
      <c r="E566" s="64"/>
      <c r="G566" s="64"/>
      <c r="H566" s="64"/>
      <c r="J566" s="64"/>
      <c r="K566" s="64"/>
    </row>
    <row r="567" spans="1:11">
      <c r="A567" s="64"/>
      <c r="B567" s="64"/>
      <c r="D567" s="64"/>
      <c r="E567" s="64"/>
      <c r="G567" s="64"/>
      <c r="H567" s="64"/>
      <c r="J567" s="64"/>
      <c r="K567" s="64"/>
    </row>
    <row r="568" spans="1:11">
      <c r="A568" s="64"/>
      <c r="B568" s="64"/>
      <c r="D568" s="64"/>
      <c r="E568" s="64"/>
      <c r="G568" s="64"/>
      <c r="H568" s="64"/>
      <c r="J568" s="64"/>
      <c r="K568" s="64"/>
    </row>
    <row r="569" spans="1:11">
      <c r="A569" s="64"/>
      <c r="B569" s="64"/>
      <c r="D569" s="64"/>
      <c r="E569" s="64"/>
      <c r="G569" s="64"/>
      <c r="H569" s="64"/>
      <c r="J569" s="64"/>
      <c r="K569" s="64"/>
    </row>
    <row r="570" spans="1:11">
      <c r="A570" s="64"/>
      <c r="B570" s="64"/>
      <c r="D570" s="64"/>
      <c r="E570" s="64"/>
      <c r="G570" s="64"/>
      <c r="H570" s="64"/>
      <c r="J570" s="64"/>
      <c r="K570" s="64"/>
    </row>
    <row r="571" spans="1:11">
      <c r="A571" s="64"/>
      <c r="B571" s="64"/>
      <c r="D571" s="64"/>
      <c r="E571" s="64"/>
      <c r="G571" s="64"/>
      <c r="H571" s="64"/>
      <c r="J571" s="64"/>
      <c r="K571" s="64"/>
    </row>
    <row r="572" spans="1:11">
      <c r="A572" s="64"/>
      <c r="B572" s="64"/>
      <c r="D572" s="64"/>
      <c r="E572" s="64"/>
      <c r="G572" s="64"/>
      <c r="H572" s="64"/>
      <c r="J572" s="64"/>
      <c r="K572" s="64"/>
    </row>
    <row r="573" spans="1:11">
      <c r="A573" s="64"/>
      <c r="B573" s="64"/>
      <c r="D573" s="64"/>
      <c r="E573" s="64"/>
      <c r="G573" s="64"/>
      <c r="H573" s="64"/>
      <c r="J573" s="64"/>
      <c r="K573" s="64"/>
    </row>
    <row r="574" spans="1:11">
      <c r="A574" s="64"/>
      <c r="B574" s="64"/>
      <c r="D574" s="64"/>
      <c r="E574" s="64"/>
      <c r="G574" s="64"/>
      <c r="H574" s="64"/>
      <c r="J574" s="64"/>
      <c r="K574" s="64"/>
    </row>
    <row r="575" spans="1:11">
      <c r="A575" s="64"/>
      <c r="B575" s="64"/>
      <c r="D575" s="64"/>
      <c r="E575" s="64"/>
      <c r="G575" s="64"/>
      <c r="H575" s="64"/>
      <c r="J575" s="64"/>
      <c r="K575" s="64"/>
    </row>
    <row r="576" spans="1:11">
      <c r="A576" s="64"/>
      <c r="B576" s="64"/>
      <c r="D576" s="64"/>
      <c r="E576" s="64"/>
      <c r="G576" s="64"/>
      <c r="H576" s="64"/>
      <c r="J576" s="64"/>
      <c r="K576" s="64"/>
    </row>
    <row r="577" spans="1:11">
      <c r="A577" s="64"/>
      <c r="B577" s="64"/>
      <c r="D577" s="64"/>
      <c r="E577" s="64"/>
      <c r="G577" s="64"/>
      <c r="H577" s="64"/>
      <c r="J577" s="64"/>
      <c r="K577" s="64"/>
    </row>
    <row r="578" spans="1:11">
      <c r="A578" s="64"/>
      <c r="B578" s="64"/>
      <c r="D578" s="64"/>
      <c r="E578" s="64"/>
      <c r="G578" s="64"/>
      <c r="H578" s="64"/>
      <c r="J578" s="64"/>
      <c r="K578" s="64"/>
    </row>
    <row r="579" spans="1:11">
      <c r="A579" s="64"/>
      <c r="B579" s="64"/>
      <c r="D579" s="64"/>
      <c r="E579" s="64"/>
      <c r="G579" s="64"/>
      <c r="H579" s="64"/>
      <c r="J579" s="64"/>
      <c r="K579" s="64"/>
    </row>
    <row r="580" spans="1:11">
      <c r="A580" s="64"/>
      <c r="B580" s="64"/>
      <c r="D580" s="64"/>
      <c r="E580" s="64"/>
      <c r="G580" s="64"/>
      <c r="H580" s="64"/>
      <c r="J580" s="64"/>
      <c r="K580" s="64"/>
    </row>
    <row r="581" spans="1:11">
      <c r="A581" s="64"/>
      <c r="B581" s="64"/>
      <c r="D581" s="64"/>
      <c r="E581" s="64"/>
      <c r="G581" s="64"/>
      <c r="H581" s="64"/>
      <c r="J581" s="64"/>
      <c r="K581" s="64"/>
    </row>
    <row r="582" spans="1:11">
      <c r="A582" s="64"/>
      <c r="B582" s="64"/>
      <c r="D582" s="64"/>
      <c r="E582" s="64"/>
      <c r="G582" s="64"/>
      <c r="H582" s="64"/>
      <c r="J582" s="64"/>
      <c r="K582" s="64"/>
    </row>
    <row r="583" spans="1:11">
      <c r="A583" s="64"/>
      <c r="B583" s="64"/>
      <c r="D583" s="64"/>
      <c r="E583" s="64"/>
      <c r="G583" s="64"/>
      <c r="H583" s="64"/>
      <c r="J583" s="64"/>
      <c r="K583" s="64"/>
    </row>
    <row r="584" spans="1:11">
      <c r="A584" s="64"/>
      <c r="B584" s="64"/>
      <c r="D584" s="64"/>
      <c r="E584" s="64"/>
      <c r="G584" s="64"/>
      <c r="H584" s="64"/>
      <c r="J584" s="64"/>
      <c r="K584" s="64"/>
    </row>
    <row r="585" spans="1:11">
      <c r="A585" s="64"/>
      <c r="B585" s="64"/>
      <c r="D585" s="64"/>
      <c r="E585" s="64"/>
      <c r="G585" s="64"/>
      <c r="H585" s="64"/>
      <c r="J585" s="64"/>
      <c r="K585" s="64"/>
    </row>
    <row r="586" spans="1:11">
      <c r="A586" s="64"/>
      <c r="B586" s="64"/>
      <c r="D586" s="64"/>
      <c r="E586" s="64"/>
      <c r="G586" s="64"/>
      <c r="H586" s="64"/>
      <c r="J586" s="64"/>
      <c r="K586" s="64"/>
    </row>
    <row r="587" spans="1:11">
      <c r="A587" s="64"/>
      <c r="B587" s="64"/>
      <c r="D587" s="64"/>
      <c r="E587" s="64"/>
      <c r="G587" s="64"/>
      <c r="H587" s="64"/>
      <c r="J587" s="64"/>
      <c r="K587" s="64"/>
    </row>
    <row r="588" spans="1:11">
      <c r="A588" s="64"/>
      <c r="B588" s="64"/>
      <c r="D588" s="64"/>
      <c r="E588" s="64"/>
      <c r="G588" s="64"/>
      <c r="H588" s="64"/>
      <c r="J588" s="64"/>
      <c r="K588" s="64"/>
    </row>
    <row r="589" spans="1:11">
      <c r="A589" s="64"/>
      <c r="B589" s="64"/>
      <c r="D589" s="64"/>
      <c r="E589" s="64"/>
      <c r="G589" s="64"/>
      <c r="H589" s="64"/>
      <c r="J589" s="64"/>
      <c r="K589" s="64"/>
    </row>
    <row r="590" spans="1:11">
      <c r="A590" s="64"/>
      <c r="B590" s="64"/>
      <c r="D590" s="64"/>
      <c r="E590" s="64"/>
      <c r="G590" s="64"/>
      <c r="H590" s="64"/>
      <c r="J590" s="64"/>
      <c r="K590" s="64"/>
    </row>
    <row r="591" spans="1:11">
      <c r="A591" s="64"/>
      <c r="B591" s="64"/>
      <c r="D591" s="64"/>
      <c r="E591" s="64"/>
      <c r="G591" s="64"/>
      <c r="H591" s="64"/>
      <c r="J591" s="64"/>
      <c r="K591" s="64"/>
    </row>
    <row r="592" spans="1:11">
      <c r="A592" s="64"/>
      <c r="B592" s="64"/>
      <c r="D592" s="64"/>
      <c r="E592" s="64"/>
      <c r="G592" s="64"/>
      <c r="H592" s="64"/>
      <c r="J592" s="64"/>
      <c r="K592" s="64"/>
    </row>
    <row r="593" spans="1:11">
      <c r="A593" s="64"/>
      <c r="B593" s="64"/>
      <c r="D593" s="64"/>
      <c r="E593" s="64"/>
      <c r="G593" s="64"/>
      <c r="H593" s="64"/>
      <c r="J593" s="64"/>
      <c r="K593" s="64"/>
    </row>
    <row r="594" spans="1:11">
      <c r="A594" s="64"/>
      <c r="B594" s="64"/>
      <c r="D594" s="64"/>
      <c r="E594" s="64"/>
      <c r="G594" s="64"/>
      <c r="H594" s="64"/>
      <c r="J594" s="64"/>
      <c r="K594" s="64"/>
    </row>
    <row r="595" spans="1:11">
      <c r="A595" s="64"/>
      <c r="B595" s="64"/>
      <c r="D595" s="64"/>
      <c r="E595" s="64"/>
      <c r="G595" s="64"/>
      <c r="H595" s="64"/>
      <c r="J595" s="64"/>
      <c r="K595" s="64"/>
    </row>
    <row r="596" spans="1:11">
      <c r="A596" s="64"/>
      <c r="B596" s="64"/>
      <c r="D596" s="64"/>
      <c r="E596" s="64"/>
      <c r="G596" s="64"/>
      <c r="H596" s="64"/>
      <c r="J596" s="64"/>
      <c r="K596" s="64"/>
    </row>
    <row r="597" spans="1:11">
      <c r="A597" s="64"/>
      <c r="B597" s="64"/>
      <c r="D597" s="64"/>
      <c r="E597" s="64"/>
      <c r="G597" s="64"/>
      <c r="H597" s="64"/>
      <c r="J597" s="64"/>
      <c r="K597" s="64"/>
    </row>
    <row r="598" spans="1:11">
      <c r="A598" s="64"/>
      <c r="B598" s="64"/>
      <c r="D598" s="64"/>
      <c r="E598" s="64"/>
      <c r="G598" s="64"/>
      <c r="H598" s="64"/>
      <c r="J598" s="64"/>
      <c r="K598" s="64"/>
    </row>
    <row r="599" spans="1:11">
      <c r="A599" s="64"/>
      <c r="B599" s="64"/>
      <c r="D599" s="64"/>
      <c r="E599" s="64"/>
      <c r="G599" s="64"/>
      <c r="H599" s="64"/>
      <c r="J599" s="64"/>
      <c r="K599" s="64"/>
    </row>
    <row r="600" spans="1:11">
      <c r="A600" s="64"/>
      <c r="B600" s="64"/>
      <c r="D600" s="64"/>
      <c r="E600" s="64"/>
      <c r="G600" s="64"/>
      <c r="H600" s="64"/>
      <c r="J600" s="64"/>
      <c r="K600" s="64"/>
    </row>
    <row r="601" spans="1:11">
      <c r="A601" s="64"/>
      <c r="B601" s="64"/>
      <c r="D601" s="64"/>
      <c r="E601" s="64"/>
      <c r="G601" s="64"/>
      <c r="H601" s="64"/>
      <c r="J601" s="64"/>
      <c r="K601" s="64"/>
    </row>
    <row r="602" spans="1:11">
      <c r="A602" s="64"/>
      <c r="B602" s="64"/>
      <c r="D602" s="64"/>
      <c r="E602" s="64"/>
      <c r="G602" s="64"/>
      <c r="H602" s="64"/>
      <c r="J602" s="64"/>
      <c r="K602" s="64"/>
    </row>
    <row r="603" spans="1:11">
      <c r="A603" s="64"/>
      <c r="B603" s="64"/>
      <c r="D603" s="64"/>
      <c r="E603" s="64"/>
      <c r="G603" s="64"/>
      <c r="H603" s="64"/>
      <c r="J603" s="64"/>
      <c r="K603" s="64"/>
    </row>
    <row r="604" spans="1:11">
      <c r="A604" s="64"/>
      <c r="B604" s="64"/>
      <c r="D604" s="64"/>
      <c r="E604" s="64"/>
      <c r="G604" s="64"/>
      <c r="H604" s="64"/>
      <c r="J604" s="64"/>
      <c r="K604" s="64"/>
    </row>
    <row r="605" spans="1:11">
      <c r="A605" s="64"/>
      <c r="B605" s="64"/>
      <c r="D605" s="64"/>
      <c r="E605" s="64"/>
      <c r="G605" s="64"/>
      <c r="H605" s="64"/>
      <c r="J605" s="64"/>
      <c r="K605" s="64"/>
    </row>
    <row r="606" spans="1:11">
      <c r="A606" s="64"/>
      <c r="B606" s="64"/>
      <c r="D606" s="64"/>
      <c r="E606" s="64"/>
      <c r="G606" s="64"/>
      <c r="H606" s="64"/>
      <c r="J606" s="64"/>
      <c r="K606" s="64"/>
    </row>
    <row r="607" spans="1:11">
      <c r="A607" s="64"/>
      <c r="B607" s="64"/>
      <c r="D607" s="64"/>
      <c r="E607" s="64"/>
      <c r="G607" s="64"/>
      <c r="H607" s="64"/>
      <c r="J607" s="64"/>
      <c r="K607" s="64"/>
    </row>
    <row r="608" spans="1:11">
      <c r="A608" s="64"/>
      <c r="B608" s="64"/>
      <c r="D608" s="64"/>
      <c r="E608" s="64"/>
      <c r="G608" s="64"/>
      <c r="H608" s="64"/>
      <c r="J608" s="64"/>
      <c r="K608" s="64"/>
    </row>
    <row r="609" spans="1:11">
      <c r="A609" s="64"/>
      <c r="B609" s="64"/>
      <c r="D609" s="64"/>
      <c r="E609" s="64"/>
      <c r="G609" s="64"/>
      <c r="H609" s="64"/>
      <c r="J609" s="64"/>
      <c r="K609" s="64"/>
    </row>
    <row r="610" spans="1:11">
      <c r="A610" s="64"/>
      <c r="B610" s="64"/>
      <c r="D610" s="64"/>
      <c r="E610" s="64"/>
      <c r="G610" s="64"/>
      <c r="H610" s="64"/>
      <c r="J610" s="64"/>
      <c r="K610" s="64"/>
    </row>
    <row r="611" spans="1:11">
      <c r="A611" s="64"/>
      <c r="B611" s="64"/>
      <c r="D611" s="64"/>
      <c r="E611" s="64"/>
      <c r="G611" s="64"/>
      <c r="H611" s="64"/>
      <c r="J611" s="64"/>
      <c r="K611" s="64"/>
    </row>
    <row r="612" spans="1:11">
      <c r="A612" s="64"/>
      <c r="B612" s="64"/>
      <c r="D612" s="64"/>
      <c r="E612" s="64"/>
      <c r="G612" s="64"/>
      <c r="H612" s="64"/>
      <c r="J612" s="64"/>
      <c r="K612" s="64"/>
    </row>
    <row r="613" spans="1:11">
      <c r="A613" s="64"/>
      <c r="B613" s="64"/>
      <c r="D613" s="64"/>
      <c r="E613" s="64"/>
      <c r="G613" s="64"/>
      <c r="H613" s="64"/>
      <c r="J613" s="64"/>
      <c r="K613" s="64"/>
    </row>
    <row r="614" spans="1:11">
      <c r="A614" s="64"/>
      <c r="B614" s="64"/>
      <c r="D614" s="64"/>
      <c r="E614" s="64"/>
      <c r="G614" s="64"/>
      <c r="H614" s="64"/>
      <c r="J614" s="64"/>
      <c r="K614" s="64"/>
    </row>
    <row r="615" spans="1:11">
      <c r="A615" s="64"/>
      <c r="B615" s="64"/>
      <c r="D615" s="64"/>
      <c r="E615" s="64"/>
      <c r="G615" s="64"/>
      <c r="H615" s="64"/>
      <c r="J615" s="64"/>
      <c r="K615" s="64"/>
    </row>
    <row r="616" spans="1:11">
      <c r="A616" s="64"/>
      <c r="B616" s="64"/>
      <c r="D616" s="64"/>
      <c r="E616" s="64"/>
      <c r="G616" s="64"/>
      <c r="H616" s="64"/>
      <c r="J616" s="64"/>
      <c r="K616" s="64"/>
    </row>
    <row r="617" spans="1:11">
      <c r="A617" s="64"/>
      <c r="B617" s="64"/>
      <c r="D617" s="64"/>
      <c r="E617" s="64"/>
      <c r="G617" s="64"/>
      <c r="H617" s="64"/>
      <c r="J617" s="64"/>
      <c r="K617" s="64"/>
    </row>
    <row r="618" spans="1:11">
      <c r="A618" s="64"/>
      <c r="B618" s="64"/>
      <c r="D618" s="64"/>
      <c r="E618" s="64"/>
      <c r="G618" s="64"/>
      <c r="H618" s="64"/>
      <c r="J618" s="64"/>
      <c r="K618" s="64"/>
    </row>
    <row r="619" spans="1:11">
      <c r="A619" s="64"/>
      <c r="B619" s="64"/>
      <c r="D619" s="64"/>
      <c r="E619" s="64"/>
      <c r="G619" s="64"/>
      <c r="H619" s="64"/>
      <c r="J619" s="64"/>
      <c r="K619" s="64"/>
    </row>
    <row r="620" spans="1:11">
      <c r="A620" s="64"/>
      <c r="B620" s="64"/>
      <c r="D620" s="64"/>
      <c r="E620" s="64"/>
      <c r="G620" s="64"/>
      <c r="H620" s="64"/>
      <c r="J620" s="64"/>
      <c r="K620" s="64"/>
    </row>
    <row r="621" spans="1:11">
      <c r="A621" s="64"/>
      <c r="B621" s="64"/>
      <c r="D621" s="64"/>
      <c r="E621" s="64"/>
      <c r="G621" s="64"/>
      <c r="H621" s="64"/>
      <c r="J621" s="64"/>
      <c r="K621" s="64"/>
    </row>
    <row r="622" spans="1:11">
      <c r="A622" s="64"/>
      <c r="B622" s="64"/>
      <c r="D622" s="64"/>
      <c r="E622" s="64"/>
      <c r="G622" s="64"/>
      <c r="H622" s="64"/>
      <c r="J622" s="64"/>
      <c r="K622" s="64"/>
    </row>
    <row r="623" spans="1:11">
      <c r="A623" s="64"/>
      <c r="B623" s="64"/>
      <c r="D623" s="64"/>
      <c r="E623" s="64"/>
      <c r="G623" s="64"/>
      <c r="H623" s="64"/>
      <c r="J623" s="64"/>
      <c r="K623" s="64"/>
    </row>
    <row r="624" spans="1:11">
      <c r="A624" s="64"/>
      <c r="B624" s="64"/>
      <c r="D624" s="64"/>
      <c r="E624" s="64"/>
      <c r="G624" s="64"/>
      <c r="H624" s="64"/>
      <c r="J624" s="64"/>
      <c r="K624" s="64"/>
    </row>
    <row r="625" spans="1:11">
      <c r="A625" s="64"/>
      <c r="B625" s="64"/>
      <c r="D625" s="64"/>
      <c r="E625" s="64"/>
      <c r="G625" s="64"/>
      <c r="H625" s="64"/>
      <c r="J625" s="64"/>
      <c r="K625" s="64"/>
    </row>
    <row r="626" spans="1:11">
      <c r="A626" s="64"/>
      <c r="B626" s="64"/>
      <c r="D626" s="64"/>
      <c r="E626" s="64"/>
      <c r="G626" s="64"/>
      <c r="H626" s="64"/>
      <c r="J626" s="64"/>
      <c r="K626" s="64"/>
    </row>
    <row r="627" spans="1:11">
      <c r="A627" s="64"/>
      <c r="B627" s="64"/>
      <c r="D627" s="64"/>
      <c r="E627" s="64"/>
      <c r="G627" s="64"/>
      <c r="H627" s="64"/>
      <c r="J627" s="64"/>
      <c r="K627" s="64"/>
    </row>
    <row r="628" spans="1:11">
      <c r="A628" s="64"/>
      <c r="B628" s="64"/>
      <c r="D628" s="64"/>
      <c r="E628" s="64"/>
      <c r="G628" s="64"/>
      <c r="H628" s="64"/>
      <c r="J628" s="64"/>
      <c r="K628" s="64"/>
    </row>
    <row r="629" spans="1:11">
      <c r="A629" s="64"/>
      <c r="B629" s="64"/>
      <c r="D629" s="64"/>
      <c r="E629" s="64"/>
      <c r="G629" s="64"/>
      <c r="H629" s="64"/>
      <c r="J629" s="64"/>
      <c r="K629" s="64"/>
    </row>
    <row r="630" spans="1:11">
      <c r="A630" s="64"/>
      <c r="B630" s="64"/>
      <c r="D630" s="64"/>
      <c r="E630" s="64"/>
      <c r="G630" s="64"/>
      <c r="H630" s="64"/>
      <c r="J630" s="64"/>
      <c r="K630" s="64"/>
    </row>
    <row r="631" spans="1:11">
      <c r="A631" s="64"/>
      <c r="B631" s="64"/>
      <c r="D631" s="64"/>
      <c r="E631" s="64"/>
      <c r="G631" s="64"/>
      <c r="H631" s="64"/>
      <c r="J631" s="64"/>
      <c r="K631" s="64"/>
    </row>
    <row r="632" spans="1:11">
      <c r="A632" s="64"/>
      <c r="B632" s="64"/>
      <c r="D632" s="64"/>
      <c r="E632" s="64"/>
      <c r="G632" s="64"/>
      <c r="H632" s="64"/>
      <c r="J632" s="64"/>
      <c r="K632" s="64"/>
    </row>
    <row r="633" spans="1:11">
      <c r="A633" s="64"/>
      <c r="B633" s="64"/>
      <c r="D633" s="64"/>
      <c r="E633" s="64"/>
      <c r="G633" s="64"/>
      <c r="H633" s="64"/>
      <c r="J633" s="64"/>
      <c r="K633" s="64"/>
    </row>
    <row r="634" spans="1:11">
      <c r="A634" s="64"/>
      <c r="B634" s="64"/>
      <c r="D634" s="64"/>
      <c r="E634" s="64"/>
      <c r="G634" s="64"/>
      <c r="H634" s="64"/>
      <c r="J634" s="64"/>
      <c r="K634" s="64"/>
    </row>
    <row r="635" spans="1:11">
      <c r="A635" s="64"/>
      <c r="B635" s="64"/>
      <c r="D635" s="64"/>
      <c r="E635" s="64"/>
      <c r="G635" s="64"/>
      <c r="H635" s="64"/>
      <c r="J635" s="64"/>
      <c r="K635" s="64"/>
    </row>
    <row r="636" spans="1:11">
      <c r="A636" s="64"/>
      <c r="B636" s="64"/>
      <c r="D636" s="64"/>
      <c r="E636" s="64"/>
      <c r="G636" s="64"/>
      <c r="H636" s="64"/>
      <c r="J636" s="64"/>
      <c r="K636" s="64"/>
    </row>
    <row r="637" spans="1:11">
      <c r="A637" s="64"/>
      <c r="B637" s="64"/>
      <c r="D637" s="64"/>
      <c r="E637" s="64"/>
      <c r="G637" s="64"/>
      <c r="H637" s="64"/>
      <c r="J637" s="64"/>
      <c r="K637" s="64"/>
    </row>
    <row r="638" spans="1:11">
      <c r="A638" s="64"/>
      <c r="B638" s="64"/>
      <c r="D638" s="64"/>
      <c r="E638" s="64"/>
      <c r="G638" s="64"/>
      <c r="H638" s="64"/>
      <c r="J638" s="64"/>
      <c r="K638" s="64"/>
    </row>
    <row r="639" spans="1:11">
      <c r="A639" s="64"/>
      <c r="B639" s="64"/>
      <c r="D639" s="64"/>
      <c r="E639" s="64"/>
      <c r="G639" s="64"/>
      <c r="H639" s="64"/>
      <c r="J639" s="64"/>
      <c r="K639" s="64"/>
    </row>
    <row r="640" spans="1:11">
      <c r="A640" s="64"/>
      <c r="B640" s="64"/>
      <c r="D640" s="64"/>
      <c r="E640" s="64"/>
      <c r="G640" s="64"/>
      <c r="H640" s="64"/>
      <c r="J640" s="64"/>
      <c r="K640" s="64"/>
    </row>
    <row r="641" spans="1:11">
      <c r="A641" s="64"/>
      <c r="B641" s="64"/>
      <c r="D641" s="64"/>
      <c r="E641" s="64"/>
      <c r="G641" s="64"/>
      <c r="H641" s="64"/>
      <c r="J641" s="64"/>
      <c r="K641" s="64"/>
    </row>
    <row r="642" spans="1:11">
      <c r="A642" s="64"/>
      <c r="B642" s="64"/>
      <c r="D642" s="64"/>
      <c r="E642" s="64"/>
      <c r="G642" s="64"/>
      <c r="H642" s="64"/>
      <c r="J642" s="64"/>
      <c r="K642" s="64"/>
    </row>
    <row r="643" spans="1:11">
      <c r="A643" s="64"/>
      <c r="B643" s="64"/>
      <c r="D643" s="64"/>
      <c r="E643" s="64"/>
      <c r="G643" s="64"/>
      <c r="H643" s="64"/>
      <c r="J643" s="64"/>
      <c r="K643" s="64"/>
    </row>
    <row r="644" spans="1:11">
      <c r="A644" s="64"/>
      <c r="B644" s="64"/>
      <c r="D644" s="64"/>
      <c r="E644" s="64"/>
      <c r="G644" s="64"/>
      <c r="H644" s="64"/>
      <c r="J644" s="64"/>
      <c r="K644" s="64"/>
    </row>
    <row r="645" spans="1:11">
      <c r="A645" s="64"/>
      <c r="B645" s="64"/>
      <c r="D645" s="64"/>
      <c r="E645" s="64"/>
      <c r="G645" s="64"/>
      <c r="H645" s="64"/>
      <c r="J645" s="64"/>
      <c r="K645" s="64"/>
    </row>
    <row r="646" spans="1:11">
      <c r="A646" s="64"/>
      <c r="B646" s="64"/>
      <c r="D646" s="64"/>
      <c r="E646" s="64"/>
      <c r="G646" s="64"/>
      <c r="H646" s="64"/>
      <c r="J646" s="64"/>
      <c r="K646" s="64"/>
    </row>
    <row r="647" spans="1:11">
      <c r="A647" s="64"/>
      <c r="B647" s="64"/>
      <c r="D647" s="64"/>
      <c r="E647" s="64"/>
      <c r="G647" s="64"/>
      <c r="H647" s="64"/>
      <c r="J647" s="64"/>
      <c r="K647" s="64"/>
    </row>
    <row r="648" spans="1:11">
      <c r="A648" s="64"/>
      <c r="B648" s="64"/>
      <c r="D648" s="64"/>
      <c r="E648" s="64"/>
      <c r="G648" s="64"/>
      <c r="H648" s="64"/>
      <c r="J648" s="64"/>
      <c r="K648" s="64"/>
    </row>
    <row r="649" spans="1:11">
      <c r="A649" s="64"/>
      <c r="B649" s="64"/>
      <c r="D649" s="64"/>
      <c r="E649" s="64"/>
      <c r="G649" s="64"/>
      <c r="H649" s="64"/>
      <c r="J649" s="64"/>
      <c r="K649" s="64"/>
    </row>
    <row r="650" spans="1:11">
      <c r="A650" s="64"/>
      <c r="B650" s="64"/>
      <c r="D650" s="64"/>
      <c r="E650" s="64"/>
      <c r="G650" s="64"/>
      <c r="H650" s="64"/>
      <c r="J650" s="64"/>
      <c r="K650" s="64"/>
    </row>
    <row r="651" spans="1:11">
      <c r="A651" s="64"/>
      <c r="B651" s="64"/>
      <c r="D651" s="64"/>
      <c r="E651" s="64"/>
      <c r="G651" s="64"/>
      <c r="H651" s="64"/>
      <c r="J651" s="64"/>
      <c r="K651" s="64"/>
    </row>
    <row r="652" spans="1:11">
      <c r="A652" s="64"/>
      <c r="B652" s="64"/>
      <c r="D652" s="64"/>
      <c r="E652" s="64"/>
      <c r="G652" s="64"/>
      <c r="H652" s="64"/>
      <c r="J652" s="64"/>
      <c r="K652" s="64"/>
    </row>
    <row r="653" spans="1:11">
      <c r="A653" s="64"/>
      <c r="B653" s="64"/>
      <c r="D653" s="64"/>
      <c r="E653" s="64"/>
      <c r="G653" s="64"/>
      <c r="H653" s="64"/>
      <c r="J653" s="64"/>
      <c r="K653" s="64"/>
    </row>
    <row r="654" spans="1:11">
      <c r="A654" s="64"/>
      <c r="B654" s="64"/>
      <c r="D654" s="64"/>
      <c r="E654" s="64"/>
      <c r="G654" s="64"/>
      <c r="H654" s="64"/>
      <c r="J654" s="64"/>
      <c r="K654" s="64"/>
    </row>
    <row r="655" spans="1:11">
      <c r="A655" s="64"/>
      <c r="B655" s="64"/>
      <c r="D655" s="64"/>
      <c r="E655" s="64"/>
      <c r="G655" s="64"/>
      <c r="H655" s="64"/>
      <c r="J655" s="64"/>
      <c r="K655" s="64"/>
    </row>
    <row r="656" spans="1:11">
      <c r="A656" s="64"/>
      <c r="B656" s="64"/>
      <c r="D656" s="64"/>
      <c r="E656" s="64"/>
      <c r="G656" s="64"/>
      <c r="H656" s="64"/>
      <c r="J656" s="64"/>
      <c r="K656" s="64"/>
    </row>
    <row r="657" spans="1:11">
      <c r="A657" s="64"/>
      <c r="B657" s="64"/>
      <c r="D657" s="64"/>
      <c r="E657" s="64"/>
      <c r="G657" s="64"/>
      <c r="H657" s="64"/>
      <c r="J657" s="64"/>
      <c r="K657" s="64"/>
    </row>
    <row r="658" spans="1:11">
      <c r="A658" s="64"/>
      <c r="B658" s="64"/>
      <c r="D658" s="64"/>
      <c r="E658" s="64"/>
      <c r="G658" s="64"/>
      <c r="H658" s="64"/>
      <c r="J658" s="64"/>
      <c r="K658" s="64"/>
    </row>
    <row r="659" spans="1:11">
      <c r="A659" s="64"/>
      <c r="B659" s="64"/>
      <c r="D659" s="64"/>
      <c r="E659" s="64"/>
      <c r="G659" s="64"/>
      <c r="H659" s="64"/>
      <c r="J659" s="64"/>
      <c r="K659" s="64"/>
    </row>
    <row r="660" spans="1:11">
      <c r="A660" s="64"/>
      <c r="B660" s="64"/>
      <c r="D660" s="64"/>
      <c r="E660" s="64"/>
      <c r="G660" s="64"/>
      <c r="H660" s="64"/>
      <c r="J660" s="64"/>
      <c r="K660" s="64"/>
    </row>
    <row r="661" spans="1:11">
      <c r="A661" s="64"/>
      <c r="B661" s="64"/>
      <c r="D661" s="64"/>
      <c r="E661" s="64"/>
      <c r="G661" s="64"/>
      <c r="H661" s="64"/>
      <c r="J661" s="64"/>
      <c r="K661" s="64"/>
    </row>
    <row r="662" spans="1:11">
      <c r="A662" s="64"/>
      <c r="B662" s="64"/>
      <c r="D662" s="64"/>
      <c r="E662" s="64"/>
      <c r="G662" s="64"/>
      <c r="H662" s="64"/>
      <c r="J662" s="64"/>
      <c r="K662" s="64"/>
    </row>
    <row r="663" spans="1:11">
      <c r="A663" s="64"/>
      <c r="B663" s="64"/>
      <c r="D663" s="64"/>
      <c r="E663" s="64"/>
      <c r="G663" s="64"/>
      <c r="H663" s="64"/>
      <c r="J663" s="64"/>
      <c r="K663" s="64"/>
    </row>
    <row r="664" spans="1:11">
      <c r="A664" s="64"/>
      <c r="B664" s="64"/>
      <c r="D664" s="64"/>
      <c r="E664" s="64"/>
      <c r="G664" s="64"/>
      <c r="H664" s="64"/>
      <c r="J664" s="64"/>
      <c r="K664" s="64"/>
    </row>
    <row r="665" spans="1:11">
      <c r="A665" s="64"/>
      <c r="B665" s="64"/>
      <c r="D665" s="64"/>
      <c r="E665" s="64"/>
      <c r="G665" s="64"/>
      <c r="H665" s="64"/>
      <c r="J665" s="64"/>
      <c r="K665" s="64"/>
    </row>
    <row r="666" spans="1:11">
      <c r="A666" s="64"/>
      <c r="B666" s="64"/>
      <c r="D666" s="64"/>
      <c r="E666" s="64"/>
      <c r="G666" s="64"/>
      <c r="H666" s="64"/>
      <c r="J666" s="64"/>
      <c r="K666" s="64"/>
    </row>
    <row r="667" spans="1:11">
      <c r="A667" s="64"/>
      <c r="B667" s="64"/>
      <c r="D667" s="64"/>
      <c r="E667" s="64"/>
      <c r="G667" s="64"/>
      <c r="H667" s="64"/>
      <c r="J667" s="64"/>
      <c r="K667" s="64"/>
    </row>
    <row r="668" spans="1:11">
      <c r="A668" s="64"/>
      <c r="B668" s="64"/>
      <c r="D668" s="64"/>
      <c r="E668" s="64"/>
      <c r="G668" s="64"/>
      <c r="H668" s="64"/>
      <c r="J668" s="64"/>
      <c r="K668" s="64"/>
    </row>
    <row r="669" spans="1:11">
      <c r="A669" s="64"/>
      <c r="B669" s="64"/>
      <c r="D669" s="64"/>
      <c r="E669" s="64"/>
      <c r="G669" s="64"/>
      <c r="H669" s="64"/>
      <c r="J669" s="64"/>
      <c r="K669" s="64"/>
    </row>
    <row r="670" spans="1:11">
      <c r="A670" s="64"/>
      <c r="B670" s="64"/>
      <c r="D670" s="64"/>
      <c r="E670" s="64"/>
      <c r="G670" s="64"/>
      <c r="H670" s="64"/>
      <c r="J670" s="64"/>
      <c r="K670" s="64"/>
    </row>
    <row r="671" spans="1:11">
      <c r="A671" s="64"/>
      <c r="B671" s="64"/>
      <c r="D671" s="64"/>
      <c r="E671" s="64"/>
      <c r="G671" s="64"/>
      <c r="H671" s="64"/>
      <c r="J671" s="64"/>
      <c r="K671" s="64"/>
    </row>
    <row r="672" spans="1:11">
      <c r="A672" s="64"/>
      <c r="B672" s="64"/>
      <c r="D672" s="64"/>
      <c r="E672" s="64"/>
      <c r="G672" s="64"/>
      <c r="H672" s="64"/>
      <c r="J672" s="64"/>
      <c r="K672" s="64"/>
    </row>
    <row r="673" spans="1:11">
      <c r="A673" s="64"/>
      <c r="B673" s="64"/>
      <c r="D673" s="64"/>
      <c r="E673" s="64"/>
      <c r="G673" s="64"/>
      <c r="H673" s="64"/>
      <c r="J673" s="64"/>
      <c r="K673" s="64"/>
    </row>
    <row r="674" spans="1:11">
      <c r="A674" s="64"/>
      <c r="B674" s="64"/>
      <c r="D674" s="64"/>
      <c r="E674" s="64"/>
      <c r="G674" s="64"/>
      <c r="H674" s="64"/>
      <c r="J674" s="64"/>
      <c r="K674" s="64"/>
    </row>
    <row r="675" spans="1:11">
      <c r="A675" s="64"/>
      <c r="B675" s="64"/>
      <c r="D675" s="64"/>
      <c r="E675" s="64"/>
      <c r="G675" s="64"/>
      <c r="H675" s="64"/>
      <c r="J675" s="64"/>
      <c r="K675" s="64"/>
    </row>
    <row r="676" spans="1:11">
      <c r="A676" s="64"/>
      <c r="B676" s="64"/>
      <c r="D676" s="64"/>
      <c r="E676" s="64"/>
      <c r="G676" s="64"/>
      <c r="H676" s="64"/>
      <c r="J676" s="64"/>
      <c r="K676" s="64"/>
    </row>
    <row r="677" spans="1:11">
      <c r="A677" s="64"/>
      <c r="B677" s="64"/>
      <c r="D677" s="64"/>
      <c r="E677" s="64"/>
      <c r="G677" s="64"/>
      <c r="H677" s="64"/>
      <c r="J677" s="64"/>
      <c r="K677" s="64"/>
    </row>
    <row r="678" spans="1:11">
      <c r="A678" s="64"/>
      <c r="B678" s="64"/>
      <c r="D678" s="64"/>
      <c r="E678" s="64"/>
      <c r="G678" s="64"/>
      <c r="H678" s="64"/>
      <c r="J678" s="64"/>
      <c r="K678" s="64"/>
    </row>
    <row r="679" spans="1:11">
      <c r="A679" s="64"/>
      <c r="B679" s="64"/>
      <c r="D679" s="64"/>
      <c r="E679" s="64"/>
      <c r="G679" s="64"/>
      <c r="H679" s="64"/>
      <c r="J679" s="64"/>
      <c r="K679" s="64"/>
    </row>
    <row r="680" spans="1:11">
      <c r="A680" s="64"/>
      <c r="B680" s="64"/>
      <c r="D680" s="64"/>
      <c r="E680" s="64"/>
      <c r="G680" s="64"/>
      <c r="H680" s="64"/>
      <c r="J680" s="64"/>
      <c r="K680" s="64"/>
    </row>
    <row r="681" spans="1:11">
      <c r="A681" s="64"/>
      <c r="B681" s="64"/>
      <c r="D681" s="64"/>
      <c r="E681" s="64"/>
      <c r="G681" s="64"/>
      <c r="H681" s="64"/>
      <c r="J681" s="64"/>
      <c r="K681" s="64"/>
    </row>
    <row r="682" spans="1:11">
      <c r="A682" s="64"/>
      <c r="B682" s="64"/>
      <c r="D682" s="64"/>
      <c r="E682" s="64"/>
      <c r="G682" s="64"/>
      <c r="H682" s="64"/>
      <c r="J682" s="64"/>
      <c r="K682" s="64"/>
    </row>
    <row r="683" spans="1:11">
      <c r="A683" s="64"/>
      <c r="B683" s="64"/>
      <c r="D683" s="64"/>
      <c r="E683" s="64"/>
      <c r="G683" s="64"/>
      <c r="H683" s="64"/>
      <c r="J683" s="64"/>
      <c r="K683" s="64"/>
    </row>
    <row r="684" spans="1:11">
      <c r="A684" s="64"/>
      <c r="B684" s="64"/>
      <c r="D684" s="64"/>
      <c r="E684" s="64"/>
      <c r="G684" s="64"/>
      <c r="H684" s="64"/>
      <c r="J684" s="64"/>
      <c r="K684" s="64"/>
    </row>
    <row r="685" spans="1:11">
      <c r="A685" s="64"/>
      <c r="B685" s="64"/>
      <c r="D685" s="64"/>
      <c r="E685" s="64"/>
      <c r="G685" s="64"/>
      <c r="H685" s="64"/>
      <c r="J685" s="64"/>
      <c r="K685" s="64"/>
    </row>
    <row r="686" spans="1:11">
      <c r="A686" s="64"/>
      <c r="B686" s="64"/>
      <c r="D686" s="64"/>
      <c r="E686" s="64"/>
      <c r="G686" s="64"/>
      <c r="H686" s="64"/>
      <c r="J686" s="64"/>
      <c r="K686" s="64"/>
    </row>
    <row r="687" spans="1:11">
      <c r="A687" s="64"/>
      <c r="B687" s="64"/>
      <c r="D687" s="64"/>
      <c r="E687" s="64"/>
      <c r="G687" s="64"/>
      <c r="H687" s="64"/>
      <c r="J687" s="64"/>
      <c r="K687" s="64"/>
    </row>
    <row r="688" spans="1:11">
      <c r="A688" s="64"/>
      <c r="B688" s="64"/>
      <c r="D688" s="64"/>
      <c r="E688" s="64"/>
      <c r="G688" s="64"/>
      <c r="H688" s="64"/>
      <c r="J688" s="64"/>
      <c r="K688" s="64"/>
    </row>
    <row r="689" spans="1:11">
      <c r="A689" s="64"/>
      <c r="B689" s="64"/>
      <c r="D689" s="64"/>
      <c r="E689" s="64"/>
      <c r="G689" s="64"/>
      <c r="H689" s="64"/>
      <c r="J689" s="64"/>
      <c r="K689" s="64"/>
    </row>
    <row r="690" spans="1:11">
      <c r="A690" s="64"/>
      <c r="B690" s="64"/>
      <c r="D690" s="64"/>
      <c r="E690" s="64"/>
      <c r="G690" s="64"/>
      <c r="H690" s="64"/>
      <c r="J690" s="64"/>
      <c r="K690" s="64"/>
    </row>
    <row r="691" spans="1:11">
      <c r="A691" s="64"/>
      <c r="B691" s="64"/>
      <c r="D691" s="64"/>
      <c r="E691" s="64"/>
      <c r="G691" s="64"/>
      <c r="H691" s="64"/>
      <c r="J691" s="64"/>
      <c r="K691" s="64"/>
    </row>
    <row r="692" spans="1:11">
      <c r="A692" s="64"/>
      <c r="B692" s="64"/>
      <c r="D692" s="64"/>
      <c r="E692" s="64"/>
      <c r="G692" s="64"/>
      <c r="H692" s="64"/>
      <c r="J692" s="64"/>
      <c r="K692" s="64"/>
    </row>
    <row r="693" spans="1:11">
      <c r="A693" s="64"/>
      <c r="B693" s="64"/>
      <c r="D693" s="64"/>
      <c r="E693" s="64"/>
      <c r="G693" s="64"/>
      <c r="H693" s="64"/>
      <c r="J693" s="64"/>
      <c r="K693" s="64"/>
    </row>
    <row r="694" spans="1:11">
      <c r="A694" s="64"/>
      <c r="B694" s="64"/>
      <c r="D694" s="64"/>
      <c r="E694" s="64"/>
      <c r="G694" s="64"/>
      <c r="H694" s="64"/>
      <c r="J694" s="64"/>
      <c r="K694" s="64"/>
    </row>
    <row r="695" spans="1:11">
      <c r="A695" s="64"/>
      <c r="B695" s="64"/>
      <c r="D695" s="64"/>
      <c r="E695" s="64"/>
      <c r="G695" s="64"/>
      <c r="H695" s="64"/>
      <c r="J695" s="64"/>
      <c r="K695" s="64"/>
    </row>
    <row r="696" spans="1:11">
      <c r="A696" s="64"/>
      <c r="B696" s="64"/>
      <c r="D696" s="64"/>
      <c r="E696" s="64"/>
      <c r="G696" s="64"/>
      <c r="H696" s="64"/>
      <c r="J696" s="64"/>
      <c r="K696" s="64"/>
    </row>
    <row r="697" spans="1:11">
      <c r="A697" s="64"/>
      <c r="B697" s="64"/>
      <c r="D697" s="64"/>
      <c r="E697" s="64"/>
      <c r="G697" s="64"/>
      <c r="H697" s="64"/>
      <c r="J697" s="64"/>
      <c r="K697" s="64"/>
    </row>
    <row r="698" spans="1:11">
      <c r="A698" s="64"/>
      <c r="B698" s="64"/>
      <c r="D698" s="64"/>
      <c r="E698" s="64"/>
      <c r="G698" s="64"/>
      <c r="H698" s="64"/>
      <c r="J698" s="64"/>
      <c r="K698" s="64"/>
    </row>
    <row r="699" spans="1:11">
      <c r="A699" s="64"/>
      <c r="B699" s="64"/>
      <c r="D699" s="64"/>
      <c r="E699" s="64"/>
      <c r="G699" s="64"/>
      <c r="H699" s="64"/>
      <c r="J699" s="64"/>
      <c r="K699" s="64"/>
    </row>
    <row r="700" spans="1:11">
      <c r="A700" s="64"/>
      <c r="B700" s="64"/>
      <c r="D700" s="64"/>
      <c r="E700" s="64"/>
      <c r="G700" s="64"/>
      <c r="H700" s="64"/>
      <c r="J700" s="64"/>
      <c r="K700" s="64"/>
    </row>
    <row r="701" spans="1:11">
      <c r="A701" s="64"/>
      <c r="B701" s="64"/>
      <c r="D701" s="64"/>
      <c r="E701" s="64"/>
      <c r="G701" s="64"/>
      <c r="H701" s="64"/>
      <c r="J701" s="64"/>
      <c r="K701" s="64"/>
    </row>
    <row r="702" spans="1:11">
      <c r="A702" s="64"/>
      <c r="B702" s="64"/>
      <c r="D702" s="64"/>
      <c r="E702" s="64"/>
      <c r="G702" s="64"/>
      <c r="H702" s="64"/>
      <c r="J702" s="64"/>
      <c r="K702" s="64"/>
    </row>
    <row r="703" spans="1:11">
      <c r="A703" s="64"/>
      <c r="B703" s="64"/>
      <c r="D703" s="64"/>
      <c r="E703" s="64"/>
      <c r="G703" s="64"/>
      <c r="H703" s="64"/>
      <c r="J703" s="64"/>
      <c r="K703" s="64"/>
    </row>
    <row r="704" spans="1:11">
      <c r="A704" s="64"/>
      <c r="B704" s="64"/>
      <c r="D704" s="64"/>
      <c r="E704" s="64"/>
      <c r="G704" s="64"/>
      <c r="H704" s="64"/>
      <c r="J704" s="64"/>
      <c r="K704" s="64"/>
    </row>
    <row r="705" spans="1:11">
      <c r="A705" s="64"/>
      <c r="B705" s="64"/>
      <c r="D705" s="64"/>
      <c r="E705" s="64"/>
      <c r="G705" s="64"/>
      <c r="H705" s="64"/>
      <c r="J705" s="64"/>
      <c r="K705" s="64"/>
    </row>
    <row r="706" spans="1:11">
      <c r="A706" s="64"/>
      <c r="B706" s="64"/>
      <c r="D706" s="64"/>
      <c r="E706" s="64"/>
      <c r="G706" s="64"/>
      <c r="H706" s="64"/>
      <c r="J706" s="64"/>
      <c r="K706" s="64"/>
    </row>
    <row r="707" spans="1:11">
      <c r="A707" s="64"/>
      <c r="B707" s="64"/>
      <c r="D707" s="64"/>
      <c r="E707" s="64"/>
      <c r="G707" s="64"/>
      <c r="H707" s="64"/>
      <c r="J707" s="64"/>
      <c r="K707" s="64"/>
    </row>
    <row r="708" spans="1:11">
      <c r="A708" s="64"/>
      <c r="B708" s="64"/>
      <c r="D708" s="64"/>
      <c r="E708" s="64"/>
      <c r="G708" s="64"/>
      <c r="H708" s="64"/>
      <c r="J708" s="64"/>
      <c r="K708" s="64"/>
    </row>
    <row r="709" spans="1:11">
      <c r="A709" s="64"/>
      <c r="B709" s="64"/>
      <c r="D709" s="64"/>
      <c r="E709" s="64"/>
      <c r="G709" s="64"/>
      <c r="H709" s="64"/>
      <c r="J709" s="64"/>
      <c r="K709" s="64"/>
    </row>
    <row r="710" spans="1:11">
      <c r="A710" s="64"/>
      <c r="B710" s="64"/>
      <c r="D710" s="64"/>
      <c r="E710" s="64"/>
      <c r="G710" s="64"/>
      <c r="H710" s="64"/>
      <c r="J710" s="64"/>
      <c r="K710" s="64"/>
    </row>
    <row r="711" spans="1:11">
      <c r="A711" s="64"/>
      <c r="B711" s="64"/>
      <c r="D711" s="64"/>
      <c r="E711" s="64"/>
      <c r="G711" s="64"/>
      <c r="H711" s="64"/>
      <c r="J711" s="64"/>
      <c r="K711" s="64"/>
    </row>
    <row r="712" spans="1:11">
      <c r="A712" s="64"/>
      <c r="B712" s="64"/>
      <c r="D712" s="64"/>
      <c r="E712" s="64"/>
      <c r="G712" s="64"/>
      <c r="H712" s="64"/>
      <c r="J712" s="64"/>
      <c r="K712" s="64"/>
    </row>
    <row r="713" spans="1:11">
      <c r="A713" s="64"/>
      <c r="B713" s="64"/>
      <c r="D713" s="64"/>
      <c r="E713" s="64"/>
      <c r="G713" s="64"/>
      <c r="H713" s="64"/>
      <c r="J713" s="64"/>
      <c r="K713" s="64"/>
    </row>
    <row r="714" spans="1:11">
      <c r="A714" s="64"/>
      <c r="B714" s="64"/>
      <c r="D714" s="64"/>
      <c r="E714" s="64"/>
      <c r="G714" s="64"/>
      <c r="H714" s="64"/>
      <c r="J714" s="64"/>
      <c r="K714" s="64"/>
    </row>
    <row r="715" spans="1:11">
      <c r="A715" s="64"/>
      <c r="B715" s="64"/>
      <c r="D715" s="64"/>
      <c r="E715" s="64"/>
      <c r="G715" s="64"/>
      <c r="H715" s="64"/>
      <c r="J715" s="64"/>
      <c r="K715" s="64"/>
    </row>
    <row r="716" spans="1:11">
      <c r="A716" s="64"/>
      <c r="B716" s="64"/>
      <c r="D716" s="64"/>
      <c r="E716" s="64"/>
      <c r="G716" s="64"/>
      <c r="H716" s="64"/>
      <c r="J716" s="64"/>
      <c r="K716" s="64"/>
    </row>
    <row r="717" spans="1:11">
      <c r="A717" s="64"/>
      <c r="B717" s="64"/>
      <c r="D717" s="64"/>
      <c r="E717" s="64"/>
      <c r="G717" s="64"/>
      <c r="H717" s="64"/>
      <c r="J717" s="64"/>
      <c r="K717" s="64"/>
    </row>
    <row r="718" spans="1:11">
      <c r="A718" s="64"/>
      <c r="B718" s="64"/>
      <c r="D718" s="64"/>
      <c r="E718" s="64"/>
      <c r="G718" s="64"/>
      <c r="H718" s="64"/>
      <c r="J718" s="64"/>
      <c r="K718" s="64"/>
    </row>
    <row r="719" spans="1:11">
      <c r="A719" s="64"/>
      <c r="B719" s="64"/>
      <c r="D719" s="64"/>
      <c r="E719" s="64"/>
      <c r="G719" s="64"/>
      <c r="H719" s="64"/>
      <c r="J719" s="64"/>
      <c r="K719" s="64"/>
    </row>
    <row r="720" spans="1:11">
      <c r="A720" s="64"/>
      <c r="B720" s="64"/>
      <c r="D720" s="64"/>
      <c r="E720" s="64"/>
      <c r="G720" s="64"/>
      <c r="H720" s="64"/>
      <c r="J720" s="64"/>
      <c r="K720" s="64"/>
    </row>
    <row r="721" spans="1:11">
      <c r="A721" s="64"/>
      <c r="B721" s="64"/>
      <c r="D721" s="64"/>
      <c r="E721" s="64"/>
      <c r="G721" s="64"/>
      <c r="H721" s="64"/>
      <c r="J721" s="64"/>
      <c r="K721" s="64"/>
    </row>
    <row r="722" spans="1:11">
      <c r="A722" s="64"/>
      <c r="B722" s="64"/>
      <c r="D722" s="64"/>
      <c r="E722" s="64"/>
      <c r="G722" s="64"/>
      <c r="H722" s="64"/>
      <c r="J722" s="64"/>
      <c r="K722" s="64"/>
    </row>
    <row r="723" spans="1:11">
      <c r="A723" s="64"/>
      <c r="B723" s="64"/>
      <c r="D723" s="64"/>
      <c r="E723" s="64"/>
      <c r="G723" s="64"/>
      <c r="H723" s="64"/>
      <c r="J723" s="64"/>
      <c r="K723" s="64"/>
    </row>
    <row r="724" spans="1:11">
      <c r="A724" s="64"/>
      <c r="B724" s="64"/>
      <c r="D724" s="64"/>
      <c r="E724" s="64"/>
      <c r="G724" s="64"/>
      <c r="H724" s="64"/>
      <c r="J724" s="64"/>
      <c r="K724" s="64"/>
    </row>
    <row r="725" spans="1:11">
      <c r="A725" s="64"/>
      <c r="B725" s="64"/>
      <c r="D725" s="64"/>
      <c r="E725" s="64"/>
      <c r="G725" s="64"/>
      <c r="H725" s="64"/>
      <c r="J725" s="64"/>
      <c r="K725" s="64"/>
    </row>
    <row r="726" spans="1:11">
      <c r="A726" s="64"/>
      <c r="B726" s="64"/>
      <c r="D726" s="64"/>
      <c r="E726" s="64"/>
      <c r="G726" s="64"/>
      <c r="H726" s="64"/>
      <c r="J726" s="64"/>
      <c r="K726" s="64"/>
    </row>
    <row r="727" spans="1:11">
      <c r="A727" s="64"/>
      <c r="B727" s="64"/>
      <c r="D727" s="64"/>
      <c r="E727" s="64"/>
      <c r="G727" s="64"/>
      <c r="H727" s="64"/>
      <c r="J727" s="64"/>
      <c r="K727" s="64"/>
    </row>
    <row r="728" spans="1:11">
      <c r="A728" s="64"/>
      <c r="B728" s="64"/>
      <c r="D728" s="64"/>
      <c r="E728" s="64"/>
      <c r="G728" s="64"/>
      <c r="H728" s="64"/>
      <c r="J728" s="64"/>
      <c r="K728" s="64"/>
    </row>
    <row r="729" spans="1:11">
      <c r="A729" s="64"/>
      <c r="B729" s="64"/>
      <c r="D729" s="64"/>
      <c r="E729" s="64"/>
      <c r="G729" s="64"/>
      <c r="H729" s="64"/>
      <c r="J729" s="64"/>
      <c r="K729" s="64"/>
    </row>
    <row r="730" spans="1:11">
      <c r="A730" s="64"/>
      <c r="B730" s="64"/>
      <c r="D730" s="64"/>
      <c r="E730" s="64"/>
      <c r="G730" s="64"/>
      <c r="H730" s="64"/>
      <c r="J730" s="64"/>
      <c r="K730" s="64"/>
    </row>
    <row r="731" spans="1:11">
      <c r="A731" s="64"/>
      <c r="B731" s="64"/>
      <c r="D731" s="64"/>
      <c r="E731" s="64"/>
      <c r="G731" s="64"/>
      <c r="H731" s="64"/>
      <c r="J731" s="64"/>
      <c r="K731" s="64"/>
    </row>
    <row r="732" spans="1:11">
      <c r="A732" s="64"/>
      <c r="B732" s="64"/>
      <c r="D732" s="64"/>
      <c r="E732" s="64"/>
      <c r="G732" s="64"/>
      <c r="H732" s="64"/>
      <c r="J732" s="64"/>
      <c r="K732" s="64"/>
    </row>
    <row r="733" spans="1:11">
      <c r="A733" s="64"/>
      <c r="B733" s="64"/>
      <c r="D733" s="64"/>
      <c r="E733" s="64"/>
      <c r="G733" s="64"/>
      <c r="H733" s="64"/>
      <c r="J733" s="64"/>
      <c r="K733" s="64"/>
    </row>
    <row r="734" spans="1:11">
      <c r="A734" s="64"/>
      <c r="B734" s="64"/>
      <c r="D734" s="64"/>
      <c r="E734" s="64"/>
      <c r="G734" s="64"/>
      <c r="H734" s="64"/>
      <c r="J734" s="64"/>
      <c r="K734" s="64"/>
    </row>
    <row r="735" spans="1:11">
      <c r="A735" s="64"/>
      <c r="B735" s="64"/>
      <c r="D735" s="64"/>
      <c r="E735" s="64"/>
      <c r="G735" s="64"/>
      <c r="H735" s="64"/>
      <c r="J735" s="64"/>
      <c r="K735" s="64"/>
    </row>
    <row r="736" spans="1:11">
      <c r="A736" s="64"/>
      <c r="B736" s="64"/>
      <c r="D736" s="64"/>
      <c r="E736" s="64"/>
      <c r="G736" s="64"/>
      <c r="H736" s="64"/>
      <c r="J736" s="64"/>
      <c r="K736" s="64"/>
    </row>
    <row r="737" spans="1:11">
      <c r="A737" s="64"/>
      <c r="B737" s="64"/>
      <c r="D737" s="64"/>
      <c r="E737" s="64"/>
      <c r="G737" s="64"/>
      <c r="H737" s="64"/>
      <c r="J737" s="64"/>
      <c r="K737" s="64"/>
    </row>
    <row r="738" spans="1:11">
      <c r="A738" s="64"/>
      <c r="B738" s="64"/>
      <c r="D738" s="64"/>
      <c r="E738" s="64"/>
      <c r="G738" s="64"/>
      <c r="H738" s="64"/>
      <c r="J738" s="64"/>
      <c r="K738" s="64"/>
    </row>
    <row r="739" spans="1:11">
      <c r="A739" s="64"/>
      <c r="B739" s="64"/>
      <c r="D739" s="64"/>
      <c r="E739" s="64"/>
      <c r="G739" s="64"/>
      <c r="H739" s="64"/>
      <c r="J739" s="64"/>
      <c r="K739" s="64"/>
    </row>
    <row r="740" spans="1:11">
      <c r="A740" s="64"/>
      <c r="B740" s="64"/>
      <c r="D740" s="64"/>
      <c r="E740" s="64"/>
      <c r="G740" s="64"/>
      <c r="H740" s="64"/>
      <c r="J740" s="64"/>
      <c r="K740" s="64"/>
    </row>
    <row r="741" spans="1:11">
      <c r="A741" s="64"/>
      <c r="B741" s="64"/>
      <c r="D741" s="64"/>
      <c r="E741" s="64"/>
      <c r="G741" s="64"/>
      <c r="H741" s="64"/>
      <c r="J741" s="64"/>
      <c r="K741" s="64"/>
    </row>
    <row r="742" spans="1:11">
      <c r="A742" s="64"/>
      <c r="B742" s="64"/>
      <c r="D742" s="64"/>
      <c r="E742" s="64"/>
      <c r="G742" s="64"/>
      <c r="H742" s="64"/>
      <c r="J742" s="64"/>
      <c r="K742" s="64"/>
    </row>
    <row r="743" spans="1:11">
      <c r="A743" s="64"/>
      <c r="B743" s="64"/>
      <c r="D743" s="64"/>
      <c r="E743" s="64"/>
      <c r="G743" s="64"/>
      <c r="H743" s="64"/>
      <c r="J743" s="64"/>
      <c r="K743" s="64"/>
    </row>
    <row r="744" spans="1:11">
      <c r="A744" s="64"/>
      <c r="B744" s="64"/>
      <c r="D744" s="64"/>
      <c r="E744" s="64"/>
      <c r="G744" s="64"/>
      <c r="H744" s="64"/>
      <c r="J744" s="64"/>
      <c r="K744" s="64"/>
    </row>
    <row r="745" spans="1:11">
      <c r="A745" s="64"/>
      <c r="B745" s="64"/>
      <c r="D745" s="64"/>
      <c r="E745" s="64"/>
      <c r="G745" s="64"/>
      <c r="H745" s="64"/>
      <c r="J745" s="64"/>
      <c r="K745" s="64"/>
    </row>
    <row r="746" spans="1:11">
      <c r="A746" s="64"/>
      <c r="B746" s="64"/>
      <c r="D746" s="64"/>
      <c r="E746" s="64"/>
      <c r="G746" s="64"/>
      <c r="H746" s="64"/>
      <c r="J746" s="64"/>
      <c r="K746" s="64"/>
    </row>
    <row r="747" spans="1:11">
      <c r="A747" s="64"/>
      <c r="B747" s="64"/>
      <c r="D747" s="64"/>
      <c r="E747" s="64"/>
      <c r="G747" s="64"/>
      <c r="H747" s="64"/>
      <c r="J747" s="64"/>
      <c r="K747" s="64"/>
    </row>
    <row r="748" spans="1:11">
      <c r="A748" s="64"/>
      <c r="B748" s="64"/>
      <c r="D748" s="64"/>
      <c r="E748" s="64"/>
      <c r="G748" s="64"/>
      <c r="H748" s="64"/>
      <c r="J748" s="64"/>
      <c r="K748" s="64"/>
    </row>
    <row r="749" spans="1:11">
      <c r="A749" s="64"/>
      <c r="B749" s="64"/>
      <c r="D749" s="64"/>
      <c r="E749" s="64"/>
      <c r="G749" s="64"/>
      <c r="H749" s="64"/>
      <c r="J749" s="64"/>
      <c r="K749" s="64"/>
    </row>
    <row r="750" spans="1:11">
      <c r="A750" s="64"/>
      <c r="B750" s="64"/>
      <c r="D750" s="64"/>
      <c r="E750" s="64"/>
      <c r="G750" s="64"/>
      <c r="H750" s="64"/>
      <c r="J750" s="64"/>
      <c r="K750" s="64"/>
    </row>
    <row r="751" spans="1:11">
      <c r="A751" s="64"/>
      <c r="B751" s="64"/>
      <c r="D751" s="64"/>
      <c r="E751" s="64"/>
      <c r="G751" s="64"/>
      <c r="H751" s="64"/>
      <c r="J751" s="64"/>
      <c r="K751" s="64"/>
    </row>
    <row r="752" spans="1:11">
      <c r="A752" s="64"/>
      <c r="B752" s="64"/>
      <c r="D752" s="64"/>
      <c r="E752" s="64"/>
      <c r="G752" s="64"/>
      <c r="H752" s="64"/>
      <c r="J752" s="64"/>
      <c r="K752" s="64"/>
    </row>
    <row r="753" spans="1:11">
      <c r="A753" s="64"/>
      <c r="B753" s="64"/>
      <c r="D753" s="64"/>
      <c r="E753" s="64"/>
      <c r="G753" s="64"/>
      <c r="H753" s="64"/>
      <c r="J753" s="64"/>
      <c r="K753" s="64"/>
    </row>
    <row r="754" spans="1:11">
      <c r="A754" s="64"/>
      <c r="B754" s="64"/>
      <c r="D754" s="64"/>
      <c r="E754" s="64"/>
      <c r="G754" s="64"/>
      <c r="H754" s="64"/>
      <c r="J754" s="64"/>
      <c r="K754" s="64"/>
    </row>
    <row r="755" spans="1:11">
      <c r="A755" s="64"/>
      <c r="B755" s="64"/>
      <c r="D755" s="64"/>
      <c r="E755" s="64"/>
      <c r="G755" s="64"/>
      <c r="H755" s="64"/>
      <c r="J755" s="64"/>
      <c r="K755" s="64"/>
    </row>
    <row r="756" spans="1:11">
      <c r="A756" s="64"/>
      <c r="B756" s="64"/>
      <c r="D756" s="64"/>
      <c r="E756" s="64"/>
      <c r="G756" s="64"/>
      <c r="H756" s="64"/>
      <c r="J756" s="64"/>
      <c r="K756" s="64"/>
    </row>
    <row r="757" spans="1:11">
      <c r="A757" s="64"/>
      <c r="B757" s="64"/>
      <c r="D757" s="64"/>
      <c r="E757" s="64"/>
      <c r="G757" s="64"/>
      <c r="H757" s="64"/>
      <c r="J757" s="64"/>
      <c r="K757" s="64"/>
    </row>
    <row r="758" spans="1:11">
      <c r="A758" s="64"/>
      <c r="B758" s="64"/>
      <c r="D758" s="64"/>
      <c r="E758" s="64"/>
      <c r="G758" s="64"/>
      <c r="H758" s="64"/>
      <c r="J758" s="64"/>
      <c r="K758" s="64"/>
    </row>
    <row r="759" spans="1:11">
      <c r="A759" s="64"/>
      <c r="B759" s="64"/>
      <c r="D759" s="64"/>
      <c r="E759" s="64"/>
      <c r="G759" s="64"/>
      <c r="H759" s="64"/>
      <c r="J759" s="64"/>
      <c r="K759" s="64"/>
    </row>
    <row r="760" spans="1:11">
      <c r="A760" s="64"/>
      <c r="B760" s="64"/>
      <c r="D760" s="64"/>
      <c r="E760" s="64"/>
      <c r="G760" s="64"/>
      <c r="H760" s="64"/>
      <c r="J760" s="64"/>
      <c r="K760" s="64"/>
    </row>
    <row r="761" spans="1:11">
      <c r="A761" s="64"/>
      <c r="B761" s="64"/>
      <c r="D761" s="64"/>
      <c r="E761" s="64"/>
      <c r="G761" s="64"/>
      <c r="H761" s="64"/>
      <c r="J761" s="64"/>
      <c r="K761" s="64"/>
    </row>
    <row r="762" spans="1:11">
      <c r="A762" s="64"/>
      <c r="B762" s="64"/>
      <c r="D762" s="64"/>
      <c r="E762" s="64"/>
      <c r="G762" s="64"/>
      <c r="H762" s="64"/>
      <c r="J762" s="64"/>
      <c r="K762" s="64"/>
    </row>
    <row r="763" spans="1:11">
      <c r="A763" s="64"/>
      <c r="B763" s="64"/>
      <c r="D763" s="64"/>
      <c r="E763" s="64"/>
      <c r="G763" s="64"/>
      <c r="H763" s="64"/>
      <c r="J763" s="64"/>
      <c r="K763" s="64"/>
    </row>
    <row r="764" spans="1:11">
      <c r="A764" s="64"/>
      <c r="B764" s="64"/>
      <c r="D764" s="64"/>
      <c r="E764" s="64"/>
      <c r="G764" s="64"/>
      <c r="H764" s="64"/>
      <c r="J764" s="64"/>
      <c r="K764" s="64"/>
    </row>
    <row r="765" spans="1:11">
      <c r="A765" s="64"/>
      <c r="B765" s="64"/>
      <c r="D765" s="64"/>
      <c r="E765" s="64"/>
      <c r="G765" s="64"/>
      <c r="H765" s="64"/>
      <c r="J765" s="64"/>
      <c r="K765" s="64"/>
    </row>
    <row r="766" spans="1:11">
      <c r="A766" s="64"/>
      <c r="B766" s="64"/>
      <c r="D766" s="64"/>
      <c r="E766" s="64"/>
      <c r="G766" s="64"/>
      <c r="H766" s="64"/>
      <c r="J766" s="64"/>
      <c r="K766" s="64"/>
    </row>
    <row r="767" spans="1:11">
      <c r="A767" s="64"/>
      <c r="B767" s="64"/>
      <c r="D767" s="64"/>
      <c r="E767" s="64"/>
      <c r="G767" s="64"/>
      <c r="H767" s="64"/>
      <c r="J767" s="64"/>
      <c r="K767" s="64"/>
    </row>
    <row r="768" spans="1:11">
      <c r="A768" s="64"/>
      <c r="B768" s="64"/>
      <c r="D768" s="64"/>
      <c r="E768" s="64"/>
      <c r="G768" s="64"/>
      <c r="H768" s="64"/>
      <c r="J768" s="64"/>
      <c r="K768" s="64"/>
    </row>
    <row r="769" spans="1:11">
      <c r="A769" s="64"/>
      <c r="B769" s="64"/>
      <c r="D769" s="64"/>
      <c r="E769" s="64"/>
      <c r="G769" s="64"/>
      <c r="H769" s="64"/>
      <c r="J769" s="64"/>
      <c r="K769" s="64"/>
    </row>
    <row r="770" spans="1:11">
      <c r="A770" s="64"/>
      <c r="B770" s="64"/>
      <c r="D770" s="64"/>
      <c r="E770" s="64"/>
      <c r="G770" s="64"/>
      <c r="H770" s="64"/>
      <c r="J770" s="64"/>
      <c r="K770" s="64"/>
    </row>
    <row r="771" spans="1:11">
      <c r="A771" s="64"/>
      <c r="B771" s="64"/>
      <c r="D771" s="64"/>
      <c r="E771" s="64"/>
      <c r="G771" s="64"/>
      <c r="H771" s="64"/>
      <c r="J771" s="64"/>
      <c r="K771" s="64"/>
    </row>
    <row r="772" spans="1:11">
      <c r="A772" s="64"/>
      <c r="B772" s="64"/>
      <c r="D772" s="64"/>
      <c r="E772" s="64"/>
      <c r="G772" s="64"/>
      <c r="H772" s="64"/>
      <c r="J772" s="64"/>
      <c r="K772" s="64"/>
    </row>
    <row r="773" spans="1:11">
      <c r="A773" s="64"/>
      <c r="B773" s="64"/>
      <c r="D773" s="64"/>
      <c r="E773" s="64"/>
      <c r="G773" s="64"/>
      <c r="H773" s="64"/>
      <c r="J773" s="64"/>
      <c r="K773" s="64"/>
    </row>
    <row r="774" spans="1:11">
      <c r="A774" s="64"/>
      <c r="B774" s="64"/>
      <c r="D774" s="64"/>
      <c r="E774" s="64"/>
      <c r="G774" s="64"/>
      <c r="H774" s="64"/>
      <c r="J774" s="64"/>
      <c r="K774" s="64"/>
    </row>
    <row r="775" spans="1:11">
      <c r="A775" s="64"/>
      <c r="B775" s="64"/>
      <c r="D775" s="64"/>
      <c r="E775" s="64"/>
      <c r="G775" s="64"/>
      <c r="H775" s="64"/>
      <c r="J775" s="64"/>
      <c r="K775" s="64"/>
    </row>
    <row r="776" spans="1:11">
      <c r="A776" s="64"/>
      <c r="B776" s="64"/>
      <c r="D776" s="64"/>
      <c r="E776" s="64"/>
      <c r="G776" s="64"/>
      <c r="H776" s="64"/>
      <c r="J776" s="64"/>
      <c r="K776" s="64"/>
    </row>
    <row r="777" spans="1:11">
      <c r="A777" s="64"/>
      <c r="B777" s="64"/>
      <c r="D777" s="64"/>
      <c r="E777" s="64"/>
      <c r="G777" s="64"/>
      <c r="H777" s="64"/>
      <c r="J777" s="64"/>
      <c r="K777" s="64"/>
    </row>
    <row r="778" spans="1:11">
      <c r="A778" s="64"/>
      <c r="B778" s="64"/>
      <c r="D778" s="64"/>
      <c r="E778" s="64"/>
      <c r="G778" s="64"/>
      <c r="H778" s="64"/>
      <c r="J778" s="64"/>
      <c r="K778" s="64"/>
    </row>
    <row r="779" spans="1:11">
      <c r="A779" s="64"/>
      <c r="B779" s="64"/>
      <c r="D779" s="64"/>
      <c r="E779" s="64"/>
      <c r="G779" s="64"/>
      <c r="H779" s="64"/>
      <c r="J779" s="64"/>
      <c r="K779" s="64"/>
    </row>
    <row r="780" spans="1:11">
      <c r="A780" s="64"/>
      <c r="B780" s="64"/>
      <c r="D780" s="64"/>
      <c r="E780" s="64"/>
      <c r="G780" s="64"/>
      <c r="H780" s="64"/>
      <c r="J780" s="64"/>
      <c r="K780" s="64"/>
    </row>
    <row r="781" spans="1:11">
      <c r="A781" s="64"/>
      <c r="B781" s="64"/>
      <c r="D781" s="64"/>
      <c r="E781" s="64"/>
      <c r="G781" s="64"/>
      <c r="H781" s="64"/>
      <c r="J781" s="64"/>
      <c r="K781" s="64"/>
    </row>
    <row r="782" spans="1:11">
      <c r="A782" s="64"/>
      <c r="B782" s="64"/>
      <c r="D782" s="64"/>
      <c r="E782" s="64"/>
      <c r="G782" s="64"/>
      <c r="H782" s="64"/>
      <c r="J782" s="64"/>
      <c r="K782" s="64"/>
    </row>
    <row r="783" spans="1:11">
      <c r="A783" s="64"/>
      <c r="B783" s="64"/>
      <c r="D783" s="64"/>
      <c r="E783" s="64"/>
      <c r="G783" s="64"/>
      <c r="H783" s="64"/>
      <c r="J783" s="64"/>
      <c r="K783" s="64"/>
    </row>
    <row r="784" spans="1:11">
      <c r="A784" s="64"/>
      <c r="B784" s="64"/>
      <c r="D784" s="64"/>
      <c r="E784" s="64"/>
      <c r="G784" s="64"/>
      <c r="H784" s="64"/>
      <c r="J784" s="64"/>
      <c r="K784" s="64"/>
    </row>
    <row r="785" spans="1:11">
      <c r="A785" s="64"/>
      <c r="B785" s="64"/>
      <c r="D785" s="64"/>
      <c r="E785" s="64"/>
      <c r="G785" s="64"/>
      <c r="H785" s="64"/>
      <c r="J785" s="64"/>
      <c r="K785" s="64"/>
    </row>
    <row r="786" spans="1:11">
      <c r="A786" s="64"/>
      <c r="B786" s="64"/>
      <c r="D786" s="64"/>
      <c r="E786" s="64"/>
      <c r="G786" s="64"/>
      <c r="H786" s="64"/>
      <c r="J786" s="64"/>
      <c r="K786" s="64"/>
    </row>
    <row r="787" spans="1:11">
      <c r="A787" s="64"/>
      <c r="B787" s="64"/>
      <c r="D787" s="64"/>
      <c r="E787" s="64"/>
      <c r="G787" s="64"/>
      <c r="H787" s="64"/>
      <c r="J787" s="64"/>
      <c r="K787" s="64"/>
    </row>
    <row r="788" spans="1:11">
      <c r="A788" s="64"/>
      <c r="B788" s="64"/>
      <c r="D788" s="64"/>
      <c r="E788" s="64"/>
      <c r="G788" s="64"/>
      <c r="H788" s="64"/>
      <c r="J788" s="64"/>
      <c r="K788" s="64"/>
    </row>
    <row r="789" spans="1:11">
      <c r="A789" s="64"/>
      <c r="B789" s="64"/>
      <c r="D789" s="64"/>
      <c r="E789" s="64"/>
      <c r="G789" s="64"/>
      <c r="H789" s="64"/>
      <c r="J789" s="64"/>
      <c r="K789" s="64"/>
    </row>
    <row r="790" spans="1:11">
      <c r="A790" s="64"/>
      <c r="B790" s="64"/>
      <c r="D790" s="64"/>
      <c r="E790" s="64"/>
      <c r="G790" s="64"/>
      <c r="H790" s="64"/>
      <c r="J790" s="64"/>
      <c r="K790" s="64"/>
    </row>
    <row r="791" spans="1:11">
      <c r="A791" s="64"/>
      <c r="B791" s="64"/>
      <c r="D791" s="64"/>
      <c r="E791" s="64"/>
      <c r="G791" s="64"/>
      <c r="H791" s="64"/>
      <c r="J791" s="64"/>
      <c r="K791" s="64"/>
    </row>
    <row r="792" spans="1:11">
      <c r="A792" s="64"/>
      <c r="B792" s="64"/>
      <c r="D792" s="64"/>
      <c r="E792" s="64"/>
      <c r="G792" s="64"/>
      <c r="H792" s="64"/>
      <c r="J792" s="64"/>
      <c r="K792" s="64"/>
    </row>
    <row r="793" spans="1:11">
      <c r="A793" s="64"/>
      <c r="B793" s="64"/>
      <c r="D793" s="64"/>
      <c r="E793" s="64"/>
      <c r="G793" s="64"/>
      <c r="H793" s="64"/>
      <c r="J793" s="64"/>
      <c r="K793" s="64"/>
    </row>
    <row r="794" spans="1:11">
      <c r="A794" s="64"/>
      <c r="B794" s="64"/>
      <c r="D794" s="64"/>
      <c r="E794" s="64"/>
      <c r="G794" s="64"/>
      <c r="H794" s="64"/>
      <c r="J794" s="64"/>
      <c r="K794" s="64"/>
    </row>
    <row r="795" spans="1:11">
      <c r="A795" s="64"/>
      <c r="B795" s="64"/>
      <c r="D795" s="64"/>
      <c r="E795" s="64"/>
      <c r="G795" s="64"/>
      <c r="H795" s="64"/>
      <c r="J795" s="64"/>
      <c r="K795" s="64"/>
    </row>
    <row r="796" spans="1:11">
      <c r="A796" s="64"/>
      <c r="B796" s="64"/>
      <c r="D796" s="64"/>
      <c r="E796" s="64"/>
      <c r="G796" s="64"/>
      <c r="H796" s="64"/>
      <c r="J796" s="64"/>
      <c r="K796" s="64"/>
    </row>
    <row r="797" spans="1:11">
      <c r="A797" s="64"/>
      <c r="B797" s="64"/>
      <c r="D797" s="64"/>
      <c r="E797" s="64"/>
      <c r="G797" s="64"/>
      <c r="H797" s="64"/>
      <c r="J797" s="64"/>
      <c r="K797" s="64"/>
    </row>
    <row r="798" spans="1:11">
      <c r="A798" s="64"/>
      <c r="B798" s="64"/>
      <c r="D798" s="64"/>
      <c r="E798" s="64"/>
      <c r="G798" s="64"/>
      <c r="H798" s="64"/>
      <c r="J798" s="64"/>
      <c r="K798" s="64"/>
    </row>
    <row r="799" spans="1:11">
      <c r="A799" s="64"/>
      <c r="B799" s="64"/>
      <c r="D799" s="64"/>
      <c r="E799" s="64"/>
      <c r="G799" s="64"/>
      <c r="H799" s="64"/>
      <c r="J799" s="64"/>
      <c r="K799" s="64"/>
    </row>
    <row r="800" spans="1:11">
      <c r="A800" s="64"/>
      <c r="B800" s="64"/>
      <c r="D800" s="64"/>
      <c r="E800" s="64"/>
      <c r="G800" s="64"/>
      <c r="H800" s="64"/>
      <c r="J800" s="64"/>
      <c r="K800" s="64"/>
    </row>
    <row r="801" spans="1:11">
      <c r="A801" s="64"/>
      <c r="B801" s="64"/>
      <c r="D801" s="64"/>
      <c r="E801" s="64"/>
      <c r="G801" s="64"/>
      <c r="H801" s="64"/>
      <c r="J801" s="64"/>
      <c r="K801" s="64"/>
    </row>
    <row r="802" spans="1:11">
      <c r="A802" s="64"/>
      <c r="B802" s="64"/>
      <c r="D802" s="64"/>
      <c r="E802" s="64"/>
      <c r="G802" s="64"/>
      <c r="H802" s="64"/>
      <c r="J802" s="64"/>
      <c r="K802" s="64"/>
    </row>
    <row r="803" spans="1:11">
      <c r="A803" s="64"/>
      <c r="B803" s="64"/>
      <c r="D803" s="64"/>
      <c r="E803" s="64"/>
      <c r="G803" s="64"/>
      <c r="H803" s="64"/>
      <c r="J803" s="64"/>
      <c r="K803" s="64"/>
    </row>
    <row r="804" spans="1:11">
      <c r="A804" s="64"/>
      <c r="B804" s="64"/>
      <c r="D804" s="64"/>
      <c r="E804" s="64"/>
      <c r="G804" s="64"/>
      <c r="H804" s="64"/>
      <c r="J804" s="64"/>
      <c r="K804" s="64"/>
    </row>
    <row r="805" spans="1:11">
      <c r="A805" s="64"/>
      <c r="B805" s="64"/>
      <c r="D805" s="64"/>
      <c r="E805" s="64"/>
      <c r="G805" s="64"/>
      <c r="H805" s="64"/>
      <c r="J805" s="64"/>
      <c r="K805" s="64"/>
    </row>
    <row r="806" spans="1:11">
      <c r="A806" s="64"/>
      <c r="B806" s="64"/>
      <c r="D806" s="64"/>
      <c r="E806" s="64"/>
      <c r="G806" s="64"/>
      <c r="H806" s="64"/>
      <c r="J806" s="64"/>
      <c r="K806" s="64"/>
    </row>
    <row r="807" spans="1:11">
      <c r="A807" s="64"/>
      <c r="B807" s="64"/>
      <c r="D807" s="64"/>
      <c r="E807" s="64"/>
      <c r="G807" s="64"/>
      <c r="H807" s="64"/>
      <c r="J807" s="64"/>
      <c r="K807" s="64"/>
    </row>
    <row r="808" spans="1:11">
      <c r="A808" s="64"/>
      <c r="B808" s="64"/>
      <c r="D808" s="64"/>
      <c r="E808" s="64"/>
      <c r="G808" s="64"/>
      <c r="H808" s="64"/>
      <c r="J808" s="64"/>
      <c r="K808" s="64"/>
    </row>
    <row r="809" spans="1:11">
      <c r="A809" s="64"/>
      <c r="B809" s="64"/>
      <c r="D809" s="64"/>
      <c r="E809" s="64"/>
      <c r="G809" s="64"/>
      <c r="H809" s="64"/>
      <c r="J809" s="64"/>
      <c r="K809" s="64"/>
    </row>
    <row r="810" spans="1:11">
      <c r="A810" s="64"/>
      <c r="B810" s="64"/>
      <c r="D810" s="64"/>
      <c r="E810" s="64"/>
      <c r="G810" s="64"/>
      <c r="H810" s="64"/>
      <c r="J810" s="64"/>
      <c r="K810" s="64"/>
    </row>
    <row r="811" spans="1:11">
      <c r="A811" s="64"/>
      <c r="B811" s="64"/>
      <c r="D811" s="64"/>
      <c r="E811" s="64"/>
      <c r="G811" s="64"/>
      <c r="H811" s="64"/>
      <c r="J811" s="64"/>
      <c r="K811" s="64"/>
    </row>
    <row r="812" spans="1:11">
      <c r="A812" s="64"/>
      <c r="B812" s="64"/>
      <c r="D812" s="64"/>
      <c r="E812" s="64"/>
      <c r="G812" s="64"/>
      <c r="H812" s="64"/>
      <c r="J812" s="64"/>
      <c r="K812" s="64"/>
    </row>
    <row r="813" spans="1:11">
      <c r="A813" s="64"/>
      <c r="B813" s="64"/>
      <c r="D813" s="64"/>
      <c r="E813" s="64"/>
      <c r="G813" s="64"/>
      <c r="H813" s="64"/>
      <c r="J813" s="64"/>
      <c r="K813" s="64"/>
    </row>
    <row r="814" spans="1:11">
      <c r="A814" s="64"/>
      <c r="B814" s="64"/>
      <c r="D814" s="64"/>
      <c r="E814" s="64"/>
      <c r="G814" s="64"/>
      <c r="H814" s="64"/>
      <c r="J814" s="64"/>
      <c r="K814" s="64"/>
    </row>
    <row r="815" spans="1:11">
      <c r="A815" s="64"/>
      <c r="B815" s="64"/>
      <c r="D815" s="64"/>
      <c r="E815" s="64"/>
      <c r="G815" s="64"/>
      <c r="H815" s="64"/>
      <c r="J815" s="64"/>
      <c r="K815" s="64"/>
    </row>
    <row r="816" spans="1:11">
      <c r="A816" s="64"/>
      <c r="B816" s="64"/>
      <c r="D816" s="64"/>
      <c r="E816" s="64"/>
      <c r="G816" s="64"/>
      <c r="H816" s="64"/>
      <c r="J816" s="64"/>
      <c r="K816" s="64"/>
    </row>
    <row r="817" spans="1:11">
      <c r="A817" s="64"/>
      <c r="B817" s="64"/>
      <c r="D817" s="64"/>
      <c r="E817" s="64"/>
      <c r="G817" s="64"/>
      <c r="H817" s="64"/>
      <c r="J817" s="64"/>
      <c r="K817" s="64"/>
    </row>
    <row r="818" spans="1:11">
      <c r="A818" s="64"/>
      <c r="B818" s="64"/>
      <c r="D818" s="64"/>
      <c r="E818" s="64"/>
      <c r="G818" s="64"/>
      <c r="H818" s="64"/>
      <c r="J818" s="64"/>
      <c r="K818" s="64"/>
    </row>
    <row r="819" spans="1:11">
      <c r="A819" s="64"/>
      <c r="B819" s="64"/>
      <c r="D819" s="64"/>
      <c r="E819" s="64"/>
      <c r="G819" s="64"/>
      <c r="H819" s="64"/>
      <c r="J819" s="64"/>
      <c r="K819" s="64"/>
    </row>
    <row r="820" spans="1:11">
      <c r="A820" s="64"/>
      <c r="B820" s="64"/>
      <c r="D820" s="64"/>
      <c r="E820" s="64"/>
      <c r="G820" s="64"/>
      <c r="H820" s="64"/>
      <c r="J820" s="64"/>
      <c r="K820" s="64"/>
    </row>
    <row r="821" spans="1:11">
      <c r="A821" s="64"/>
      <c r="B821" s="64"/>
      <c r="D821" s="64"/>
      <c r="E821" s="64"/>
      <c r="G821" s="64"/>
      <c r="H821" s="64"/>
      <c r="J821" s="64"/>
      <c r="K821" s="64"/>
    </row>
    <row r="822" spans="1:11">
      <c r="A822" s="64"/>
      <c r="B822" s="64"/>
      <c r="D822" s="64"/>
      <c r="E822" s="64"/>
      <c r="G822" s="64"/>
      <c r="H822" s="64"/>
      <c r="J822" s="64"/>
      <c r="K822" s="64"/>
    </row>
    <row r="823" spans="1:11">
      <c r="A823" s="64"/>
      <c r="B823" s="64"/>
      <c r="D823" s="64"/>
      <c r="E823" s="64"/>
      <c r="G823" s="64"/>
      <c r="H823" s="64"/>
      <c r="J823" s="64"/>
      <c r="K823" s="64"/>
    </row>
    <row r="824" spans="1:11">
      <c r="A824" s="64"/>
      <c r="B824" s="64"/>
      <c r="D824" s="64"/>
      <c r="E824" s="64"/>
      <c r="G824" s="64"/>
      <c r="H824" s="64"/>
      <c r="J824" s="64"/>
      <c r="K824" s="64"/>
    </row>
    <row r="825" spans="1:11">
      <c r="A825" s="64"/>
      <c r="B825" s="64"/>
      <c r="D825" s="64"/>
      <c r="E825" s="64"/>
      <c r="G825" s="64"/>
      <c r="H825" s="64"/>
      <c r="J825" s="64"/>
      <c r="K825" s="64"/>
    </row>
    <row r="826" spans="1:11">
      <c r="A826" s="64"/>
      <c r="B826" s="64"/>
      <c r="D826" s="64"/>
      <c r="E826" s="64"/>
      <c r="G826" s="64"/>
      <c r="H826" s="64"/>
      <c r="J826" s="64"/>
      <c r="K826" s="64"/>
    </row>
    <row r="827" spans="1:11">
      <c r="A827" s="64"/>
      <c r="B827" s="64"/>
      <c r="D827" s="64"/>
      <c r="E827" s="64"/>
      <c r="G827" s="64"/>
      <c r="H827" s="64"/>
      <c r="J827" s="64"/>
      <c r="K827" s="64"/>
    </row>
    <row r="828" spans="1:11">
      <c r="A828" s="64"/>
      <c r="B828" s="64"/>
      <c r="D828" s="64"/>
      <c r="E828" s="64"/>
      <c r="G828" s="64"/>
      <c r="H828" s="64"/>
      <c r="J828" s="64"/>
      <c r="K828" s="64"/>
    </row>
    <row r="829" spans="1:11">
      <c r="A829" s="64"/>
      <c r="B829" s="64"/>
      <c r="D829" s="64"/>
      <c r="E829" s="64"/>
      <c r="G829" s="64"/>
      <c r="H829" s="64"/>
      <c r="J829" s="64"/>
      <c r="K829" s="64"/>
    </row>
    <row r="830" spans="1:11">
      <c r="A830" s="64"/>
      <c r="B830" s="64"/>
      <c r="D830" s="64"/>
      <c r="E830" s="64"/>
      <c r="G830" s="64"/>
      <c r="H830" s="64"/>
      <c r="J830" s="64"/>
      <c r="K830" s="64"/>
    </row>
    <row r="831" spans="1:11">
      <c r="A831" s="64"/>
      <c r="B831" s="64"/>
      <c r="D831" s="64"/>
      <c r="E831" s="64"/>
      <c r="G831" s="64"/>
      <c r="H831" s="64"/>
      <c r="J831" s="64"/>
      <c r="K831" s="64"/>
    </row>
    <row r="832" spans="1:11">
      <c r="A832" s="64"/>
      <c r="B832" s="64"/>
      <c r="D832" s="64"/>
      <c r="E832" s="64"/>
      <c r="G832" s="64"/>
      <c r="H832" s="64"/>
      <c r="J832" s="64"/>
      <c r="K832" s="64"/>
    </row>
    <row r="833" spans="1:11">
      <c r="A833" s="64"/>
      <c r="B833" s="64"/>
      <c r="D833" s="64"/>
      <c r="E833" s="64"/>
      <c r="G833" s="64"/>
      <c r="H833" s="64"/>
      <c r="J833" s="64"/>
      <c r="K833" s="64"/>
    </row>
    <row r="834" spans="1:11">
      <c r="A834" s="64"/>
      <c r="B834" s="64"/>
      <c r="D834" s="64"/>
      <c r="E834" s="64"/>
      <c r="G834" s="64"/>
      <c r="H834" s="64"/>
      <c r="J834" s="64"/>
      <c r="K834" s="64"/>
    </row>
    <row r="835" spans="1:11">
      <c r="A835" s="64"/>
      <c r="B835" s="64"/>
      <c r="D835" s="64"/>
      <c r="E835" s="64"/>
      <c r="G835" s="64"/>
      <c r="H835" s="64"/>
      <c r="J835" s="64"/>
      <c r="K835" s="64"/>
    </row>
    <row r="836" spans="1:11">
      <c r="A836" s="64"/>
      <c r="B836" s="64"/>
      <c r="D836" s="64"/>
      <c r="E836" s="64"/>
      <c r="G836" s="64"/>
      <c r="H836" s="64"/>
      <c r="J836" s="64"/>
      <c r="K836" s="64"/>
    </row>
    <row r="837" spans="1:11">
      <c r="A837" s="64"/>
      <c r="B837" s="64"/>
      <c r="D837" s="64"/>
      <c r="E837" s="64"/>
      <c r="G837" s="64"/>
      <c r="H837" s="64"/>
      <c r="J837" s="64"/>
      <c r="K837" s="64"/>
    </row>
    <row r="838" spans="1:11">
      <c r="A838" s="64"/>
      <c r="B838" s="64"/>
      <c r="D838" s="64"/>
      <c r="E838" s="64"/>
      <c r="G838" s="64"/>
      <c r="H838" s="64"/>
      <c r="J838" s="64"/>
      <c r="K838" s="64"/>
    </row>
    <row r="839" spans="1:11">
      <c r="A839" s="64"/>
      <c r="B839" s="64"/>
      <c r="D839" s="64"/>
      <c r="E839" s="64"/>
      <c r="G839" s="64"/>
      <c r="H839" s="64"/>
      <c r="J839" s="64"/>
      <c r="K839" s="64"/>
    </row>
    <row r="840" spans="1:11">
      <c r="A840" s="64"/>
      <c r="B840" s="64"/>
      <c r="D840" s="64"/>
      <c r="E840" s="64"/>
      <c r="G840" s="64"/>
      <c r="H840" s="64"/>
      <c r="J840" s="64"/>
      <c r="K840" s="64"/>
    </row>
    <row r="841" spans="1:11">
      <c r="A841" s="64"/>
      <c r="B841" s="64"/>
      <c r="D841" s="64"/>
      <c r="E841" s="64"/>
      <c r="G841" s="64"/>
      <c r="H841" s="64"/>
      <c r="J841" s="64"/>
      <c r="K841" s="64"/>
    </row>
    <row r="842" spans="1:11">
      <c r="A842" s="64"/>
      <c r="B842" s="64"/>
      <c r="D842" s="64"/>
      <c r="E842" s="64"/>
      <c r="G842" s="64"/>
      <c r="H842" s="64"/>
      <c r="J842" s="64"/>
      <c r="K842" s="64"/>
    </row>
    <row r="843" spans="1:11">
      <c r="A843" s="64"/>
      <c r="B843" s="64"/>
      <c r="D843" s="64"/>
      <c r="E843" s="64"/>
      <c r="G843" s="64"/>
      <c r="H843" s="64"/>
      <c r="J843" s="64"/>
      <c r="K843" s="64"/>
    </row>
    <row r="844" spans="1:11">
      <c r="A844" s="64"/>
      <c r="B844" s="64"/>
      <c r="D844" s="64"/>
      <c r="E844" s="64"/>
      <c r="G844" s="64"/>
      <c r="H844" s="64"/>
      <c r="J844" s="64"/>
      <c r="K844" s="64"/>
    </row>
    <row r="845" spans="1:11">
      <c r="A845" s="64"/>
      <c r="B845" s="64"/>
      <c r="D845" s="64"/>
      <c r="E845" s="64"/>
      <c r="G845" s="64"/>
      <c r="H845" s="64"/>
      <c r="J845" s="64"/>
      <c r="K845" s="64"/>
    </row>
    <row r="846" spans="1:11">
      <c r="A846" s="64"/>
      <c r="B846" s="64"/>
      <c r="D846" s="64"/>
      <c r="E846" s="64"/>
      <c r="G846" s="64"/>
      <c r="H846" s="64"/>
      <c r="J846" s="64"/>
      <c r="K846" s="64"/>
    </row>
    <row r="847" spans="1:11">
      <c r="A847" s="64"/>
      <c r="B847" s="64"/>
      <c r="D847" s="64"/>
      <c r="E847" s="64"/>
      <c r="G847" s="64"/>
      <c r="H847" s="64"/>
      <c r="J847" s="64"/>
      <c r="K847" s="64"/>
    </row>
    <row r="848" spans="1:11">
      <c r="A848" s="64"/>
      <c r="B848" s="64"/>
      <c r="D848" s="64"/>
      <c r="E848" s="64"/>
      <c r="G848" s="64"/>
      <c r="H848" s="64"/>
      <c r="J848" s="64"/>
      <c r="K848" s="64"/>
    </row>
    <row r="849" spans="1:11">
      <c r="A849" s="64"/>
      <c r="B849" s="64"/>
      <c r="D849" s="64"/>
      <c r="E849" s="64"/>
      <c r="G849" s="64"/>
      <c r="H849" s="64"/>
      <c r="J849" s="64"/>
      <c r="K849" s="64"/>
    </row>
    <row r="850" spans="1:11">
      <c r="A850" s="64"/>
      <c r="B850" s="64"/>
      <c r="D850" s="64"/>
      <c r="E850" s="64"/>
      <c r="G850" s="64"/>
      <c r="H850" s="64"/>
      <c r="J850" s="64"/>
      <c r="K850" s="64"/>
    </row>
    <row r="851" spans="1:11">
      <c r="A851" s="64"/>
      <c r="B851" s="64"/>
      <c r="D851" s="64"/>
      <c r="E851" s="64"/>
      <c r="G851" s="64"/>
      <c r="H851" s="64"/>
      <c r="J851" s="64"/>
      <c r="K851" s="64"/>
    </row>
    <row r="852" spans="1:11">
      <c r="A852" s="64"/>
      <c r="B852" s="64"/>
      <c r="D852" s="64"/>
      <c r="E852" s="64"/>
      <c r="G852" s="64"/>
      <c r="H852" s="64"/>
      <c r="J852" s="64"/>
      <c r="K852" s="64"/>
    </row>
    <row r="853" spans="1:11">
      <c r="A853" s="64"/>
      <c r="B853" s="64"/>
      <c r="D853" s="64"/>
      <c r="E853" s="64"/>
      <c r="G853" s="64"/>
      <c r="H853" s="64"/>
      <c r="J853" s="64"/>
      <c r="K853" s="64"/>
    </row>
    <row r="854" spans="1:11">
      <c r="A854" s="64"/>
      <c r="B854" s="64"/>
      <c r="D854" s="64"/>
      <c r="E854" s="64"/>
      <c r="G854" s="64"/>
      <c r="H854" s="64"/>
      <c r="J854" s="64"/>
      <c r="K854" s="64"/>
    </row>
    <row r="855" spans="1:11">
      <c r="A855" s="64"/>
      <c r="B855" s="64"/>
      <c r="D855" s="64"/>
      <c r="E855" s="64"/>
      <c r="G855" s="64"/>
      <c r="H855" s="64"/>
      <c r="J855" s="64"/>
      <c r="K855" s="64"/>
    </row>
    <row r="856" spans="1:11">
      <c r="A856" s="64"/>
      <c r="B856" s="64"/>
      <c r="D856" s="64"/>
      <c r="E856" s="64"/>
      <c r="G856" s="64"/>
      <c r="H856" s="64"/>
      <c r="J856" s="64"/>
      <c r="K856" s="64"/>
    </row>
    <row r="857" spans="1:11">
      <c r="A857" s="64"/>
      <c r="B857" s="64"/>
      <c r="D857" s="64"/>
      <c r="E857" s="64"/>
      <c r="G857" s="64"/>
      <c r="H857" s="64"/>
      <c r="J857" s="64"/>
      <c r="K857" s="64"/>
    </row>
    <row r="858" spans="1:11">
      <c r="A858" s="64"/>
      <c r="B858" s="64"/>
      <c r="D858" s="64"/>
      <c r="E858" s="64"/>
      <c r="G858" s="64"/>
      <c r="H858" s="64"/>
      <c r="J858" s="64"/>
      <c r="K858" s="64"/>
    </row>
    <row r="859" spans="1:11">
      <c r="A859" s="64"/>
      <c r="B859" s="64"/>
      <c r="D859" s="64"/>
      <c r="E859" s="64"/>
      <c r="G859" s="64"/>
      <c r="H859" s="64"/>
      <c r="J859" s="64"/>
      <c r="K859" s="64"/>
    </row>
    <row r="860" spans="1:11">
      <c r="A860" s="64"/>
      <c r="B860" s="64"/>
      <c r="D860" s="64"/>
      <c r="E860" s="64"/>
      <c r="G860" s="64"/>
      <c r="H860" s="64"/>
      <c r="J860" s="64"/>
      <c r="K860" s="64"/>
    </row>
    <row r="861" spans="1:11">
      <c r="A861" s="64"/>
      <c r="B861" s="64"/>
      <c r="D861" s="64"/>
      <c r="E861" s="64"/>
      <c r="G861" s="64"/>
      <c r="H861" s="64"/>
      <c r="J861" s="64"/>
      <c r="K861" s="64"/>
    </row>
    <row r="862" spans="1:11">
      <c r="A862" s="64"/>
      <c r="B862" s="64"/>
      <c r="D862" s="64"/>
      <c r="E862" s="64"/>
      <c r="G862" s="64"/>
      <c r="H862" s="64"/>
      <c r="J862" s="64"/>
      <c r="K862" s="64"/>
    </row>
    <row r="863" spans="1:11">
      <c r="A863" s="64"/>
      <c r="B863" s="64"/>
      <c r="D863" s="64"/>
      <c r="E863" s="64"/>
      <c r="G863" s="64"/>
      <c r="H863" s="64"/>
      <c r="J863" s="64"/>
      <c r="K863" s="64"/>
    </row>
    <row r="864" spans="1:11">
      <c r="A864" s="64"/>
      <c r="B864" s="64"/>
      <c r="D864" s="64"/>
      <c r="E864" s="64"/>
      <c r="G864" s="64"/>
      <c r="H864" s="64"/>
      <c r="J864" s="64"/>
      <c r="K864" s="64"/>
    </row>
    <row r="865" spans="1:11">
      <c r="A865" s="64"/>
      <c r="B865" s="64"/>
      <c r="D865" s="64"/>
      <c r="E865" s="64"/>
      <c r="G865" s="64"/>
      <c r="H865" s="64"/>
      <c r="J865" s="64"/>
      <c r="K865" s="64"/>
    </row>
    <row r="866" spans="1:11">
      <c r="A866" s="64"/>
      <c r="B866" s="64"/>
      <c r="D866" s="64"/>
      <c r="E866" s="64"/>
      <c r="G866" s="64"/>
      <c r="H866" s="64"/>
      <c r="J866" s="64"/>
      <c r="K866" s="64"/>
    </row>
    <row r="867" spans="1:11">
      <c r="A867" s="64"/>
      <c r="B867" s="64"/>
      <c r="D867" s="64"/>
      <c r="E867" s="64"/>
      <c r="G867" s="64"/>
      <c r="H867" s="64"/>
      <c r="J867" s="64"/>
      <c r="K867" s="64"/>
    </row>
    <row r="868" spans="1:11">
      <c r="A868" s="64"/>
      <c r="B868" s="64"/>
      <c r="D868" s="64"/>
      <c r="E868" s="64"/>
      <c r="G868" s="64"/>
      <c r="H868" s="64"/>
      <c r="J868" s="64"/>
      <c r="K868" s="64"/>
    </row>
    <row r="869" spans="1:11">
      <c r="A869" s="64"/>
      <c r="B869" s="64"/>
      <c r="D869" s="64"/>
      <c r="E869" s="64"/>
      <c r="G869" s="64"/>
      <c r="H869" s="64"/>
      <c r="J869" s="64"/>
      <c r="K869" s="64"/>
    </row>
    <row r="870" spans="1:11">
      <c r="A870" s="64"/>
      <c r="B870" s="64"/>
      <c r="D870" s="64"/>
      <c r="E870" s="64"/>
      <c r="G870" s="64"/>
      <c r="H870" s="64"/>
      <c r="J870" s="64"/>
      <c r="K870" s="64"/>
    </row>
    <row r="871" spans="1:11">
      <c r="A871" s="64"/>
      <c r="B871" s="64"/>
      <c r="D871" s="64"/>
      <c r="E871" s="64"/>
      <c r="G871" s="64"/>
      <c r="H871" s="64"/>
      <c r="J871" s="64"/>
      <c r="K871" s="64"/>
    </row>
    <row r="872" spans="1:11">
      <c r="A872" s="64"/>
      <c r="B872" s="64"/>
      <c r="D872" s="64"/>
      <c r="E872" s="64"/>
      <c r="G872" s="64"/>
      <c r="H872" s="64"/>
      <c r="J872" s="64"/>
      <c r="K872" s="64"/>
    </row>
    <row r="873" spans="1:11">
      <c r="A873" s="64"/>
      <c r="B873" s="64"/>
      <c r="D873" s="64"/>
      <c r="E873" s="64"/>
      <c r="G873" s="64"/>
      <c r="H873" s="64"/>
      <c r="J873" s="64"/>
      <c r="K873" s="64"/>
    </row>
    <row r="874" spans="1:11">
      <c r="A874" s="64"/>
      <c r="B874" s="64"/>
      <c r="D874" s="64"/>
      <c r="E874" s="64"/>
      <c r="G874" s="64"/>
      <c r="H874" s="64"/>
      <c r="J874" s="64"/>
      <c r="K874" s="64"/>
    </row>
    <row r="875" spans="1:11">
      <c r="A875" s="64"/>
      <c r="B875" s="64"/>
      <c r="D875" s="64"/>
      <c r="E875" s="64"/>
      <c r="G875" s="64"/>
      <c r="H875" s="64"/>
      <c r="J875" s="64"/>
      <c r="K875" s="64"/>
    </row>
    <row r="876" spans="1:11">
      <c r="A876" s="64"/>
      <c r="B876" s="64"/>
      <c r="D876" s="64"/>
      <c r="E876" s="64"/>
      <c r="G876" s="64"/>
      <c r="H876" s="64"/>
      <c r="J876" s="64"/>
      <c r="K876" s="64"/>
    </row>
    <row r="877" spans="1:11">
      <c r="A877" s="64"/>
      <c r="B877" s="64"/>
      <c r="D877" s="64"/>
      <c r="E877" s="64"/>
      <c r="G877" s="64"/>
      <c r="H877" s="64"/>
      <c r="J877" s="64"/>
      <c r="K877" s="64"/>
    </row>
    <row r="878" spans="1:11">
      <c r="A878" s="64"/>
      <c r="B878" s="64"/>
      <c r="D878" s="64"/>
      <c r="E878" s="64"/>
      <c r="G878" s="64"/>
      <c r="H878" s="64"/>
      <c r="J878" s="64"/>
      <c r="K878" s="64"/>
    </row>
    <row r="879" spans="1:11">
      <c r="A879" s="64"/>
      <c r="B879" s="64"/>
      <c r="D879" s="64"/>
      <c r="E879" s="64"/>
      <c r="G879" s="64"/>
      <c r="H879" s="64"/>
      <c r="J879" s="64"/>
      <c r="K879" s="64"/>
    </row>
    <row r="880" spans="1:11">
      <c r="A880" s="64"/>
      <c r="B880" s="64"/>
      <c r="D880" s="64"/>
      <c r="E880" s="64"/>
      <c r="G880" s="64"/>
      <c r="H880" s="64"/>
      <c r="J880" s="64"/>
      <c r="K880" s="64"/>
    </row>
    <row r="881" spans="1:11">
      <c r="A881" s="64"/>
      <c r="B881" s="64"/>
      <c r="D881" s="64"/>
      <c r="E881" s="64"/>
      <c r="G881" s="64"/>
      <c r="H881" s="64"/>
      <c r="J881" s="64"/>
      <c r="K881" s="64"/>
    </row>
    <row r="882" spans="1:11">
      <c r="A882" s="64"/>
      <c r="B882" s="64"/>
      <c r="D882" s="64"/>
      <c r="E882" s="64"/>
      <c r="G882" s="64"/>
      <c r="H882" s="64"/>
      <c r="J882" s="64"/>
      <c r="K882" s="64"/>
    </row>
    <row r="883" spans="1:11">
      <c r="A883" s="64"/>
      <c r="B883" s="64"/>
      <c r="D883" s="64"/>
      <c r="E883" s="64"/>
      <c r="G883" s="64"/>
      <c r="H883" s="64"/>
      <c r="J883" s="64"/>
      <c r="K883" s="64"/>
    </row>
    <row r="884" spans="1:11">
      <c r="A884" s="64"/>
      <c r="B884" s="64"/>
      <c r="D884" s="64"/>
      <c r="E884" s="64"/>
      <c r="G884" s="64"/>
      <c r="H884" s="64"/>
      <c r="J884" s="64"/>
      <c r="K884" s="64"/>
    </row>
    <row r="885" spans="1:11">
      <c r="A885" s="64"/>
      <c r="B885" s="64"/>
      <c r="D885" s="64"/>
      <c r="E885" s="64"/>
      <c r="G885" s="64"/>
      <c r="H885" s="64"/>
      <c r="J885" s="64"/>
      <c r="K885" s="64"/>
    </row>
    <row r="886" spans="1:11">
      <c r="A886" s="64"/>
      <c r="B886" s="64"/>
      <c r="D886" s="64"/>
      <c r="E886" s="64"/>
      <c r="G886" s="64"/>
      <c r="H886" s="64"/>
      <c r="J886" s="64"/>
      <c r="K886" s="64"/>
    </row>
    <row r="887" spans="1:11">
      <c r="A887" s="64"/>
      <c r="B887" s="64"/>
      <c r="D887" s="64"/>
      <c r="E887" s="64"/>
      <c r="G887" s="64"/>
      <c r="H887" s="64"/>
      <c r="J887" s="64"/>
      <c r="K887" s="64"/>
    </row>
    <row r="888" spans="1:11">
      <c r="A888" s="64"/>
      <c r="B888" s="64"/>
      <c r="D888" s="64"/>
      <c r="E888" s="64"/>
      <c r="G888" s="64"/>
      <c r="H888" s="64"/>
      <c r="J888" s="64"/>
      <c r="K888" s="64"/>
    </row>
    <row r="889" spans="1:11">
      <c r="A889" s="64"/>
      <c r="B889" s="64"/>
      <c r="D889" s="64"/>
      <c r="E889" s="64"/>
      <c r="G889" s="64"/>
      <c r="H889" s="64"/>
      <c r="J889" s="64"/>
      <c r="K889" s="64"/>
    </row>
    <row r="890" spans="1:11">
      <c r="A890" s="64"/>
      <c r="B890" s="64"/>
      <c r="D890" s="64"/>
      <c r="E890" s="64"/>
      <c r="G890" s="64"/>
      <c r="H890" s="64"/>
      <c r="J890" s="64"/>
      <c r="K890" s="64"/>
    </row>
    <row r="891" spans="1:11">
      <c r="A891" s="64"/>
      <c r="B891" s="64"/>
      <c r="D891" s="64"/>
      <c r="E891" s="64"/>
      <c r="G891" s="64"/>
      <c r="H891" s="64"/>
      <c r="J891" s="64"/>
      <c r="K891" s="64"/>
    </row>
    <row r="892" spans="1:11">
      <c r="A892" s="64"/>
      <c r="B892" s="64"/>
      <c r="D892" s="64"/>
      <c r="E892" s="64"/>
      <c r="G892" s="64"/>
      <c r="H892" s="64"/>
      <c r="J892" s="64"/>
      <c r="K892" s="64"/>
    </row>
    <row r="893" spans="1:11">
      <c r="A893" s="64"/>
      <c r="B893" s="64"/>
      <c r="D893" s="64"/>
      <c r="E893" s="64"/>
      <c r="G893" s="64"/>
      <c r="H893" s="64"/>
      <c r="J893" s="64"/>
      <c r="K893" s="64"/>
    </row>
    <row r="894" spans="1:11">
      <c r="A894" s="64"/>
      <c r="B894" s="64"/>
      <c r="D894" s="64"/>
      <c r="E894" s="64"/>
      <c r="G894" s="64"/>
      <c r="H894" s="64"/>
      <c r="J894" s="64"/>
      <c r="K894" s="64"/>
    </row>
    <row r="895" spans="1:11">
      <c r="A895" s="64"/>
      <c r="B895" s="64"/>
      <c r="D895" s="64"/>
      <c r="E895" s="64"/>
      <c r="G895" s="64"/>
      <c r="H895" s="64"/>
      <c r="J895" s="64"/>
      <c r="K895" s="64"/>
    </row>
    <row r="896" spans="1:11">
      <c r="A896" s="64"/>
      <c r="B896" s="64"/>
      <c r="D896" s="64"/>
      <c r="E896" s="64"/>
      <c r="G896" s="64"/>
      <c r="H896" s="64"/>
      <c r="J896" s="64"/>
      <c r="K896" s="64"/>
    </row>
    <row r="897" spans="1:11">
      <c r="A897" s="64"/>
      <c r="B897" s="64"/>
      <c r="D897" s="64"/>
      <c r="E897" s="64"/>
      <c r="G897" s="64"/>
      <c r="H897" s="64"/>
      <c r="J897" s="64"/>
      <c r="K897" s="64"/>
    </row>
    <row r="898" spans="1:11">
      <c r="A898" s="64"/>
      <c r="B898" s="64"/>
      <c r="D898" s="64"/>
      <c r="E898" s="64"/>
      <c r="G898" s="64"/>
      <c r="H898" s="64"/>
      <c r="J898" s="64"/>
      <c r="K898" s="64"/>
    </row>
    <row r="899" spans="1:11">
      <c r="A899" s="64"/>
      <c r="B899" s="64"/>
      <c r="D899" s="64"/>
      <c r="E899" s="64"/>
      <c r="G899" s="64"/>
      <c r="H899" s="64"/>
      <c r="J899" s="64"/>
      <c r="K899" s="64"/>
    </row>
    <row r="900" spans="1:11">
      <c r="A900" s="64"/>
      <c r="B900" s="64"/>
      <c r="D900" s="64"/>
      <c r="E900" s="64"/>
      <c r="G900" s="64"/>
      <c r="H900" s="64"/>
      <c r="J900" s="64"/>
      <c r="K900" s="64"/>
    </row>
    <row r="901" spans="1:11">
      <c r="A901" s="64"/>
      <c r="B901" s="64"/>
      <c r="D901" s="64"/>
      <c r="E901" s="64"/>
      <c r="G901" s="64"/>
      <c r="H901" s="64"/>
      <c r="J901" s="64"/>
      <c r="K901" s="64"/>
    </row>
    <row r="902" spans="1:11">
      <c r="A902" s="64"/>
      <c r="B902" s="64"/>
      <c r="D902" s="64"/>
      <c r="E902" s="64"/>
      <c r="G902" s="64"/>
      <c r="H902" s="64"/>
      <c r="J902" s="64"/>
      <c r="K902" s="64"/>
    </row>
    <row r="903" spans="1:11">
      <c r="A903" s="64"/>
      <c r="B903" s="64"/>
      <c r="D903" s="64"/>
      <c r="E903" s="64"/>
      <c r="G903" s="64"/>
      <c r="H903" s="64"/>
      <c r="J903" s="64"/>
      <c r="K903" s="64"/>
    </row>
    <row r="904" spans="1:11">
      <c r="A904" s="64"/>
      <c r="B904" s="64"/>
      <c r="D904" s="64"/>
      <c r="E904" s="64"/>
      <c r="G904" s="64"/>
      <c r="H904" s="64"/>
      <c r="J904" s="64"/>
      <c r="K904" s="64"/>
    </row>
    <row r="905" spans="1:11">
      <c r="A905" s="64"/>
      <c r="B905" s="64"/>
      <c r="D905" s="64"/>
      <c r="E905" s="64"/>
      <c r="G905" s="64"/>
      <c r="H905" s="64"/>
      <c r="J905" s="64"/>
      <c r="K905" s="64"/>
    </row>
    <row r="906" spans="1:11">
      <c r="A906" s="64"/>
      <c r="B906" s="64"/>
      <c r="D906" s="64"/>
      <c r="E906" s="64"/>
      <c r="G906" s="64"/>
      <c r="H906" s="64"/>
      <c r="J906" s="64"/>
      <c r="K906" s="64"/>
    </row>
    <row r="907" spans="1:11">
      <c r="A907" s="64"/>
      <c r="B907" s="64"/>
      <c r="D907" s="64"/>
      <c r="E907" s="64"/>
      <c r="G907" s="64"/>
      <c r="H907" s="64"/>
      <c r="J907" s="64"/>
      <c r="K907" s="64"/>
    </row>
    <row r="908" spans="1:11">
      <c r="A908" s="64"/>
      <c r="B908" s="64"/>
      <c r="D908" s="64"/>
      <c r="E908" s="64"/>
      <c r="G908" s="64"/>
      <c r="H908" s="64"/>
      <c r="J908" s="64"/>
      <c r="K908" s="64"/>
    </row>
    <row r="909" spans="1:11">
      <c r="A909" s="64"/>
      <c r="B909" s="64"/>
      <c r="D909" s="64"/>
      <c r="E909" s="64"/>
      <c r="G909" s="64"/>
      <c r="H909" s="64"/>
      <c r="J909" s="64"/>
      <c r="K909" s="64"/>
    </row>
    <row r="910" spans="1:11">
      <c r="A910" s="64"/>
      <c r="B910" s="64"/>
      <c r="D910" s="64"/>
      <c r="E910" s="64"/>
      <c r="G910" s="64"/>
      <c r="H910" s="64"/>
      <c r="J910" s="64"/>
      <c r="K910" s="64"/>
    </row>
    <row r="911" spans="1:11">
      <c r="A911" s="64"/>
      <c r="B911" s="64"/>
      <c r="D911" s="64"/>
      <c r="E911" s="64"/>
      <c r="G911" s="64"/>
      <c r="H911" s="64"/>
      <c r="J911" s="64"/>
      <c r="K911" s="64"/>
    </row>
    <row r="912" spans="1:11">
      <c r="A912" s="64"/>
      <c r="B912" s="64"/>
      <c r="D912" s="64"/>
      <c r="E912" s="64"/>
      <c r="G912" s="64"/>
      <c r="H912" s="64"/>
      <c r="J912" s="64"/>
      <c r="K912" s="64"/>
    </row>
    <row r="913" spans="1:11">
      <c r="A913" s="64"/>
      <c r="B913" s="64"/>
      <c r="D913" s="64"/>
      <c r="E913" s="64"/>
      <c r="G913" s="64"/>
      <c r="H913" s="64"/>
      <c r="J913" s="64"/>
      <c r="K913" s="64"/>
    </row>
    <row r="914" spans="1:11">
      <c r="A914" s="64"/>
      <c r="B914" s="64"/>
      <c r="D914" s="64"/>
      <c r="E914" s="64"/>
      <c r="G914" s="64"/>
      <c r="H914" s="64"/>
      <c r="J914" s="64"/>
      <c r="K914" s="64"/>
    </row>
    <row r="915" spans="1:11">
      <c r="A915" s="64"/>
      <c r="B915" s="64"/>
      <c r="D915" s="64"/>
      <c r="E915" s="64"/>
      <c r="G915" s="64"/>
      <c r="H915" s="64"/>
      <c r="J915" s="64"/>
      <c r="K915" s="64"/>
    </row>
    <row r="916" spans="1:11">
      <c r="A916" s="64"/>
      <c r="B916" s="64"/>
      <c r="D916" s="64"/>
      <c r="E916" s="64"/>
      <c r="G916" s="64"/>
      <c r="H916" s="64"/>
      <c r="J916" s="64"/>
      <c r="K916" s="64"/>
    </row>
    <row r="917" spans="1:11">
      <c r="A917" s="64"/>
      <c r="B917" s="64"/>
      <c r="D917" s="64"/>
      <c r="E917" s="64"/>
      <c r="G917" s="64"/>
      <c r="H917" s="64"/>
      <c r="J917" s="64"/>
      <c r="K917" s="64"/>
    </row>
    <row r="918" spans="1:11">
      <c r="A918" s="64"/>
      <c r="B918" s="64"/>
      <c r="D918" s="64"/>
      <c r="E918" s="64"/>
      <c r="G918" s="64"/>
      <c r="H918" s="64"/>
      <c r="J918" s="64"/>
      <c r="K918" s="64"/>
    </row>
    <row r="919" spans="1:11">
      <c r="A919" s="64"/>
      <c r="B919" s="64"/>
      <c r="D919" s="64"/>
      <c r="E919" s="64"/>
      <c r="G919" s="64"/>
      <c r="H919" s="64"/>
      <c r="J919" s="64"/>
      <c r="K919" s="64"/>
    </row>
    <row r="920" spans="1:11">
      <c r="A920" s="64"/>
      <c r="B920" s="64"/>
      <c r="D920" s="64"/>
      <c r="E920" s="64"/>
      <c r="G920" s="64"/>
      <c r="H920" s="64"/>
      <c r="J920" s="64"/>
      <c r="K920" s="64"/>
    </row>
    <row r="921" spans="1:11">
      <c r="A921" s="64"/>
      <c r="B921" s="64"/>
      <c r="D921" s="64"/>
      <c r="E921" s="64"/>
      <c r="G921" s="64"/>
      <c r="H921" s="64"/>
      <c r="J921" s="64"/>
      <c r="K921" s="64"/>
    </row>
    <row r="922" spans="1:11">
      <c r="A922" s="64"/>
      <c r="B922" s="64"/>
      <c r="D922" s="64"/>
      <c r="E922" s="64"/>
      <c r="G922" s="64"/>
      <c r="H922" s="64"/>
      <c r="J922" s="64"/>
      <c r="K922" s="64"/>
    </row>
    <row r="923" spans="1:11">
      <c r="A923" s="64"/>
      <c r="B923" s="64"/>
      <c r="D923" s="64"/>
      <c r="E923" s="64"/>
      <c r="G923" s="64"/>
      <c r="H923" s="64"/>
      <c r="J923" s="64"/>
      <c r="K923" s="64"/>
    </row>
    <row r="924" spans="1:11">
      <c r="A924" s="64"/>
      <c r="B924" s="64"/>
      <c r="D924" s="64"/>
      <c r="E924" s="64"/>
      <c r="G924" s="64"/>
      <c r="H924" s="64"/>
      <c r="J924" s="64"/>
      <c r="K924" s="64"/>
    </row>
    <row r="925" spans="1:11">
      <c r="A925" s="64"/>
      <c r="B925" s="64"/>
      <c r="D925" s="64"/>
      <c r="E925" s="64"/>
      <c r="G925" s="64"/>
      <c r="H925" s="64"/>
      <c r="J925" s="64"/>
      <c r="K925" s="64"/>
    </row>
    <row r="926" spans="1:11">
      <c r="A926" s="64"/>
      <c r="B926" s="64"/>
      <c r="D926" s="64"/>
      <c r="E926" s="64"/>
      <c r="G926" s="64"/>
      <c r="H926" s="64"/>
      <c r="J926" s="64"/>
      <c r="K926" s="64"/>
    </row>
    <row r="927" spans="1:11">
      <c r="A927" s="64"/>
      <c r="B927" s="64"/>
      <c r="D927" s="64"/>
      <c r="E927" s="64"/>
      <c r="G927" s="64"/>
      <c r="H927" s="64"/>
      <c r="J927" s="64"/>
      <c r="K927" s="64"/>
    </row>
    <row r="928" spans="1:11">
      <c r="A928" s="64"/>
      <c r="B928" s="64"/>
      <c r="D928" s="64"/>
      <c r="E928" s="64"/>
      <c r="G928" s="64"/>
      <c r="H928" s="64"/>
      <c r="J928" s="64"/>
      <c r="K928" s="64"/>
    </row>
    <row r="929" spans="1:11">
      <c r="A929" s="64"/>
      <c r="B929" s="64"/>
      <c r="D929" s="64"/>
      <c r="E929" s="64"/>
      <c r="G929" s="64"/>
      <c r="H929" s="64"/>
      <c r="J929" s="64"/>
      <c r="K929" s="64"/>
    </row>
    <row r="930" spans="1:11">
      <c r="A930" s="64"/>
      <c r="B930" s="64"/>
      <c r="D930" s="64"/>
      <c r="E930" s="64"/>
      <c r="G930" s="64"/>
      <c r="H930" s="64"/>
      <c r="J930" s="64"/>
      <c r="K930" s="64"/>
    </row>
    <row r="931" spans="1:11">
      <c r="A931" s="64"/>
      <c r="B931" s="64"/>
      <c r="D931" s="64"/>
      <c r="E931" s="64"/>
      <c r="G931" s="64"/>
      <c r="H931" s="64"/>
      <c r="J931" s="64"/>
      <c r="K931" s="64"/>
    </row>
    <row r="932" spans="1:11">
      <c r="A932" s="64"/>
      <c r="B932" s="64"/>
      <c r="D932" s="64"/>
      <c r="E932" s="64"/>
      <c r="G932" s="64"/>
      <c r="H932" s="64"/>
      <c r="J932" s="64"/>
      <c r="K932" s="64"/>
    </row>
    <row r="933" spans="1:11">
      <c r="A933" s="64"/>
      <c r="B933" s="64"/>
      <c r="D933" s="64"/>
      <c r="E933" s="64"/>
      <c r="G933" s="64"/>
      <c r="H933" s="64"/>
      <c r="J933" s="64"/>
      <c r="K933" s="64"/>
    </row>
    <row r="934" spans="1:11">
      <c r="A934" s="64"/>
      <c r="B934" s="64"/>
      <c r="D934" s="64"/>
      <c r="E934" s="64"/>
      <c r="G934" s="64"/>
      <c r="H934" s="64"/>
      <c r="J934" s="64"/>
      <c r="K934" s="64"/>
    </row>
    <row r="935" spans="1:11">
      <c r="A935" s="64"/>
      <c r="B935" s="64"/>
      <c r="D935" s="64"/>
      <c r="E935" s="64"/>
      <c r="G935" s="64"/>
      <c r="H935" s="64"/>
      <c r="J935" s="64"/>
      <c r="K935" s="64"/>
    </row>
    <row r="936" spans="1:11">
      <c r="A936" s="64"/>
      <c r="B936" s="64"/>
      <c r="D936" s="64"/>
      <c r="E936" s="64"/>
      <c r="G936" s="64"/>
      <c r="H936" s="64"/>
      <c r="J936" s="64"/>
      <c r="K936" s="64"/>
    </row>
    <row r="937" spans="1:11">
      <c r="A937" s="64"/>
      <c r="B937" s="64"/>
      <c r="D937" s="64"/>
      <c r="E937" s="64"/>
      <c r="G937" s="64"/>
      <c r="H937" s="64"/>
      <c r="J937" s="64"/>
      <c r="K937" s="64"/>
    </row>
    <row r="938" spans="1:11">
      <c r="A938" s="64"/>
      <c r="B938" s="64"/>
      <c r="D938" s="64"/>
      <c r="E938" s="64"/>
      <c r="G938" s="64"/>
      <c r="H938" s="64"/>
      <c r="J938" s="64"/>
      <c r="K938" s="64"/>
    </row>
    <row r="939" spans="1:11">
      <c r="A939" s="64"/>
      <c r="B939" s="64"/>
      <c r="D939" s="64"/>
      <c r="E939" s="64"/>
      <c r="G939" s="64"/>
      <c r="H939" s="64"/>
      <c r="J939" s="64"/>
      <c r="K939" s="64"/>
    </row>
    <row r="940" spans="1:11">
      <c r="A940" s="64"/>
      <c r="B940" s="64"/>
      <c r="D940" s="64"/>
      <c r="E940" s="64"/>
      <c r="G940" s="64"/>
      <c r="H940" s="64"/>
      <c r="J940" s="64"/>
      <c r="K940" s="64"/>
    </row>
    <row r="941" spans="1:11">
      <c r="A941" s="64"/>
      <c r="B941" s="64"/>
      <c r="D941" s="64"/>
      <c r="E941" s="64"/>
      <c r="G941" s="64"/>
      <c r="H941" s="64"/>
      <c r="J941" s="64"/>
      <c r="K941" s="64"/>
    </row>
    <row r="942" spans="1:11">
      <c r="A942" s="64"/>
      <c r="B942" s="64"/>
      <c r="D942" s="64"/>
      <c r="E942" s="64"/>
      <c r="G942" s="64"/>
      <c r="H942" s="64"/>
      <c r="J942" s="64"/>
      <c r="K942" s="64"/>
    </row>
    <row r="943" spans="1:11">
      <c r="A943" s="64"/>
      <c r="B943" s="64"/>
      <c r="D943" s="64"/>
      <c r="E943" s="64"/>
      <c r="G943" s="64"/>
      <c r="H943" s="64"/>
      <c r="J943" s="64"/>
      <c r="K943" s="64"/>
    </row>
    <row r="944" spans="1:11">
      <c r="A944" s="64"/>
      <c r="B944" s="64"/>
      <c r="D944" s="64"/>
      <c r="E944" s="64"/>
      <c r="G944" s="64"/>
      <c r="H944" s="64"/>
      <c r="J944" s="64"/>
      <c r="K944" s="64"/>
    </row>
    <row r="945" spans="1:11">
      <c r="A945" s="64"/>
      <c r="B945" s="64"/>
      <c r="D945" s="64"/>
      <c r="E945" s="64"/>
      <c r="G945" s="64"/>
      <c r="H945" s="64"/>
      <c r="J945" s="64"/>
      <c r="K945" s="64"/>
    </row>
    <row r="946" spans="1:11">
      <c r="A946" s="64"/>
      <c r="B946" s="64"/>
      <c r="D946" s="64"/>
      <c r="E946" s="64"/>
      <c r="G946" s="64"/>
      <c r="H946" s="64"/>
      <c r="J946" s="64"/>
      <c r="K946" s="64"/>
    </row>
    <row r="947" spans="1:11">
      <c r="A947" s="64"/>
      <c r="B947" s="64"/>
      <c r="D947" s="64"/>
      <c r="E947" s="64"/>
      <c r="G947" s="64"/>
      <c r="H947" s="64"/>
      <c r="J947" s="64"/>
      <c r="K947" s="64"/>
    </row>
    <row r="948" spans="1:11">
      <c r="A948" s="64"/>
      <c r="B948" s="64"/>
      <c r="D948" s="64"/>
      <c r="E948" s="64"/>
      <c r="G948" s="64"/>
      <c r="H948" s="64"/>
      <c r="J948" s="64"/>
      <c r="K948" s="64"/>
    </row>
    <row r="949" spans="1:11">
      <c r="A949" s="64"/>
      <c r="B949" s="64"/>
      <c r="D949" s="64"/>
      <c r="E949" s="64"/>
      <c r="G949" s="64"/>
      <c r="H949" s="64"/>
      <c r="J949" s="64"/>
      <c r="K949" s="64"/>
    </row>
    <row r="950" spans="1:11">
      <c r="A950" s="64"/>
      <c r="B950" s="64"/>
      <c r="D950" s="64"/>
      <c r="E950" s="64"/>
      <c r="G950" s="64"/>
      <c r="H950" s="64"/>
      <c r="J950" s="64"/>
      <c r="K950" s="64"/>
    </row>
    <row r="951" spans="1:11">
      <c r="A951" s="64"/>
      <c r="B951" s="64"/>
      <c r="D951" s="64"/>
      <c r="E951" s="64"/>
      <c r="G951" s="64"/>
      <c r="H951" s="64"/>
      <c r="J951" s="64"/>
      <c r="K951" s="64"/>
    </row>
    <row r="952" spans="1:11">
      <c r="A952" s="64"/>
      <c r="B952" s="64"/>
      <c r="D952" s="64"/>
      <c r="E952" s="64"/>
      <c r="G952" s="64"/>
      <c r="H952" s="64"/>
      <c r="J952" s="64"/>
      <c r="K952" s="64"/>
    </row>
    <row r="953" spans="1:11">
      <c r="A953" s="64"/>
      <c r="B953" s="64"/>
      <c r="D953" s="64"/>
      <c r="E953" s="64"/>
      <c r="G953" s="64"/>
      <c r="H953" s="64"/>
      <c r="J953" s="64"/>
      <c r="K953" s="64"/>
    </row>
    <row r="954" spans="1:11">
      <c r="A954" s="64"/>
      <c r="B954" s="64"/>
      <c r="D954" s="64"/>
      <c r="E954" s="64"/>
      <c r="G954" s="64"/>
      <c r="H954" s="64"/>
      <c r="J954" s="64"/>
      <c r="K954" s="64"/>
    </row>
    <row r="955" spans="1:11">
      <c r="A955" s="64"/>
      <c r="B955" s="64"/>
      <c r="D955" s="64"/>
      <c r="E955" s="64"/>
      <c r="G955" s="64"/>
      <c r="H955" s="64"/>
      <c r="J955" s="64"/>
      <c r="K955" s="64"/>
    </row>
    <row r="956" spans="1:11">
      <c r="A956" s="64"/>
      <c r="B956" s="64"/>
      <c r="D956" s="64"/>
      <c r="E956" s="64"/>
      <c r="G956" s="64"/>
      <c r="H956" s="64"/>
      <c r="J956" s="64"/>
      <c r="K956" s="64"/>
    </row>
    <row r="957" spans="1:11">
      <c r="A957" s="64"/>
      <c r="B957" s="64"/>
      <c r="D957" s="64"/>
      <c r="E957" s="64"/>
      <c r="G957" s="64"/>
      <c r="H957" s="64"/>
      <c r="J957" s="64"/>
      <c r="K957" s="64"/>
    </row>
    <row r="958" spans="1:11">
      <c r="A958" s="64"/>
      <c r="B958" s="64"/>
      <c r="D958" s="64"/>
      <c r="E958" s="64"/>
      <c r="G958" s="64"/>
      <c r="H958" s="64"/>
      <c r="J958" s="64"/>
      <c r="K958" s="64"/>
    </row>
    <row r="959" spans="1:11">
      <c r="A959" s="64"/>
      <c r="B959" s="64"/>
      <c r="D959" s="64"/>
      <c r="E959" s="64"/>
      <c r="G959" s="64"/>
      <c r="H959" s="64"/>
      <c r="J959" s="64"/>
      <c r="K959" s="64"/>
    </row>
    <row r="960" spans="1:11">
      <c r="A960" s="64"/>
      <c r="B960" s="64"/>
      <c r="D960" s="64"/>
      <c r="E960" s="64"/>
      <c r="G960" s="64"/>
      <c r="H960" s="64"/>
      <c r="J960" s="64"/>
      <c r="K960" s="64"/>
    </row>
    <row r="961" spans="1:11">
      <c r="A961" s="64"/>
      <c r="B961" s="64"/>
      <c r="D961" s="64"/>
      <c r="E961" s="64"/>
      <c r="G961" s="64"/>
      <c r="H961" s="64"/>
      <c r="J961" s="64"/>
      <c r="K961" s="64"/>
    </row>
    <row r="962" spans="1:11">
      <c r="A962" s="64"/>
      <c r="B962" s="64"/>
      <c r="D962" s="64"/>
      <c r="E962" s="64"/>
      <c r="G962" s="64"/>
      <c r="H962" s="64"/>
      <c r="J962" s="64"/>
      <c r="K962" s="64"/>
    </row>
    <row r="963" spans="1:11">
      <c r="A963" s="64"/>
      <c r="B963" s="64"/>
      <c r="D963" s="64"/>
      <c r="E963" s="64"/>
      <c r="G963" s="64"/>
      <c r="H963" s="64"/>
      <c r="J963" s="64"/>
      <c r="K963" s="64"/>
    </row>
    <row r="964" spans="1:11">
      <c r="A964" s="64"/>
      <c r="B964" s="64"/>
      <c r="D964" s="64"/>
      <c r="E964" s="64"/>
      <c r="G964" s="64"/>
      <c r="H964" s="64"/>
      <c r="J964" s="64"/>
      <c r="K964" s="64"/>
    </row>
    <row r="965" spans="1:11">
      <c r="A965" s="64"/>
      <c r="B965" s="64"/>
      <c r="D965" s="64"/>
      <c r="E965" s="64"/>
      <c r="G965" s="64"/>
      <c r="H965" s="64"/>
      <c r="J965" s="64"/>
      <c r="K965" s="64"/>
    </row>
    <row r="966" spans="1:11">
      <c r="A966" s="64"/>
      <c r="B966" s="64"/>
      <c r="D966" s="64"/>
      <c r="E966" s="64"/>
      <c r="G966" s="64"/>
      <c r="H966" s="64"/>
      <c r="J966" s="64"/>
      <c r="K966" s="64"/>
    </row>
    <row r="967" spans="1:11">
      <c r="A967" s="64"/>
      <c r="B967" s="64"/>
      <c r="D967" s="64"/>
      <c r="E967" s="64"/>
      <c r="G967" s="64"/>
      <c r="H967" s="64"/>
      <c r="J967" s="64"/>
      <c r="K967" s="64"/>
    </row>
    <row r="968" spans="1:11">
      <c r="A968" s="64"/>
      <c r="B968" s="64"/>
      <c r="D968" s="64"/>
      <c r="E968" s="64"/>
      <c r="G968" s="64"/>
      <c r="H968" s="64"/>
      <c r="J968" s="64"/>
      <c r="K968" s="64"/>
    </row>
    <row r="969" spans="1:11">
      <c r="A969" s="64"/>
      <c r="B969" s="64"/>
      <c r="D969" s="64"/>
      <c r="E969" s="64"/>
      <c r="G969" s="64"/>
      <c r="H969" s="64"/>
      <c r="J969" s="64"/>
      <c r="K969" s="64"/>
    </row>
    <row r="970" spans="1:11">
      <c r="A970" s="64"/>
      <c r="B970" s="64"/>
      <c r="D970" s="64"/>
      <c r="E970" s="64"/>
      <c r="G970" s="64"/>
      <c r="H970" s="64"/>
      <c r="J970" s="64"/>
      <c r="K970" s="64"/>
    </row>
    <row r="971" spans="1:11">
      <c r="A971" s="64"/>
      <c r="B971" s="64"/>
      <c r="D971" s="64"/>
      <c r="E971" s="64"/>
      <c r="G971" s="64"/>
      <c r="H971" s="64"/>
      <c r="J971" s="64"/>
      <c r="K971" s="64"/>
    </row>
    <row r="972" spans="1:11">
      <c r="A972" s="64"/>
      <c r="B972" s="64"/>
      <c r="D972" s="64"/>
      <c r="E972" s="64"/>
      <c r="G972" s="64"/>
      <c r="H972" s="64"/>
      <c r="J972" s="64"/>
      <c r="K972" s="64"/>
    </row>
    <row r="973" spans="1:11">
      <c r="A973" s="64"/>
      <c r="B973" s="64"/>
      <c r="D973" s="64"/>
      <c r="E973" s="64"/>
      <c r="G973" s="64"/>
      <c r="H973" s="64"/>
      <c r="J973" s="64"/>
      <c r="K973" s="64"/>
    </row>
    <row r="974" spans="1:11">
      <c r="A974" s="64"/>
      <c r="B974" s="64"/>
      <c r="D974" s="64"/>
      <c r="E974" s="64"/>
      <c r="G974" s="64"/>
      <c r="H974" s="64"/>
      <c r="J974" s="64"/>
      <c r="K974" s="64"/>
    </row>
    <row r="975" spans="1:11">
      <c r="A975" s="64"/>
      <c r="B975" s="64"/>
      <c r="D975" s="64"/>
      <c r="E975" s="64"/>
      <c r="G975" s="64"/>
      <c r="H975" s="64"/>
      <c r="J975" s="64"/>
      <c r="K975" s="64"/>
    </row>
    <row r="976" spans="1:11">
      <c r="A976" s="64"/>
      <c r="B976" s="64"/>
      <c r="D976" s="64"/>
      <c r="E976" s="64"/>
      <c r="G976" s="64"/>
      <c r="H976" s="64"/>
      <c r="J976" s="64"/>
      <c r="K976" s="64"/>
    </row>
    <row r="977" spans="1:11">
      <c r="A977" s="64"/>
      <c r="B977" s="64"/>
      <c r="D977" s="64"/>
      <c r="E977" s="64"/>
      <c r="G977" s="64"/>
      <c r="H977" s="64"/>
      <c r="J977" s="64"/>
      <c r="K977" s="64"/>
    </row>
    <row r="978" spans="1:11">
      <c r="A978" s="64"/>
      <c r="B978" s="64"/>
      <c r="D978" s="64"/>
      <c r="E978" s="64"/>
      <c r="G978" s="64"/>
      <c r="H978" s="64"/>
      <c r="J978" s="64"/>
      <c r="K978" s="64"/>
    </row>
    <row r="979" spans="1:11">
      <c r="A979" s="64"/>
      <c r="B979" s="64"/>
      <c r="D979" s="64"/>
      <c r="E979" s="64"/>
      <c r="G979" s="64"/>
      <c r="H979" s="64"/>
      <c r="J979" s="64"/>
      <c r="K979" s="64"/>
    </row>
    <row r="980" spans="1:11">
      <c r="A980" s="64"/>
      <c r="B980" s="64"/>
      <c r="D980" s="64"/>
      <c r="E980" s="64"/>
      <c r="G980" s="64"/>
      <c r="H980" s="64"/>
      <c r="J980" s="64"/>
      <c r="K980" s="64"/>
    </row>
    <row r="981" spans="1:11">
      <c r="A981" s="64"/>
      <c r="B981" s="64"/>
      <c r="D981" s="64"/>
      <c r="E981" s="64"/>
      <c r="G981" s="64"/>
      <c r="H981" s="64"/>
      <c r="J981" s="64"/>
      <c r="K981" s="64"/>
    </row>
    <row r="982" spans="1:11">
      <c r="A982" s="64"/>
      <c r="B982" s="64"/>
      <c r="D982" s="64"/>
      <c r="E982" s="64"/>
      <c r="G982" s="64"/>
      <c r="H982" s="64"/>
      <c r="J982" s="64"/>
      <c r="K982" s="64"/>
    </row>
    <row r="983" spans="1:11">
      <c r="A983" s="64"/>
      <c r="B983" s="64"/>
      <c r="D983" s="64"/>
      <c r="E983" s="64"/>
      <c r="G983" s="64"/>
      <c r="H983" s="64"/>
      <c r="J983" s="64"/>
      <c r="K983" s="64"/>
    </row>
    <row r="984" spans="1:11">
      <c r="A984" s="64"/>
      <c r="B984" s="64"/>
      <c r="D984" s="64"/>
      <c r="E984" s="64"/>
      <c r="G984" s="64"/>
      <c r="H984" s="64"/>
      <c r="J984" s="64"/>
      <c r="K984" s="64"/>
    </row>
    <row r="985" spans="1:11">
      <c r="A985" s="64"/>
      <c r="B985" s="64"/>
      <c r="D985" s="64"/>
      <c r="E985" s="64"/>
      <c r="G985" s="64"/>
      <c r="H985" s="64"/>
      <c r="J985" s="64"/>
      <c r="K985" s="64"/>
    </row>
    <row r="986" spans="1:11">
      <c r="A986" s="64"/>
      <c r="B986" s="64"/>
      <c r="D986" s="64"/>
      <c r="E986" s="64"/>
      <c r="G986" s="64"/>
      <c r="H986" s="64"/>
      <c r="J986" s="64"/>
      <c r="K986" s="64"/>
    </row>
    <row r="987" spans="1:11">
      <c r="A987" s="64"/>
      <c r="B987" s="64"/>
      <c r="D987" s="64"/>
      <c r="E987" s="64"/>
      <c r="G987" s="64"/>
      <c r="H987" s="64"/>
      <c r="J987" s="64"/>
      <c r="K987" s="64"/>
    </row>
    <row r="988" spans="1:11">
      <c r="A988" s="64"/>
      <c r="B988" s="64"/>
      <c r="D988" s="64"/>
      <c r="E988" s="64"/>
      <c r="G988" s="64"/>
      <c r="H988" s="64"/>
      <c r="J988" s="64"/>
      <c r="K988" s="64"/>
    </row>
    <row r="989" spans="1:11">
      <c r="A989" s="64"/>
      <c r="B989" s="64"/>
      <c r="D989" s="64"/>
      <c r="E989" s="64"/>
      <c r="G989" s="64"/>
      <c r="H989" s="64"/>
      <c r="J989" s="64"/>
      <c r="K989" s="64"/>
    </row>
    <row r="990" spans="1:11">
      <c r="A990" s="64"/>
      <c r="B990" s="64"/>
      <c r="D990" s="64"/>
      <c r="E990" s="64"/>
      <c r="G990" s="64"/>
      <c r="H990" s="64"/>
      <c r="J990" s="64"/>
      <c r="K990" s="64"/>
    </row>
    <row r="991" spans="1:11">
      <c r="A991" s="64"/>
      <c r="B991" s="64"/>
      <c r="D991" s="64"/>
      <c r="E991" s="64"/>
      <c r="G991" s="64"/>
      <c r="H991" s="64"/>
      <c r="J991" s="64"/>
      <c r="K991" s="64"/>
    </row>
    <row r="992" spans="1:11">
      <c r="A992" s="64"/>
      <c r="B992" s="64"/>
      <c r="D992" s="64"/>
      <c r="E992" s="64"/>
      <c r="G992" s="64"/>
      <c r="H992" s="64"/>
      <c r="J992" s="64"/>
      <c r="K992" s="64"/>
    </row>
    <row r="993" spans="1:11">
      <c r="A993" s="64"/>
      <c r="B993" s="64"/>
      <c r="D993" s="64"/>
      <c r="E993" s="64"/>
      <c r="G993" s="64"/>
      <c r="H993" s="64"/>
      <c r="J993" s="64"/>
      <c r="K993" s="64"/>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5F19B-D38B-42C5-9A81-290AFF9CCAC0}">
  <dimension ref="A1:BA408"/>
  <sheetViews>
    <sheetView topLeftCell="J30" zoomScale="80" workbookViewId="0">
      <selection activeCell="AE27" sqref="AE27"/>
    </sheetView>
  </sheetViews>
  <sheetFormatPr defaultColWidth="8.7109375" defaultRowHeight="14.45"/>
  <cols>
    <col min="1" max="1" width="12.42578125" style="1" customWidth="1"/>
    <col min="2" max="2" width="8.7109375" style="1"/>
    <col min="3" max="3" width="15.5703125" style="1" bestFit="1" customWidth="1"/>
    <col min="4" max="4" width="12.5703125" style="1" customWidth="1"/>
    <col min="5" max="5" width="13.28515625" style="1" bestFit="1" customWidth="1"/>
    <col min="6" max="6" width="9.7109375" style="1" bestFit="1" customWidth="1"/>
    <col min="7" max="7" width="23.42578125" style="1" customWidth="1"/>
    <col min="8" max="8" width="4.42578125" style="1" bestFit="1" customWidth="1"/>
    <col min="9" max="9" width="6.42578125" style="1" bestFit="1" customWidth="1"/>
    <col min="10" max="10" width="12.5703125" style="1" bestFit="1" customWidth="1"/>
    <col min="11" max="11" width="14" style="1" bestFit="1" customWidth="1"/>
    <col min="12" max="12" width="13.28515625" style="1" bestFit="1" customWidth="1"/>
    <col min="13" max="13" width="15.42578125" style="1" bestFit="1" customWidth="1"/>
    <col min="14" max="14" width="8.7109375" style="1" customWidth="1"/>
    <col min="15" max="15" width="8.7109375" style="122" customWidth="1"/>
    <col min="16" max="16" width="8.7109375" style="122"/>
    <col min="17" max="17" width="8.7109375" style="119"/>
    <col min="18" max="20" width="8.7109375" style="1"/>
    <col min="21" max="21" width="6.42578125" style="1" bestFit="1" customWidth="1"/>
    <col min="22" max="22" width="12.5703125" style="1" bestFit="1" customWidth="1"/>
    <col min="23" max="23" width="14" style="1" bestFit="1" customWidth="1"/>
    <col min="24" max="24" width="13.28515625" style="1" bestFit="1" customWidth="1"/>
    <col min="25" max="25" width="15.42578125" style="1" bestFit="1" customWidth="1"/>
    <col min="26" max="26" width="10.140625" style="1" bestFit="1" customWidth="1"/>
    <col min="27" max="33" width="8.7109375" style="1"/>
    <col min="34" max="34" width="6.42578125" style="1" bestFit="1" customWidth="1"/>
    <col min="35" max="35" width="12.5703125" style="1" bestFit="1" customWidth="1"/>
    <col min="36" max="36" width="14" style="1" bestFit="1" customWidth="1"/>
    <col min="37" max="37" width="13.28515625" style="1" bestFit="1" customWidth="1"/>
    <col min="38" max="38" width="15.42578125" style="1" bestFit="1" customWidth="1"/>
    <col min="39" max="45" width="8.7109375" style="1"/>
    <col min="46" max="46" width="6.42578125" style="1" bestFit="1" customWidth="1"/>
    <col min="47" max="47" width="12.5703125" style="1" bestFit="1" customWidth="1"/>
    <col min="48" max="48" width="14" style="1" bestFit="1" customWidth="1"/>
    <col min="49" max="49" width="13.28515625" style="1" bestFit="1" customWidth="1"/>
    <col min="50" max="50" width="15.42578125" style="1" bestFit="1" customWidth="1"/>
    <col min="51" max="16384" width="8.7109375" style="1"/>
  </cols>
  <sheetData>
    <row r="1" spans="1:15">
      <c r="A1" s="47" t="s">
        <v>0</v>
      </c>
    </row>
    <row r="2" spans="1:15">
      <c r="A2" s="1" t="s">
        <v>3</v>
      </c>
    </row>
    <row r="3" spans="1:15" ht="35.450000000000003" customHeight="1">
      <c r="A3" s="274" t="s">
        <v>1</v>
      </c>
      <c r="B3" s="274"/>
      <c r="C3" s="274"/>
      <c r="D3" s="274"/>
      <c r="E3" s="274"/>
      <c r="F3" s="274"/>
      <c r="G3" s="274"/>
      <c r="H3" s="274"/>
      <c r="I3" s="274"/>
      <c r="J3" s="274"/>
      <c r="K3" s="274"/>
      <c r="L3" s="274"/>
      <c r="M3" s="274"/>
    </row>
    <row r="4" spans="1:15">
      <c r="A4" s="274"/>
      <c r="B4" s="274"/>
      <c r="C4" s="274"/>
      <c r="D4" s="274"/>
      <c r="E4" s="274"/>
      <c r="F4" s="274"/>
      <c r="G4" s="274"/>
      <c r="H4" s="274"/>
      <c r="I4" s="274"/>
      <c r="J4" s="274"/>
      <c r="K4" s="274"/>
      <c r="L4" s="274"/>
      <c r="M4" s="274"/>
      <c r="N4"/>
      <c r="O4" s="125"/>
    </row>
    <row r="5" spans="1:15">
      <c r="A5" s="2" t="s">
        <v>130</v>
      </c>
      <c r="B5" s="3" t="s">
        <v>132</v>
      </c>
      <c r="C5" s="3" t="s">
        <v>136</v>
      </c>
      <c r="D5" s="3"/>
      <c r="E5" s="3"/>
      <c r="G5"/>
      <c r="H5"/>
      <c r="I5"/>
      <c r="J5"/>
      <c r="K5"/>
      <c r="M5" s="9" t="s">
        <v>254</v>
      </c>
      <c r="N5"/>
      <c r="O5" s="125"/>
    </row>
    <row r="6" spans="1:15" ht="18.600000000000001" customHeight="1">
      <c r="A6" s="335" t="s">
        <v>331</v>
      </c>
      <c r="B6" s="336"/>
      <c r="C6" s="336"/>
      <c r="D6" s="336"/>
      <c r="E6" s="337"/>
      <c r="G6"/>
      <c r="H6"/>
      <c r="I6"/>
      <c r="J6"/>
      <c r="K6"/>
      <c r="M6" s="9" t="s">
        <v>117</v>
      </c>
      <c r="N6"/>
      <c r="O6" s="125"/>
    </row>
    <row r="7" spans="1:15" ht="29.1">
      <c r="A7" s="5" t="s">
        <v>169</v>
      </c>
      <c r="B7" s="118">
        <f>'Organized Input Output'!J7</f>
        <v>1100</v>
      </c>
      <c r="C7" s="3" t="s">
        <v>50</v>
      </c>
      <c r="D7" s="3"/>
      <c r="E7" s="3"/>
      <c r="G7"/>
      <c r="H7"/>
      <c r="I7"/>
      <c r="J7"/>
      <c r="K7"/>
      <c r="M7" s="10" t="s">
        <v>260</v>
      </c>
      <c r="N7"/>
      <c r="O7" s="125"/>
    </row>
    <row r="8" spans="1:15">
      <c r="A8" s="5" t="s">
        <v>332</v>
      </c>
      <c r="B8" s="118">
        <f>'Organized Input Output'!H9</f>
        <v>20</v>
      </c>
      <c r="C8" s="3" t="s">
        <v>333</v>
      </c>
      <c r="D8" s="3"/>
      <c r="E8" s="3"/>
      <c r="G8"/>
      <c r="H8"/>
      <c r="M8" s="10" t="s">
        <v>262</v>
      </c>
      <c r="N8"/>
      <c r="O8" s="125"/>
    </row>
    <row r="9" spans="1:15">
      <c r="A9" s="5" t="s">
        <v>334</v>
      </c>
      <c r="B9" s="118">
        <v>0</v>
      </c>
      <c r="C9" s="3" t="s">
        <v>333</v>
      </c>
      <c r="D9" s="3"/>
      <c r="E9" s="3"/>
      <c r="G9" s="4"/>
      <c r="H9" s="4"/>
      <c r="I9" s="4"/>
      <c r="J9" s="4"/>
      <c r="K9" s="4"/>
      <c r="M9" s="10" t="s">
        <v>263</v>
      </c>
      <c r="N9"/>
      <c r="O9" s="125"/>
    </row>
    <row r="10" spans="1:15" ht="18.600000000000001" customHeight="1">
      <c r="A10" s="335" t="s">
        <v>335</v>
      </c>
      <c r="B10" s="336"/>
      <c r="C10" s="336"/>
      <c r="D10" s="336"/>
      <c r="E10" s="337"/>
      <c r="G10" s="149" t="s">
        <v>336</v>
      </c>
      <c r="M10" s="10" t="s">
        <v>264</v>
      </c>
      <c r="N10"/>
      <c r="O10" s="125"/>
    </row>
    <row r="11" spans="1:15" ht="43.5">
      <c r="A11" s="5" t="s">
        <v>92</v>
      </c>
      <c r="B11" s="118">
        <f>'Organized Input Output'!D14</f>
        <v>745</v>
      </c>
      <c r="C11" s="3" t="s">
        <v>94</v>
      </c>
      <c r="D11" s="118">
        <f>B11/1000</f>
        <v>0.745</v>
      </c>
      <c r="E11" s="3" t="s">
        <v>337</v>
      </c>
      <c r="G11" s="149">
        <v>365</v>
      </c>
      <c r="J11" s="1" t="s">
        <v>338</v>
      </c>
      <c r="M11" s="10" t="s">
        <v>267</v>
      </c>
      <c r="N11"/>
      <c r="O11" s="125"/>
    </row>
    <row r="12" spans="1:15" ht="29.1">
      <c r="A12" s="5" t="s">
        <v>339</v>
      </c>
      <c r="B12" s="118">
        <v>136</v>
      </c>
      <c r="C12" s="3" t="s">
        <v>94</v>
      </c>
      <c r="D12" s="118">
        <f t="shared" ref="D12:D13" si="0">B12/1000</f>
        <v>0.13600000000000001</v>
      </c>
      <c r="E12" s="3" t="s">
        <v>337</v>
      </c>
      <c r="G12" s="150" t="s">
        <v>340</v>
      </c>
      <c r="J12" s="1">
        <f>MAX(L23:L387)</f>
        <v>20.68</v>
      </c>
      <c r="M12" s="10" t="s">
        <v>269</v>
      </c>
      <c r="N12"/>
      <c r="O12" s="125"/>
    </row>
    <row r="13" spans="1:15" ht="15">
      <c r="A13" s="5" t="s">
        <v>341</v>
      </c>
      <c r="B13" s="118">
        <v>601</v>
      </c>
      <c r="C13" s="3" t="s">
        <v>94</v>
      </c>
      <c r="D13" s="118">
        <f t="shared" si="0"/>
        <v>0.60099999999999998</v>
      </c>
      <c r="E13" s="3" t="s">
        <v>337</v>
      </c>
      <c r="G13" s="140">
        <f>COUNTIF(L54:L387, 0)+'Solar Energy Model'!M20</f>
        <v>9</v>
      </c>
      <c r="M13" s="10" t="s">
        <v>270</v>
      </c>
      <c r="N13"/>
      <c r="O13" s="125"/>
    </row>
    <row r="14" spans="1:15">
      <c r="A14" s="11"/>
      <c r="B14" s="11"/>
      <c r="C14" s="12"/>
      <c r="D14" s="12"/>
      <c r="E14" s="12"/>
      <c r="G14" s="13"/>
      <c r="M14" s="10" t="s">
        <v>272</v>
      </c>
      <c r="N14"/>
      <c r="O14" s="125"/>
    </row>
    <row r="15" spans="1:15">
      <c r="A15" s="11"/>
      <c r="B15" s="11"/>
      <c r="C15" s="12"/>
      <c r="D15" s="12"/>
      <c r="E15" s="12"/>
      <c r="G15" s="13"/>
      <c r="M15" s="10" t="s">
        <v>275</v>
      </c>
      <c r="N15"/>
      <c r="O15" s="125"/>
    </row>
    <row r="16" spans="1:15">
      <c r="A16" s="11"/>
      <c r="B16" s="11"/>
      <c r="C16" s="12"/>
      <c r="D16" s="12"/>
      <c r="E16" s="12"/>
      <c r="G16" s="254"/>
      <c r="M16" s="10" t="s">
        <v>276</v>
      </c>
      <c r="N16"/>
      <c r="O16" s="125"/>
    </row>
    <row r="17" spans="1:53">
      <c r="A17" s="11"/>
      <c r="B17" s="11"/>
      <c r="C17" s="12"/>
      <c r="D17" s="12"/>
      <c r="E17" s="12"/>
      <c r="G17" s="254"/>
      <c r="M17" s="10" t="s">
        <v>277</v>
      </c>
      <c r="N17"/>
      <c r="O17" s="125"/>
    </row>
    <row r="18" spans="1:53">
      <c r="M18" s="10" t="s">
        <v>278</v>
      </c>
      <c r="N18"/>
      <c r="O18" s="125"/>
    </row>
    <row r="20" spans="1:53" ht="14.45" customHeight="1">
      <c r="I20" s="333" t="s">
        <v>342</v>
      </c>
      <c r="J20" s="329"/>
      <c r="K20" s="329"/>
      <c r="L20" s="329"/>
      <c r="M20" s="334"/>
      <c r="U20" s="330" t="s">
        <v>324</v>
      </c>
      <c r="V20" s="331"/>
      <c r="W20" s="331"/>
      <c r="X20" s="331"/>
      <c r="Y20" s="332"/>
      <c r="AG20" s="15"/>
      <c r="AH20" s="326" t="s">
        <v>325</v>
      </c>
      <c r="AI20" s="327"/>
      <c r="AJ20" s="327"/>
      <c r="AK20" s="327"/>
      <c r="AL20" s="328"/>
      <c r="AT20" s="329" t="s">
        <v>326</v>
      </c>
      <c r="AU20" s="329"/>
      <c r="AV20" s="329"/>
      <c r="AW20" s="329"/>
      <c r="AX20" s="329"/>
      <c r="BA20" s="254"/>
    </row>
    <row r="21" spans="1:53" ht="14.45" customHeight="1">
      <c r="H21" s="16" t="s">
        <v>98</v>
      </c>
      <c r="I21" s="17" t="s">
        <v>254</v>
      </c>
      <c r="J21" s="265" t="s">
        <v>343</v>
      </c>
      <c r="K21" s="265" t="s">
        <v>100</v>
      </c>
      <c r="L21" s="266" t="s">
        <v>101</v>
      </c>
      <c r="M21" s="267" t="s">
        <v>102</v>
      </c>
      <c r="N21" s="267" t="s">
        <v>102</v>
      </c>
      <c r="O21" s="123"/>
      <c r="P21" s="123"/>
      <c r="Q21" s="120"/>
      <c r="R21" s="254"/>
      <c r="S21" s="254"/>
      <c r="T21" s="16" t="s">
        <v>98</v>
      </c>
      <c r="U21" s="17" t="s">
        <v>254</v>
      </c>
      <c r="V21" s="250" t="s">
        <v>343</v>
      </c>
      <c r="W21" s="250" t="s">
        <v>100</v>
      </c>
      <c r="X21" s="251" t="s">
        <v>101</v>
      </c>
      <c r="Y21" s="250" t="s">
        <v>102</v>
      </c>
      <c r="AG21" s="16" t="s">
        <v>98</v>
      </c>
      <c r="AH21" s="17" t="s">
        <v>254</v>
      </c>
      <c r="AI21" s="17" t="s">
        <v>343</v>
      </c>
      <c r="AJ21" s="17" t="s">
        <v>100</v>
      </c>
      <c r="AK21" s="18" t="s">
        <v>101</v>
      </c>
      <c r="AL21" s="17" t="s">
        <v>102</v>
      </c>
      <c r="AS21" s="16" t="s">
        <v>98</v>
      </c>
      <c r="AT21" s="17" t="s">
        <v>254</v>
      </c>
      <c r="AU21" s="322" t="s">
        <v>343</v>
      </c>
      <c r="AV21" s="250" t="s">
        <v>100</v>
      </c>
      <c r="AW21" s="324" t="s">
        <v>101</v>
      </c>
      <c r="AX21" s="252" t="s">
        <v>102</v>
      </c>
    </row>
    <row r="22" spans="1:53" ht="15">
      <c r="H22" s="16"/>
      <c r="I22" s="17"/>
      <c r="J22" s="265"/>
      <c r="K22" s="265"/>
      <c r="L22" s="266"/>
      <c r="M22" s="267"/>
      <c r="N22" s="267"/>
      <c r="O22" s="123"/>
      <c r="P22" s="123"/>
      <c r="Q22" s="120"/>
      <c r="R22" s="254"/>
      <c r="S22" s="254"/>
      <c r="T22" s="16"/>
      <c r="U22" s="17"/>
      <c r="V22" s="250"/>
      <c r="W22" s="250"/>
      <c r="X22" s="251"/>
      <c r="Y22" s="250"/>
      <c r="AG22" s="16"/>
      <c r="AH22" s="17"/>
      <c r="AI22" s="17"/>
      <c r="AJ22" s="17"/>
      <c r="AK22" s="18"/>
      <c r="AL22" s="17"/>
      <c r="AS22" s="16"/>
      <c r="AT22" s="17"/>
      <c r="AU22" s="323"/>
      <c r="AV22" s="250"/>
      <c r="AW22" s="325"/>
      <c r="AX22" s="252"/>
    </row>
    <row r="23" spans="1:53">
      <c r="H23" s="1">
        <v>1</v>
      </c>
      <c r="I23" s="14" t="s">
        <v>260</v>
      </c>
      <c r="J23" s="126">
        <f>'Organized Input Output'!D18</f>
        <v>18.8</v>
      </c>
      <c r="K23" s="104">
        <f>(J23/1000)*$B$7</f>
        <v>20.68</v>
      </c>
      <c r="L23" s="104">
        <f>K23</f>
        <v>20.68</v>
      </c>
      <c r="M23" s="104">
        <f>IF(I23="Jan", 0, MIN(L23, D11))</f>
        <v>0</v>
      </c>
      <c r="T23" s="1">
        <v>1</v>
      </c>
      <c r="U23" s="14" t="s">
        <v>260</v>
      </c>
      <c r="V23" s="7">
        <v>0</v>
      </c>
      <c r="W23" s="1">
        <f t="shared" ref="W23:W86" si="1">(V23/1000)*$B$7</f>
        <v>0</v>
      </c>
      <c r="X23" s="1">
        <f>IF(MAX(0,MIN($B$8,X22 + W23 - $D$11))&gt;$B$8, $B$8, MAX(0,MIN($B$8,X22 + W23 - $D$11)))</f>
        <v>0</v>
      </c>
      <c r="Y23" s="1">
        <f>IF(ISNUMBER(MATCH($M$7, U23:U387, 0)), 0, MAX(0, X23-(W23*24)))</f>
        <v>0</v>
      </c>
      <c r="AG23" s="1">
        <v>1</v>
      </c>
      <c r="AH23" s="14" t="s">
        <v>260</v>
      </c>
      <c r="AI23" s="7">
        <v>7.8</v>
      </c>
      <c r="AJ23" s="1">
        <f t="shared" ref="AJ23:AJ86" si="2">(AI23/1000)*$B$7</f>
        <v>8.58</v>
      </c>
      <c r="AK23" s="1">
        <f>IF(MAX(0,MIN($B$8,AK22 + AJ23 - $D$11))&gt;$B$8, $B$8, MAX(0,MIN($B$8,AK22 + AJ23 - $D$11)))</f>
        <v>7.835</v>
      </c>
      <c r="AL23" s="1">
        <f>IF(ISNUMBER(MATCH($M$7, AH23:AH386, 0)), 0, MAX(0, AK23-(AJ23*24)))</f>
        <v>0</v>
      </c>
      <c r="AS23" s="1">
        <v>1</v>
      </c>
      <c r="AT23" s="14" t="s">
        <v>260</v>
      </c>
      <c r="AU23" s="8">
        <v>18.8</v>
      </c>
      <c r="AV23" s="1">
        <f t="shared" ref="AV23:AV86" si="3">(AU23/1000)*$B$7</f>
        <v>20.68</v>
      </c>
      <c r="AW23" s="1">
        <f>IF(MAX(0,MIN($B$8,AW22 + AV23 - $D$11))&gt;$B$8, $B$8, MAX(0,MIN($B$8,AW22 + AV23 - $D$11)))</f>
        <v>19.934999999999999</v>
      </c>
      <c r="AX23" s="1">
        <f>IF(ISNUMBER(MATCH($M$7, AT23:AT386, 0)), 0, MAX(0, (AW23-(AV23*24))))</f>
        <v>0</v>
      </c>
    </row>
    <row r="24" spans="1:53">
      <c r="H24" s="1">
        <f>H23+1</f>
        <v>2</v>
      </c>
      <c r="I24" s="14" t="s">
        <v>260</v>
      </c>
      <c r="J24" s="127">
        <f>'Organized Input Output'!D19</f>
        <v>19.8</v>
      </c>
      <c r="K24" s="104">
        <f>(J24/1000)*$B$7</f>
        <v>21.78</v>
      </c>
      <c r="L24" s="104">
        <f>MAX(0, IF(I23 = "Jan", MIN($B$8, K24 + L23), MIN($B$8, L23 + K24 - $D$11)))</f>
        <v>20</v>
      </c>
      <c r="M24" s="104">
        <f t="shared" ref="M24:M53" si="4">IF(I24="Jan", 0, MIN(L24, D12))</f>
        <v>0</v>
      </c>
      <c r="T24" s="1">
        <f t="shared" ref="T24:T87" si="5">T23+1</f>
        <v>2</v>
      </c>
      <c r="U24" s="14" t="s">
        <v>260</v>
      </c>
      <c r="V24" s="8">
        <v>1.4</v>
      </c>
      <c r="W24" s="1">
        <f t="shared" si="1"/>
        <v>1.54</v>
      </c>
      <c r="X24" s="1">
        <f>IF(MAX(0,MIN($B$8,X23 + W24 - $D$11))&gt;$B$8, $B$8, MAX(0,MIN($B$8,X23 + W24 - $D$11)))</f>
        <v>0.79500000000000004</v>
      </c>
      <c r="Y24" s="1">
        <f t="shared" ref="Y24:Y87" si="6">IF(ISNUMBER(MATCH($M$7, U24:U388, 0)), 0, MAX(0, X24-(W24*24)))</f>
        <v>0</v>
      </c>
      <c r="AG24" s="1">
        <f t="shared" ref="AG24:AG87" si="7">AG23+1</f>
        <v>2</v>
      </c>
      <c r="AH24" s="14" t="s">
        <v>260</v>
      </c>
      <c r="AI24" s="8">
        <v>1</v>
      </c>
      <c r="AJ24" s="1">
        <f t="shared" si="2"/>
        <v>1.1000000000000001</v>
      </c>
      <c r="AK24" s="1">
        <f t="shared" ref="AK24:AK87" si="8">IF(MAX(0,MIN($B$8,AK23 + AJ24 - $D$11))&gt;$B$8, $B$8, MAX(0,MIN($B$8,AK23 + AJ24 - $D$11)))</f>
        <v>8.1900000000000013</v>
      </c>
      <c r="AL24" s="1">
        <f t="shared" ref="AL24:AL87" si="9">IF(ISNUMBER(MATCH($M$7, AH24:AH387, 0)), 0, MAX(0, AK24-(AJ24*24)))</f>
        <v>0</v>
      </c>
      <c r="AS24" s="1">
        <f t="shared" ref="AS24:AS87" si="10">AS23+1</f>
        <v>2</v>
      </c>
      <c r="AT24" s="14" t="s">
        <v>260</v>
      </c>
      <c r="AU24" s="8">
        <v>19.8</v>
      </c>
      <c r="AV24" s="1">
        <f t="shared" si="3"/>
        <v>21.78</v>
      </c>
      <c r="AW24" s="1">
        <f>IF(MAX(0,MIN($B$8,AW23 + AV24 - $D$11))&gt;$B$8, $B$8, MAX(0,MIN($B$8,AW23 + AV24 - $D$11)))</f>
        <v>20</v>
      </c>
      <c r="AX24" s="1">
        <f t="shared" ref="AX24:AX87" si="11">IF(ISNUMBER(MATCH($M$7, AT24:AT387, 0)), 0, MAX(0, (AW24-(AV24*24))))</f>
        <v>0</v>
      </c>
    </row>
    <row r="25" spans="1:53">
      <c r="H25" s="1">
        <f t="shared" ref="H25:H87" si="12">H24+1</f>
        <v>3</v>
      </c>
      <c r="I25" s="14" t="s">
        <v>260</v>
      </c>
      <c r="J25" s="127">
        <f>'Organized Input Output'!D20</f>
        <v>0</v>
      </c>
      <c r="K25" s="104">
        <f t="shared" ref="K25:K87" si="13">(J25/1000)*$B$7</f>
        <v>0</v>
      </c>
      <c r="L25" s="104">
        <f>MAX(0, IF(I24 = "Jan", MIN($B$8, K25 + L24), MIN($B$8, L24 + K25 - $D$11)))</f>
        <v>20</v>
      </c>
      <c r="M25" s="104">
        <f t="shared" si="4"/>
        <v>0</v>
      </c>
      <c r="T25" s="1">
        <f t="shared" si="5"/>
        <v>3</v>
      </c>
      <c r="U25" s="14" t="s">
        <v>260</v>
      </c>
      <c r="V25" s="8">
        <v>7.8</v>
      </c>
      <c r="W25" s="1">
        <f t="shared" si="1"/>
        <v>8.58</v>
      </c>
      <c r="X25" s="1">
        <f>IF(MAX(0,MIN($B$8,X24 + W25 - $D$11))&gt;$B$8, $B$8, MAX(0,MIN($B$8,X24 + W25 - $D$11)))</f>
        <v>8.6300000000000008</v>
      </c>
      <c r="Y25" s="1">
        <f t="shared" si="6"/>
        <v>0</v>
      </c>
      <c r="AG25" s="1">
        <f t="shared" si="7"/>
        <v>3</v>
      </c>
      <c r="AH25" s="14" t="s">
        <v>260</v>
      </c>
      <c r="AI25" s="8">
        <v>13.4</v>
      </c>
      <c r="AJ25" s="1">
        <f t="shared" si="2"/>
        <v>14.74</v>
      </c>
      <c r="AK25" s="1">
        <f t="shared" si="8"/>
        <v>20</v>
      </c>
      <c r="AL25" s="1">
        <f t="shared" si="9"/>
        <v>0</v>
      </c>
      <c r="AS25" s="1">
        <f t="shared" si="10"/>
        <v>3</v>
      </c>
      <c r="AT25" s="14" t="s">
        <v>260</v>
      </c>
      <c r="AU25" s="8">
        <v>0</v>
      </c>
      <c r="AV25" s="1">
        <f t="shared" si="3"/>
        <v>0</v>
      </c>
      <c r="AW25" s="1">
        <f t="shared" ref="AW25:AW87" si="14">IF(MAX(0,MIN($B$8,AW24 + AV25 - $D$11))&gt;$B$8, $B$8, MAX(0,MIN($B$8,AW24 + AV25 - $D$11)))</f>
        <v>19.254999999999999</v>
      </c>
      <c r="AX25" s="1">
        <f t="shared" si="11"/>
        <v>0</v>
      </c>
    </row>
    <row r="26" spans="1:53">
      <c r="H26" s="1">
        <f t="shared" si="12"/>
        <v>4</v>
      </c>
      <c r="I26" s="14" t="s">
        <v>260</v>
      </c>
      <c r="J26" s="127">
        <f>'Organized Input Output'!D21</f>
        <v>0</v>
      </c>
      <c r="K26" s="104">
        <f t="shared" si="13"/>
        <v>0</v>
      </c>
      <c r="L26" s="104">
        <f t="shared" ref="L26:L88" si="15">MAX(0, IF(I25 = "Jan", MIN($B$8, K26 + L25), MIN($B$8, L25 + K26 - $D$11)))</f>
        <v>20</v>
      </c>
      <c r="M26" s="104">
        <f t="shared" si="4"/>
        <v>0</v>
      </c>
      <c r="T26" s="1">
        <f t="shared" si="5"/>
        <v>4</v>
      </c>
      <c r="U26" s="14" t="s">
        <v>260</v>
      </c>
      <c r="V26" s="8">
        <v>29.6</v>
      </c>
      <c r="W26" s="1">
        <f t="shared" si="1"/>
        <v>32.56</v>
      </c>
      <c r="X26" s="1">
        <f t="shared" ref="X26:X87" si="16">IF(MAX(0,MIN($B$8,X25 + W26 - $D$11))&gt;$B$8, $B$8, MAX(0,MIN($B$8,X25 + W26 - $D$11)))</f>
        <v>20</v>
      </c>
      <c r="Y26" s="1">
        <f t="shared" si="6"/>
        <v>0</v>
      </c>
      <c r="AG26" s="1">
        <f t="shared" si="7"/>
        <v>4</v>
      </c>
      <c r="AH26" s="14" t="s">
        <v>260</v>
      </c>
      <c r="AI26" s="8">
        <v>64.2</v>
      </c>
      <c r="AJ26" s="1">
        <f t="shared" si="2"/>
        <v>70.62</v>
      </c>
      <c r="AK26" s="1">
        <f t="shared" si="8"/>
        <v>20</v>
      </c>
      <c r="AL26" s="1">
        <f t="shared" si="9"/>
        <v>0</v>
      </c>
      <c r="AS26" s="1">
        <f t="shared" si="10"/>
        <v>4</v>
      </c>
      <c r="AT26" s="14" t="s">
        <v>260</v>
      </c>
      <c r="AU26" s="8">
        <v>0</v>
      </c>
      <c r="AV26" s="1">
        <f t="shared" si="3"/>
        <v>0</v>
      </c>
      <c r="AW26" s="1">
        <f>IF(MAX(0,MIN($B$8,AW25 + AV26 - $D$11))&gt;$B$8, $B$8, MAX(0,MIN($B$8,AW25 + AV26 - $D$11)))</f>
        <v>18.509999999999998</v>
      </c>
      <c r="AX26" s="1">
        <f t="shared" si="11"/>
        <v>0</v>
      </c>
    </row>
    <row r="27" spans="1:53">
      <c r="H27" s="1">
        <f t="shared" si="12"/>
        <v>5</v>
      </c>
      <c r="I27" s="14" t="s">
        <v>260</v>
      </c>
      <c r="J27" s="127">
        <f>'Organized Input Output'!D22</f>
        <v>0</v>
      </c>
      <c r="K27" s="104">
        <f t="shared" si="13"/>
        <v>0</v>
      </c>
      <c r="L27" s="104">
        <f t="shared" si="15"/>
        <v>20</v>
      </c>
      <c r="M27" s="104">
        <f t="shared" si="4"/>
        <v>0</v>
      </c>
      <c r="T27" s="1">
        <f t="shared" si="5"/>
        <v>5</v>
      </c>
      <c r="U27" s="14" t="s">
        <v>260</v>
      </c>
      <c r="V27" s="8">
        <v>6</v>
      </c>
      <c r="W27" s="1">
        <f t="shared" si="1"/>
        <v>6.6000000000000005</v>
      </c>
      <c r="X27" s="1">
        <f>IF(MAX(0,MIN($B$8,X26 + W27 - $D$11))&gt;$B$8, $B$8, MAX(0,MIN($B$8,X26 + W27 - $D$11)))</f>
        <v>20</v>
      </c>
      <c r="Y27" s="1">
        <f t="shared" si="6"/>
        <v>0</v>
      </c>
      <c r="AG27" s="1">
        <f t="shared" si="7"/>
        <v>5</v>
      </c>
      <c r="AH27" s="14" t="s">
        <v>260</v>
      </c>
      <c r="AI27" s="8">
        <v>32.200000000000003</v>
      </c>
      <c r="AJ27" s="1">
        <f t="shared" si="2"/>
        <v>35.42</v>
      </c>
      <c r="AK27" s="1">
        <f t="shared" si="8"/>
        <v>20</v>
      </c>
      <c r="AL27" s="1">
        <f t="shared" si="9"/>
        <v>0</v>
      </c>
      <c r="AS27" s="1">
        <f t="shared" si="10"/>
        <v>5</v>
      </c>
      <c r="AT27" s="14" t="s">
        <v>260</v>
      </c>
      <c r="AU27" s="8">
        <v>0</v>
      </c>
      <c r="AV27" s="1">
        <f t="shared" si="3"/>
        <v>0</v>
      </c>
      <c r="AW27" s="1">
        <f t="shared" si="14"/>
        <v>17.764999999999997</v>
      </c>
      <c r="AX27" s="1">
        <f t="shared" si="11"/>
        <v>0</v>
      </c>
    </row>
    <row r="28" spans="1:53">
      <c r="H28" s="1">
        <f t="shared" si="12"/>
        <v>6</v>
      </c>
      <c r="I28" s="14" t="s">
        <v>260</v>
      </c>
      <c r="J28" s="127">
        <f>'Organized Input Output'!D23</f>
        <v>5</v>
      </c>
      <c r="K28" s="104">
        <f t="shared" si="13"/>
        <v>5.5</v>
      </c>
      <c r="L28" s="104">
        <f t="shared" si="15"/>
        <v>20</v>
      </c>
      <c r="M28" s="104">
        <f t="shared" si="4"/>
        <v>0</v>
      </c>
      <c r="T28" s="1">
        <f t="shared" si="5"/>
        <v>6</v>
      </c>
      <c r="U28" s="14" t="s">
        <v>260</v>
      </c>
      <c r="V28" s="8">
        <v>0</v>
      </c>
      <c r="W28" s="1">
        <f t="shared" si="1"/>
        <v>0</v>
      </c>
      <c r="X28" s="1">
        <f t="shared" si="16"/>
        <v>19.254999999999999</v>
      </c>
      <c r="Y28" s="1">
        <f t="shared" si="6"/>
        <v>0</v>
      </c>
      <c r="AG28" s="1">
        <f t="shared" si="7"/>
        <v>6</v>
      </c>
      <c r="AH28" s="14" t="s">
        <v>260</v>
      </c>
      <c r="AI28" s="8">
        <v>2.8</v>
      </c>
      <c r="AJ28" s="1">
        <f t="shared" si="2"/>
        <v>3.08</v>
      </c>
      <c r="AK28" s="1">
        <f t="shared" si="8"/>
        <v>20</v>
      </c>
      <c r="AL28" s="1">
        <f t="shared" si="9"/>
        <v>0</v>
      </c>
      <c r="AS28" s="1">
        <f t="shared" si="10"/>
        <v>6</v>
      </c>
      <c r="AT28" s="14" t="s">
        <v>260</v>
      </c>
      <c r="AU28" s="8">
        <v>5</v>
      </c>
      <c r="AV28" s="1">
        <f t="shared" si="3"/>
        <v>5.5</v>
      </c>
      <c r="AW28" s="1">
        <f t="shared" si="14"/>
        <v>20</v>
      </c>
      <c r="AX28" s="1">
        <f t="shared" si="11"/>
        <v>0</v>
      </c>
    </row>
    <row r="29" spans="1:53">
      <c r="H29" s="1">
        <f t="shared" si="12"/>
        <v>7</v>
      </c>
      <c r="I29" s="14" t="s">
        <v>260</v>
      </c>
      <c r="J29" s="127">
        <f>'Organized Input Output'!D24</f>
        <v>20.399999999999999</v>
      </c>
      <c r="K29" s="104">
        <f t="shared" si="13"/>
        <v>22.439999999999998</v>
      </c>
      <c r="L29" s="104">
        <f t="shared" si="15"/>
        <v>20</v>
      </c>
      <c r="M29" s="104">
        <f t="shared" si="4"/>
        <v>0</v>
      </c>
      <c r="T29" s="1">
        <f t="shared" si="5"/>
        <v>7</v>
      </c>
      <c r="U29" s="14" t="s">
        <v>260</v>
      </c>
      <c r="V29" s="8">
        <v>0</v>
      </c>
      <c r="W29" s="1">
        <f t="shared" si="1"/>
        <v>0</v>
      </c>
      <c r="X29" s="1">
        <f t="shared" si="16"/>
        <v>18.509999999999998</v>
      </c>
      <c r="Y29" s="1">
        <f t="shared" si="6"/>
        <v>0</v>
      </c>
      <c r="AG29" s="1">
        <f t="shared" si="7"/>
        <v>7</v>
      </c>
      <c r="AH29" s="14" t="s">
        <v>260</v>
      </c>
      <c r="AI29" s="8">
        <v>0</v>
      </c>
      <c r="AJ29" s="1">
        <f t="shared" si="2"/>
        <v>0</v>
      </c>
      <c r="AK29" s="1">
        <f t="shared" si="8"/>
        <v>19.254999999999999</v>
      </c>
      <c r="AL29" s="1">
        <f t="shared" si="9"/>
        <v>0</v>
      </c>
      <c r="AS29" s="1">
        <f t="shared" si="10"/>
        <v>7</v>
      </c>
      <c r="AT29" s="14" t="s">
        <v>260</v>
      </c>
      <c r="AU29" s="8">
        <v>20.399999999999999</v>
      </c>
      <c r="AV29" s="1">
        <f t="shared" si="3"/>
        <v>22.439999999999998</v>
      </c>
      <c r="AW29" s="1">
        <f>IF(MAX(0,MIN($B$8,AW28 + AV29 - $D$11))&gt;$B$8, $B$8, MAX(0,MIN($B$8,AW28 + AV29 - $D$11)))</f>
        <v>20</v>
      </c>
      <c r="AX29" s="1">
        <f t="shared" si="11"/>
        <v>0</v>
      </c>
    </row>
    <row r="30" spans="1:53">
      <c r="H30" s="1">
        <f t="shared" si="12"/>
        <v>8</v>
      </c>
      <c r="I30" s="14" t="s">
        <v>260</v>
      </c>
      <c r="J30" s="127">
        <f>'Organized Input Output'!D25</f>
        <v>24.8</v>
      </c>
      <c r="K30" s="104">
        <f t="shared" si="13"/>
        <v>27.279999999999998</v>
      </c>
      <c r="L30" s="104">
        <f t="shared" si="15"/>
        <v>20</v>
      </c>
      <c r="M30" s="104">
        <f t="shared" si="4"/>
        <v>0</v>
      </c>
      <c r="T30" s="1">
        <f t="shared" si="5"/>
        <v>8</v>
      </c>
      <c r="U30" s="14" t="s">
        <v>260</v>
      </c>
      <c r="V30" s="8">
        <v>0</v>
      </c>
      <c r="W30" s="1">
        <f t="shared" si="1"/>
        <v>0</v>
      </c>
      <c r="X30" s="1">
        <f t="shared" si="16"/>
        <v>17.764999999999997</v>
      </c>
      <c r="Y30" s="1">
        <f t="shared" si="6"/>
        <v>0</v>
      </c>
      <c r="AG30" s="1">
        <f t="shared" si="7"/>
        <v>8</v>
      </c>
      <c r="AH30" s="14" t="s">
        <v>260</v>
      </c>
      <c r="AI30" s="8">
        <v>0</v>
      </c>
      <c r="AJ30" s="1">
        <f t="shared" si="2"/>
        <v>0</v>
      </c>
      <c r="AK30" s="1">
        <f t="shared" si="8"/>
        <v>18.509999999999998</v>
      </c>
      <c r="AL30" s="1">
        <f t="shared" si="9"/>
        <v>0</v>
      </c>
      <c r="AS30" s="1">
        <f t="shared" si="10"/>
        <v>8</v>
      </c>
      <c r="AT30" s="14" t="s">
        <v>260</v>
      </c>
      <c r="AU30" s="8">
        <v>24.8</v>
      </c>
      <c r="AV30" s="1">
        <f t="shared" si="3"/>
        <v>27.279999999999998</v>
      </c>
      <c r="AW30" s="1">
        <f t="shared" si="14"/>
        <v>20</v>
      </c>
      <c r="AX30" s="1">
        <f t="shared" si="11"/>
        <v>0</v>
      </c>
    </row>
    <row r="31" spans="1:53">
      <c r="H31" s="1">
        <f t="shared" si="12"/>
        <v>9</v>
      </c>
      <c r="I31" s="14" t="s">
        <v>260</v>
      </c>
      <c r="J31" s="127">
        <f>'Organized Input Output'!D26</f>
        <v>34</v>
      </c>
      <c r="K31" s="104">
        <f t="shared" si="13"/>
        <v>37.400000000000006</v>
      </c>
      <c r="L31" s="104">
        <f t="shared" si="15"/>
        <v>20</v>
      </c>
      <c r="M31" s="104">
        <f t="shared" si="4"/>
        <v>0</v>
      </c>
      <c r="T31" s="1">
        <f t="shared" si="5"/>
        <v>9</v>
      </c>
      <c r="U31" s="14" t="s">
        <v>260</v>
      </c>
      <c r="V31" s="8">
        <v>1</v>
      </c>
      <c r="W31" s="1">
        <f t="shared" si="1"/>
        <v>1.1000000000000001</v>
      </c>
      <c r="X31" s="1">
        <f t="shared" si="16"/>
        <v>18.119999999999997</v>
      </c>
      <c r="Y31" s="1">
        <f t="shared" si="6"/>
        <v>0</v>
      </c>
      <c r="AG31" s="1">
        <f t="shared" si="7"/>
        <v>9</v>
      </c>
      <c r="AH31" s="14" t="s">
        <v>260</v>
      </c>
      <c r="AI31" s="8">
        <v>0.8</v>
      </c>
      <c r="AJ31" s="1">
        <f t="shared" si="2"/>
        <v>0.88</v>
      </c>
      <c r="AK31" s="1">
        <f t="shared" si="8"/>
        <v>18.644999999999996</v>
      </c>
      <c r="AL31" s="1">
        <f t="shared" si="9"/>
        <v>0</v>
      </c>
      <c r="AS31" s="1">
        <f t="shared" si="10"/>
        <v>9</v>
      </c>
      <c r="AT31" s="14" t="s">
        <v>260</v>
      </c>
      <c r="AU31" s="8">
        <v>34</v>
      </c>
      <c r="AV31" s="1">
        <f t="shared" si="3"/>
        <v>37.400000000000006</v>
      </c>
      <c r="AW31" s="1">
        <f t="shared" si="14"/>
        <v>20</v>
      </c>
      <c r="AX31" s="1">
        <f t="shared" si="11"/>
        <v>0</v>
      </c>
    </row>
    <row r="32" spans="1:53">
      <c r="H32" s="1">
        <f t="shared" si="12"/>
        <v>10</v>
      </c>
      <c r="I32" s="14" t="s">
        <v>260</v>
      </c>
      <c r="J32" s="127">
        <f>'Organized Input Output'!D27</f>
        <v>44.6</v>
      </c>
      <c r="K32" s="104">
        <f t="shared" si="13"/>
        <v>49.06</v>
      </c>
      <c r="L32" s="104">
        <f t="shared" si="15"/>
        <v>20</v>
      </c>
      <c r="M32" s="104">
        <f t="shared" si="4"/>
        <v>0</v>
      </c>
      <c r="T32" s="1">
        <f t="shared" si="5"/>
        <v>10</v>
      </c>
      <c r="U32" s="14" t="s">
        <v>260</v>
      </c>
      <c r="V32" s="8">
        <v>0.6</v>
      </c>
      <c r="W32" s="1">
        <f t="shared" si="1"/>
        <v>0.65999999999999992</v>
      </c>
      <c r="X32" s="1">
        <f t="shared" si="16"/>
        <v>18.034999999999997</v>
      </c>
      <c r="Y32" s="1">
        <f t="shared" si="6"/>
        <v>0</v>
      </c>
      <c r="AG32" s="1">
        <f t="shared" si="7"/>
        <v>10</v>
      </c>
      <c r="AH32" s="14" t="s">
        <v>260</v>
      </c>
      <c r="AI32" s="8">
        <v>0</v>
      </c>
      <c r="AJ32" s="1">
        <f t="shared" si="2"/>
        <v>0</v>
      </c>
      <c r="AK32" s="1">
        <f t="shared" si="8"/>
        <v>17.899999999999995</v>
      </c>
      <c r="AL32" s="1">
        <f t="shared" si="9"/>
        <v>0</v>
      </c>
      <c r="AS32" s="1">
        <f t="shared" si="10"/>
        <v>10</v>
      </c>
      <c r="AT32" s="14" t="s">
        <v>260</v>
      </c>
      <c r="AU32" s="8">
        <v>44.6</v>
      </c>
      <c r="AV32" s="1">
        <f t="shared" si="3"/>
        <v>49.06</v>
      </c>
      <c r="AW32" s="1">
        <f t="shared" si="14"/>
        <v>20</v>
      </c>
      <c r="AX32" s="1">
        <f t="shared" si="11"/>
        <v>0</v>
      </c>
    </row>
    <row r="33" spans="8:50">
      <c r="H33" s="1">
        <f t="shared" si="12"/>
        <v>11</v>
      </c>
      <c r="I33" s="14" t="s">
        <v>260</v>
      </c>
      <c r="J33" s="127">
        <f>'Organized Input Output'!D28</f>
        <v>14.4</v>
      </c>
      <c r="K33" s="104">
        <f t="shared" si="13"/>
        <v>15.84</v>
      </c>
      <c r="L33" s="104">
        <f t="shared" si="15"/>
        <v>20</v>
      </c>
      <c r="M33" s="104">
        <f t="shared" si="4"/>
        <v>0</v>
      </c>
      <c r="T33" s="1">
        <f t="shared" si="5"/>
        <v>11</v>
      </c>
      <c r="U33" s="14" t="s">
        <v>260</v>
      </c>
      <c r="V33" s="8">
        <v>1.6</v>
      </c>
      <c r="W33" s="1">
        <f t="shared" si="1"/>
        <v>1.76</v>
      </c>
      <c r="X33" s="1">
        <f t="shared" si="16"/>
        <v>19.049999999999997</v>
      </c>
      <c r="Y33" s="1">
        <f t="shared" si="6"/>
        <v>0</v>
      </c>
      <c r="AG33" s="1">
        <f t="shared" si="7"/>
        <v>11</v>
      </c>
      <c r="AH33" s="14" t="s">
        <v>260</v>
      </c>
      <c r="AI33" s="8">
        <v>0</v>
      </c>
      <c r="AJ33" s="1">
        <f t="shared" si="2"/>
        <v>0</v>
      </c>
      <c r="AK33" s="1">
        <f t="shared" si="8"/>
        <v>17.154999999999994</v>
      </c>
      <c r="AL33" s="1">
        <f t="shared" si="9"/>
        <v>0</v>
      </c>
      <c r="AS33" s="1">
        <f t="shared" si="10"/>
        <v>11</v>
      </c>
      <c r="AT33" s="14" t="s">
        <v>260</v>
      </c>
      <c r="AU33" s="8">
        <v>14.4</v>
      </c>
      <c r="AV33" s="1">
        <f t="shared" si="3"/>
        <v>15.84</v>
      </c>
      <c r="AW33" s="1">
        <f t="shared" si="14"/>
        <v>20</v>
      </c>
      <c r="AX33" s="1">
        <f t="shared" si="11"/>
        <v>0</v>
      </c>
    </row>
    <row r="34" spans="8:50">
      <c r="H34" s="1">
        <f t="shared" si="12"/>
        <v>12</v>
      </c>
      <c r="I34" s="14" t="s">
        <v>260</v>
      </c>
      <c r="J34" s="127">
        <f>'Organized Input Output'!D29</f>
        <v>50.2</v>
      </c>
      <c r="K34" s="104">
        <f t="shared" si="13"/>
        <v>55.22</v>
      </c>
      <c r="L34" s="104">
        <f t="shared" si="15"/>
        <v>20</v>
      </c>
      <c r="M34" s="104">
        <f t="shared" si="4"/>
        <v>0</v>
      </c>
      <c r="T34" s="1">
        <f t="shared" si="5"/>
        <v>12</v>
      </c>
      <c r="U34" s="14" t="s">
        <v>260</v>
      </c>
      <c r="V34" s="8">
        <v>0</v>
      </c>
      <c r="W34" s="1">
        <f t="shared" si="1"/>
        <v>0</v>
      </c>
      <c r="X34" s="1">
        <f t="shared" si="16"/>
        <v>18.304999999999996</v>
      </c>
      <c r="Y34" s="1">
        <f t="shared" si="6"/>
        <v>0</v>
      </c>
      <c r="AG34" s="1">
        <f t="shared" si="7"/>
        <v>12</v>
      </c>
      <c r="AH34" s="14" t="s">
        <v>260</v>
      </c>
      <c r="AI34" s="8">
        <v>0</v>
      </c>
      <c r="AJ34" s="1">
        <f t="shared" si="2"/>
        <v>0</v>
      </c>
      <c r="AK34" s="1">
        <f t="shared" si="8"/>
        <v>16.409999999999993</v>
      </c>
      <c r="AL34" s="1">
        <f t="shared" si="9"/>
        <v>0</v>
      </c>
      <c r="AS34" s="1">
        <f t="shared" si="10"/>
        <v>12</v>
      </c>
      <c r="AT34" s="14" t="s">
        <v>260</v>
      </c>
      <c r="AU34" s="8">
        <v>50.2</v>
      </c>
      <c r="AV34" s="1">
        <f t="shared" si="3"/>
        <v>55.22</v>
      </c>
      <c r="AW34" s="1">
        <f t="shared" si="14"/>
        <v>20</v>
      </c>
      <c r="AX34" s="1">
        <f t="shared" si="11"/>
        <v>0</v>
      </c>
    </row>
    <row r="35" spans="8:50">
      <c r="H35" s="1">
        <f t="shared" si="12"/>
        <v>13</v>
      </c>
      <c r="I35" s="14" t="s">
        <v>260</v>
      </c>
      <c r="J35" s="127">
        <f>'Organized Input Output'!D30</f>
        <v>9.6</v>
      </c>
      <c r="K35" s="104">
        <f t="shared" si="13"/>
        <v>10.559999999999999</v>
      </c>
      <c r="L35" s="104">
        <f t="shared" si="15"/>
        <v>20</v>
      </c>
      <c r="M35" s="104">
        <f t="shared" si="4"/>
        <v>0</v>
      </c>
      <c r="T35" s="1">
        <f t="shared" si="5"/>
        <v>13</v>
      </c>
      <c r="U35" s="14" t="s">
        <v>260</v>
      </c>
      <c r="V35" s="8">
        <v>0</v>
      </c>
      <c r="W35" s="1">
        <f t="shared" si="1"/>
        <v>0</v>
      </c>
      <c r="X35" s="1">
        <f t="shared" si="16"/>
        <v>17.559999999999995</v>
      </c>
      <c r="Y35" s="1">
        <f t="shared" si="6"/>
        <v>0</v>
      </c>
      <c r="AG35" s="1">
        <f t="shared" si="7"/>
        <v>13</v>
      </c>
      <c r="AH35" s="14" t="s">
        <v>260</v>
      </c>
      <c r="AI35" s="8">
        <v>0</v>
      </c>
      <c r="AJ35" s="1">
        <f t="shared" si="2"/>
        <v>0</v>
      </c>
      <c r="AK35" s="1">
        <f t="shared" si="8"/>
        <v>15.664999999999994</v>
      </c>
      <c r="AL35" s="1">
        <f t="shared" si="9"/>
        <v>0</v>
      </c>
      <c r="AS35" s="1">
        <f t="shared" si="10"/>
        <v>13</v>
      </c>
      <c r="AT35" s="14" t="s">
        <v>260</v>
      </c>
      <c r="AU35" s="8">
        <v>9.6</v>
      </c>
      <c r="AV35" s="1">
        <f t="shared" si="3"/>
        <v>10.559999999999999</v>
      </c>
      <c r="AW35" s="1">
        <f t="shared" si="14"/>
        <v>20</v>
      </c>
      <c r="AX35" s="1">
        <f t="shared" si="11"/>
        <v>0</v>
      </c>
    </row>
    <row r="36" spans="8:50">
      <c r="H36" s="1">
        <f t="shared" si="12"/>
        <v>14</v>
      </c>
      <c r="I36" s="14" t="s">
        <v>260</v>
      </c>
      <c r="J36" s="127">
        <f>'Organized Input Output'!D31</f>
        <v>5.8</v>
      </c>
      <c r="K36" s="104">
        <f t="shared" si="13"/>
        <v>6.38</v>
      </c>
      <c r="L36" s="104">
        <f t="shared" si="15"/>
        <v>20</v>
      </c>
      <c r="M36" s="104">
        <f t="shared" si="4"/>
        <v>0</v>
      </c>
      <c r="T36" s="1">
        <f t="shared" si="5"/>
        <v>14</v>
      </c>
      <c r="U36" s="14" t="s">
        <v>260</v>
      </c>
      <c r="V36" s="8">
        <v>0</v>
      </c>
      <c r="W36" s="1">
        <f t="shared" si="1"/>
        <v>0</v>
      </c>
      <c r="X36" s="1">
        <f t="shared" si="16"/>
        <v>16.814999999999994</v>
      </c>
      <c r="Y36" s="1">
        <f t="shared" si="6"/>
        <v>0</v>
      </c>
      <c r="AG36" s="1">
        <f t="shared" si="7"/>
        <v>14</v>
      </c>
      <c r="AH36" s="14" t="s">
        <v>260</v>
      </c>
      <c r="AI36" s="8">
        <v>0.4</v>
      </c>
      <c r="AJ36" s="1">
        <f t="shared" si="2"/>
        <v>0.44</v>
      </c>
      <c r="AK36" s="1">
        <f t="shared" si="8"/>
        <v>15.359999999999994</v>
      </c>
      <c r="AL36" s="1">
        <f t="shared" si="9"/>
        <v>0</v>
      </c>
      <c r="AS36" s="1">
        <f t="shared" si="10"/>
        <v>14</v>
      </c>
      <c r="AT36" s="14" t="s">
        <v>260</v>
      </c>
      <c r="AU36" s="8">
        <v>5.8</v>
      </c>
      <c r="AV36" s="1">
        <f t="shared" si="3"/>
        <v>6.38</v>
      </c>
      <c r="AW36" s="1">
        <f t="shared" si="14"/>
        <v>20</v>
      </c>
      <c r="AX36" s="1">
        <f t="shared" si="11"/>
        <v>0</v>
      </c>
    </row>
    <row r="37" spans="8:50">
      <c r="H37" s="1">
        <f t="shared" si="12"/>
        <v>15</v>
      </c>
      <c r="I37" s="14" t="s">
        <v>260</v>
      </c>
      <c r="J37" s="127">
        <f>'Organized Input Output'!D32</f>
        <v>1.6</v>
      </c>
      <c r="K37" s="104">
        <f t="shared" si="13"/>
        <v>1.76</v>
      </c>
      <c r="L37" s="104">
        <f t="shared" si="15"/>
        <v>20</v>
      </c>
      <c r="M37" s="104">
        <f t="shared" si="4"/>
        <v>0</v>
      </c>
      <c r="T37" s="1">
        <f t="shared" si="5"/>
        <v>15</v>
      </c>
      <c r="U37" s="14" t="s">
        <v>260</v>
      </c>
      <c r="V37" s="8">
        <v>12.4</v>
      </c>
      <c r="W37" s="1">
        <f t="shared" si="1"/>
        <v>13.639999999999999</v>
      </c>
      <c r="X37" s="1">
        <f t="shared" si="16"/>
        <v>20</v>
      </c>
      <c r="Y37" s="1">
        <f t="shared" si="6"/>
        <v>0</v>
      </c>
      <c r="AG37" s="1">
        <f t="shared" si="7"/>
        <v>15</v>
      </c>
      <c r="AH37" s="14" t="s">
        <v>260</v>
      </c>
      <c r="AI37" s="8">
        <v>35.4</v>
      </c>
      <c r="AJ37" s="1">
        <f t="shared" si="2"/>
        <v>38.94</v>
      </c>
      <c r="AK37" s="1">
        <f t="shared" si="8"/>
        <v>20</v>
      </c>
      <c r="AL37" s="1">
        <f t="shared" si="9"/>
        <v>0</v>
      </c>
      <c r="AS37" s="1">
        <f t="shared" si="10"/>
        <v>15</v>
      </c>
      <c r="AT37" s="14" t="s">
        <v>260</v>
      </c>
      <c r="AU37" s="8">
        <v>1.6</v>
      </c>
      <c r="AV37" s="1">
        <f t="shared" si="3"/>
        <v>1.76</v>
      </c>
      <c r="AW37" s="1">
        <f t="shared" si="14"/>
        <v>20</v>
      </c>
      <c r="AX37" s="1">
        <f t="shared" si="11"/>
        <v>0</v>
      </c>
    </row>
    <row r="38" spans="8:50">
      <c r="H38" s="1">
        <f t="shared" si="12"/>
        <v>16</v>
      </c>
      <c r="I38" s="14" t="s">
        <v>260</v>
      </c>
      <c r="J38" s="127">
        <f>'Organized Input Output'!D33</f>
        <v>0.8</v>
      </c>
      <c r="K38" s="104">
        <f t="shared" si="13"/>
        <v>0.88</v>
      </c>
      <c r="L38" s="104">
        <f t="shared" si="15"/>
        <v>20</v>
      </c>
      <c r="M38" s="104">
        <f t="shared" si="4"/>
        <v>0</v>
      </c>
      <c r="T38" s="1">
        <f t="shared" si="5"/>
        <v>16</v>
      </c>
      <c r="U38" s="14" t="s">
        <v>260</v>
      </c>
      <c r="V38" s="8">
        <v>1.6</v>
      </c>
      <c r="W38" s="1">
        <f t="shared" si="1"/>
        <v>1.76</v>
      </c>
      <c r="X38" s="1">
        <f t="shared" si="16"/>
        <v>20</v>
      </c>
      <c r="Y38" s="1">
        <f t="shared" si="6"/>
        <v>0</v>
      </c>
      <c r="AG38" s="1">
        <f t="shared" si="7"/>
        <v>16</v>
      </c>
      <c r="AH38" s="14" t="s">
        <v>260</v>
      </c>
      <c r="AI38" s="8">
        <v>6</v>
      </c>
      <c r="AJ38" s="1">
        <f t="shared" si="2"/>
        <v>6.6000000000000005</v>
      </c>
      <c r="AK38" s="1">
        <f t="shared" si="8"/>
        <v>20</v>
      </c>
      <c r="AL38" s="1">
        <f t="shared" si="9"/>
        <v>0</v>
      </c>
      <c r="AS38" s="1">
        <f t="shared" si="10"/>
        <v>16</v>
      </c>
      <c r="AT38" s="14" t="s">
        <v>260</v>
      </c>
      <c r="AU38" s="8">
        <v>0.8</v>
      </c>
      <c r="AV38" s="1">
        <f t="shared" si="3"/>
        <v>0.88</v>
      </c>
      <c r="AW38" s="1">
        <f t="shared" si="14"/>
        <v>20</v>
      </c>
      <c r="AX38" s="1">
        <f t="shared" si="11"/>
        <v>0</v>
      </c>
    </row>
    <row r="39" spans="8:50">
      <c r="H39" s="1">
        <f t="shared" si="12"/>
        <v>17</v>
      </c>
      <c r="I39" s="14" t="s">
        <v>260</v>
      </c>
      <c r="J39" s="127">
        <f>'Organized Input Output'!D34</f>
        <v>0</v>
      </c>
      <c r="K39" s="104">
        <f t="shared" si="13"/>
        <v>0</v>
      </c>
      <c r="L39" s="104">
        <f t="shared" si="15"/>
        <v>20</v>
      </c>
      <c r="M39" s="104">
        <f t="shared" si="4"/>
        <v>0</v>
      </c>
      <c r="T39" s="1">
        <f t="shared" si="5"/>
        <v>17</v>
      </c>
      <c r="U39" s="14" t="s">
        <v>260</v>
      </c>
      <c r="V39" s="8">
        <v>28.8</v>
      </c>
      <c r="W39" s="1">
        <f t="shared" si="1"/>
        <v>31.68</v>
      </c>
      <c r="X39" s="1">
        <f t="shared" si="16"/>
        <v>20</v>
      </c>
      <c r="Y39" s="1">
        <f t="shared" si="6"/>
        <v>0</v>
      </c>
      <c r="AG39" s="1">
        <f t="shared" si="7"/>
        <v>17</v>
      </c>
      <c r="AH39" s="14" t="s">
        <v>260</v>
      </c>
      <c r="AI39" s="8">
        <v>20.399999999999999</v>
      </c>
      <c r="AJ39" s="1">
        <f t="shared" si="2"/>
        <v>22.439999999999998</v>
      </c>
      <c r="AK39" s="1">
        <f t="shared" si="8"/>
        <v>20</v>
      </c>
      <c r="AL39" s="1">
        <f t="shared" si="9"/>
        <v>0</v>
      </c>
      <c r="AS39" s="1">
        <f t="shared" si="10"/>
        <v>17</v>
      </c>
      <c r="AT39" s="14" t="s">
        <v>260</v>
      </c>
      <c r="AU39" s="8">
        <v>0</v>
      </c>
      <c r="AV39" s="1">
        <f t="shared" si="3"/>
        <v>0</v>
      </c>
      <c r="AW39" s="1">
        <f t="shared" si="14"/>
        <v>19.254999999999999</v>
      </c>
      <c r="AX39" s="1">
        <f t="shared" si="11"/>
        <v>0</v>
      </c>
    </row>
    <row r="40" spans="8:50">
      <c r="H40" s="1">
        <f t="shared" si="12"/>
        <v>18</v>
      </c>
      <c r="I40" s="14" t="s">
        <v>260</v>
      </c>
      <c r="J40" s="127">
        <f>'Organized Input Output'!D35</f>
        <v>2.6</v>
      </c>
      <c r="K40" s="104">
        <f t="shared" si="13"/>
        <v>2.86</v>
      </c>
      <c r="L40" s="104">
        <f t="shared" si="15"/>
        <v>20</v>
      </c>
      <c r="M40" s="104">
        <f t="shared" si="4"/>
        <v>0</v>
      </c>
      <c r="T40" s="1">
        <f t="shared" si="5"/>
        <v>18</v>
      </c>
      <c r="U40" s="14" t="s">
        <v>260</v>
      </c>
      <c r="V40" s="8">
        <v>1</v>
      </c>
      <c r="W40" s="1">
        <f t="shared" si="1"/>
        <v>1.1000000000000001</v>
      </c>
      <c r="X40" s="1">
        <f t="shared" si="16"/>
        <v>20</v>
      </c>
      <c r="Y40" s="1">
        <f t="shared" si="6"/>
        <v>0</v>
      </c>
      <c r="AG40" s="1">
        <f t="shared" si="7"/>
        <v>18</v>
      </c>
      <c r="AH40" s="14" t="s">
        <v>260</v>
      </c>
      <c r="AI40" s="8">
        <v>16.600000000000001</v>
      </c>
      <c r="AJ40" s="1">
        <f t="shared" si="2"/>
        <v>18.260000000000002</v>
      </c>
      <c r="AK40" s="1">
        <f t="shared" si="8"/>
        <v>20</v>
      </c>
      <c r="AL40" s="1">
        <f t="shared" si="9"/>
        <v>0</v>
      </c>
      <c r="AS40" s="1">
        <f t="shared" si="10"/>
        <v>18</v>
      </c>
      <c r="AT40" s="14" t="s">
        <v>260</v>
      </c>
      <c r="AU40" s="8">
        <v>2.6</v>
      </c>
      <c r="AV40" s="1">
        <f t="shared" si="3"/>
        <v>2.86</v>
      </c>
      <c r="AW40" s="1">
        <f t="shared" si="14"/>
        <v>20</v>
      </c>
      <c r="AX40" s="1">
        <f t="shared" si="11"/>
        <v>0</v>
      </c>
    </row>
    <row r="41" spans="8:50">
      <c r="H41" s="1">
        <f t="shared" si="12"/>
        <v>19</v>
      </c>
      <c r="I41" s="14" t="s">
        <v>260</v>
      </c>
      <c r="J41" s="127">
        <f>'Organized Input Output'!D36</f>
        <v>1</v>
      </c>
      <c r="K41" s="104">
        <f t="shared" si="13"/>
        <v>1.1000000000000001</v>
      </c>
      <c r="L41" s="104">
        <f t="shared" si="15"/>
        <v>20</v>
      </c>
      <c r="M41" s="104">
        <f t="shared" si="4"/>
        <v>0</v>
      </c>
      <c r="T41" s="1">
        <f t="shared" si="5"/>
        <v>19</v>
      </c>
      <c r="U41" s="14" t="s">
        <v>260</v>
      </c>
      <c r="V41" s="8">
        <v>0</v>
      </c>
      <c r="W41" s="1">
        <f t="shared" si="1"/>
        <v>0</v>
      </c>
      <c r="X41" s="1">
        <f t="shared" si="16"/>
        <v>19.254999999999999</v>
      </c>
      <c r="Y41" s="1">
        <f t="shared" si="6"/>
        <v>0</v>
      </c>
      <c r="AG41" s="1">
        <f t="shared" si="7"/>
        <v>19</v>
      </c>
      <c r="AH41" s="14" t="s">
        <v>260</v>
      </c>
      <c r="AI41" s="8">
        <v>2.6</v>
      </c>
      <c r="AJ41" s="1">
        <f t="shared" si="2"/>
        <v>2.86</v>
      </c>
      <c r="AK41" s="1">
        <f t="shared" si="8"/>
        <v>20</v>
      </c>
      <c r="AL41" s="1">
        <f t="shared" si="9"/>
        <v>0</v>
      </c>
      <c r="AS41" s="1">
        <f t="shared" si="10"/>
        <v>19</v>
      </c>
      <c r="AT41" s="14" t="s">
        <v>260</v>
      </c>
      <c r="AU41" s="8">
        <v>1</v>
      </c>
      <c r="AV41" s="1">
        <f t="shared" si="3"/>
        <v>1.1000000000000001</v>
      </c>
      <c r="AW41" s="1">
        <f t="shared" si="14"/>
        <v>20</v>
      </c>
      <c r="AX41" s="1">
        <f t="shared" si="11"/>
        <v>0</v>
      </c>
    </row>
    <row r="42" spans="8:50">
      <c r="H42" s="1">
        <f t="shared" si="12"/>
        <v>20</v>
      </c>
      <c r="I42" s="14" t="s">
        <v>260</v>
      </c>
      <c r="J42" s="127">
        <f>'Organized Input Output'!D37</f>
        <v>0.6</v>
      </c>
      <c r="K42" s="104">
        <f t="shared" si="13"/>
        <v>0.65999999999999992</v>
      </c>
      <c r="L42" s="104">
        <f t="shared" si="15"/>
        <v>20</v>
      </c>
      <c r="M42" s="104">
        <f t="shared" si="4"/>
        <v>0</v>
      </c>
      <c r="T42" s="1">
        <f t="shared" si="5"/>
        <v>20</v>
      </c>
      <c r="U42" s="14" t="s">
        <v>260</v>
      </c>
      <c r="V42" s="8">
        <v>0</v>
      </c>
      <c r="W42" s="1">
        <f t="shared" si="1"/>
        <v>0</v>
      </c>
      <c r="X42" s="1">
        <f t="shared" si="16"/>
        <v>18.509999999999998</v>
      </c>
      <c r="Y42" s="1">
        <f t="shared" si="6"/>
        <v>0</v>
      </c>
      <c r="AG42" s="1">
        <f t="shared" si="7"/>
        <v>20</v>
      </c>
      <c r="AH42" s="14" t="s">
        <v>260</v>
      </c>
      <c r="AI42" s="8">
        <v>0.4</v>
      </c>
      <c r="AJ42" s="1">
        <f t="shared" si="2"/>
        <v>0.44</v>
      </c>
      <c r="AK42" s="1">
        <f t="shared" si="8"/>
        <v>19.695</v>
      </c>
      <c r="AL42" s="1">
        <f t="shared" si="9"/>
        <v>0</v>
      </c>
      <c r="AS42" s="1">
        <f t="shared" si="10"/>
        <v>20</v>
      </c>
      <c r="AT42" s="14" t="s">
        <v>260</v>
      </c>
      <c r="AU42" s="8">
        <v>0.6</v>
      </c>
      <c r="AV42" s="1">
        <f t="shared" si="3"/>
        <v>0.65999999999999992</v>
      </c>
      <c r="AW42" s="1">
        <f t="shared" si="14"/>
        <v>19.914999999999999</v>
      </c>
      <c r="AX42" s="1">
        <f t="shared" si="11"/>
        <v>0</v>
      </c>
    </row>
    <row r="43" spans="8:50">
      <c r="H43" s="1">
        <f t="shared" si="12"/>
        <v>21</v>
      </c>
      <c r="I43" s="14" t="s">
        <v>260</v>
      </c>
      <c r="J43" s="127">
        <f>'Organized Input Output'!D38</f>
        <v>0.8</v>
      </c>
      <c r="K43" s="104">
        <f t="shared" si="13"/>
        <v>0.88</v>
      </c>
      <c r="L43" s="104">
        <f t="shared" si="15"/>
        <v>20</v>
      </c>
      <c r="M43" s="104">
        <f t="shared" si="4"/>
        <v>0</v>
      </c>
      <c r="T43" s="1">
        <f t="shared" si="5"/>
        <v>21</v>
      </c>
      <c r="U43" s="14" t="s">
        <v>260</v>
      </c>
      <c r="V43" s="8">
        <v>7.2</v>
      </c>
      <c r="W43" s="1">
        <f t="shared" si="1"/>
        <v>7.92</v>
      </c>
      <c r="X43" s="1">
        <f t="shared" si="16"/>
        <v>20</v>
      </c>
      <c r="Y43" s="1">
        <f t="shared" si="6"/>
        <v>0</v>
      </c>
      <c r="AG43" s="1">
        <f t="shared" si="7"/>
        <v>21</v>
      </c>
      <c r="AH43" s="14" t="s">
        <v>260</v>
      </c>
      <c r="AI43" s="8">
        <v>18.399999999999999</v>
      </c>
      <c r="AJ43" s="1">
        <f t="shared" si="2"/>
        <v>20.239999999999998</v>
      </c>
      <c r="AK43" s="1">
        <f t="shared" si="8"/>
        <v>20</v>
      </c>
      <c r="AL43" s="1">
        <f t="shared" si="9"/>
        <v>0</v>
      </c>
      <c r="AS43" s="1">
        <f t="shared" si="10"/>
        <v>21</v>
      </c>
      <c r="AT43" s="14" t="s">
        <v>260</v>
      </c>
      <c r="AU43" s="8">
        <v>0.8</v>
      </c>
      <c r="AV43" s="1">
        <f t="shared" si="3"/>
        <v>0.88</v>
      </c>
      <c r="AW43" s="1">
        <f t="shared" si="14"/>
        <v>20</v>
      </c>
      <c r="AX43" s="1">
        <f t="shared" si="11"/>
        <v>0</v>
      </c>
    </row>
    <row r="44" spans="8:50">
      <c r="H44" s="1">
        <f t="shared" si="12"/>
        <v>22</v>
      </c>
      <c r="I44" s="14" t="s">
        <v>260</v>
      </c>
      <c r="J44" s="127">
        <f>'Organized Input Output'!D39</f>
        <v>0.6</v>
      </c>
      <c r="K44" s="104">
        <f t="shared" si="13"/>
        <v>0.65999999999999992</v>
      </c>
      <c r="L44" s="104">
        <f t="shared" si="15"/>
        <v>20</v>
      </c>
      <c r="M44" s="104">
        <f t="shared" si="4"/>
        <v>0</v>
      </c>
      <c r="T44" s="1">
        <f t="shared" si="5"/>
        <v>22</v>
      </c>
      <c r="U44" s="14" t="s">
        <v>260</v>
      </c>
      <c r="V44" s="8">
        <v>5.2</v>
      </c>
      <c r="W44" s="1">
        <f t="shared" si="1"/>
        <v>5.72</v>
      </c>
      <c r="X44" s="1">
        <f t="shared" si="16"/>
        <v>20</v>
      </c>
      <c r="Y44" s="1">
        <f t="shared" si="6"/>
        <v>0</v>
      </c>
      <c r="AG44" s="1">
        <f t="shared" si="7"/>
        <v>22</v>
      </c>
      <c r="AH44" s="14" t="s">
        <v>260</v>
      </c>
      <c r="AI44" s="8">
        <v>14</v>
      </c>
      <c r="AJ44" s="1">
        <f t="shared" si="2"/>
        <v>15.4</v>
      </c>
      <c r="AK44" s="1">
        <f t="shared" si="8"/>
        <v>20</v>
      </c>
      <c r="AL44" s="1">
        <f t="shared" si="9"/>
        <v>0</v>
      </c>
      <c r="AS44" s="1">
        <f t="shared" si="10"/>
        <v>22</v>
      </c>
      <c r="AT44" s="14" t="s">
        <v>260</v>
      </c>
      <c r="AU44" s="8">
        <v>0.6</v>
      </c>
      <c r="AV44" s="1">
        <f t="shared" si="3"/>
        <v>0.65999999999999992</v>
      </c>
      <c r="AW44" s="1">
        <f t="shared" si="14"/>
        <v>19.914999999999999</v>
      </c>
      <c r="AX44" s="1">
        <f t="shared" si="11"/>
        <v>0</v>
      </c>
    </row>
    <row r="45" spans="8:50">
      <c r="H45" s="1">
        <f t="shared" si="12"/>
        <v>23</v>
      </c>
      <c r="I45" s="14" t="s">
        <v>260</v>
      </c>
      <c r="J45" s="127">
        <f>'Organized Input Output'!D40</f>
        <v>0</v>
      </c>
      <c r="K45" s="104">
        <f t="shared" si="13"/>
        <v>0</v>
      </c>
      <c r="L45" s="104">
        <f t="shared" si="15"/>
        <v>20</v>
      </c>
      <c r="M45" s="104">
        <f t="shared" si="4"/>
        <v>0</v>
      </c>
      <c r="T45" s="1">
        <f t="shared" si="5"/>
        <v>23</v>
      </c>
      <c r="U45" s="14" t="s">
        <v>260</v>
      </c>
      <c r="V45" s="8">
        <v>5.6</v>
      </c>
      <c r="W45" s="1">
        <f t="shared" si="1"/>
        <v>6.16</v>
      </c>
      <c r="X45" s="1">
        <f t="shared" si="16"/>
        <v>20</v>
      </c>
      <c r="Y45" s="1">
        <f t="shared" si="6"/>
        <v>0</v>
      </c>
      <c r="AG45" s="1">
        <f t="shared" si="7"/>
        <v>23</v>
      </c>
      <c r="AH45" s="14" t="s">
        <v>260</v>
      </c>
      <c r="AI45" s="8">
        <v>90.8</v>
      </c>
      <c r="AJ45" s="1">
        <f t="shared" si="2"/>
        <v>99.88</v>
      </c>
      <c r="AK45" s="1">
        <f t="shared" si="8"/>
        <v>20</v>
      </c>
      <c r="AL45" s="1">
        <f t="shared" si="9"/>
        <v>0</v>
      </c>
      <c r="AS45" s="1">
        <f t="shared" si="10"/>
        <v>23</v>
      </c>
      <c r="AT45" s="14" t="s">
        <v>260</v>
      </c>
      <c r="AU45" s="8">
        <v>0</v>
      </c>
      <c r="AV45" s="1">
        <f t="shared" si="3"/>
        <v>0</v>
      </c>
      <c r="AW45" s="1">
        <f t="shared" si="14"/>
        <v>19.169999999999998</v>
      </c>
      <c r="AX45" s="1">
        <f t="shared" si="11"/>
        <v>0</v>
      </c>
    </row>
    <row r="46" spans="8:50">
      <c r="H46" s="1">
        <f t="shared" si="12"/>
        <v>24</v>
      </c>
      <c r="I46" s="14" t="s">
        <v>260</v>
      </c>
      <c r="J46" s="127">
        <f>'Organized Input Output'!D41</f>
        <v>0</v>
      </c>
      <c r="K46" s="104">
        <f t="shared" si="13"/>
        <v>0</v>
      </c>
      <c r="L46" s="104">
        <f t="shared" si="15"/>
        <v>20</v>
      </c>
      <c r="M46" s="104">
        <f t="shared" si="4"/>
        <v>0</v>
      </c>
      <c r="T46" s="1">
        <f t="shared" si="5"/>
        <v>24</v>
      </c>
      <c r="U46" s="14" t="s">
        <v>260</v>
      </c>
      <c r="V46" s="8">
        <v>6.6</v>
      </c>
      <c r="W46" s="1">
        <f t="shared" si="1"/>
        <v>7.26</v>
      </c>
      <c r="X46" s="1">
        <f t="shared" si="16"/>
        <v>20</v>
      </c>
      <c r="Y46" s="1">
        <f t="shared" si="6"/>
        <v>0</v>
      </c>
      <c r="AG46" s="1">
        <f t="shared" si="7"/>
        <v>24</v>
      </c>
      <c r="AH46" s="14" t="s">
        <v>260</v>
      </c>
      <c r="AI46" s="8">
        <v>40</v>
      </c>
      <c r="AJ46" s="1">
        <f t="shared" si="2"/>
        <v>44</v>
      </c>
      <c r="AK46" s="1">
        <f t="shared" si="8"/>
        <v>20</v>
      </c>
      <c r="AL46" s="1">
        <f t="shared" si="9"/>
        <v>0</v>
      </c>
      <c r="AS46" s="1">
        <f t="shared" si="10"/>
        <v>24</v>
      </c>
      <c r="AT46" s="14" t="s">
        <v>260</v>
      </c>
      <c r="AU46" s="8">
        <v>0</v>
      </c>
      <c r="AV46" s="1">
        <f t="shared" si="3"/>
        <v>0</v>
      </c>
      <c r="AW46" s="1">
        <f t="shared" si="14"/>
        <v>18.424999999999997</v>
      </c>
      <c r="AX46" s="1">
        <f t="shared" si="11"/>
        <v>0</v>
      </c>
    </row>
    <row r="47" spans="8:50">
      <c r="H47" s="1">
        <f t="shared" si="12"/>
        <v>25</v>
      </c>
      <c r="I47" s="14" t="s">
        <v>260</v>
      </c>
      <c r="J47" s="127">
        <f>'Organized Input Output'!D42</f>
        <v>0</v>
      </c>
      <c r="K47" s="104">
        <f t="shared" si="13"/>
        <v>0</v>
      </c>
      <c r="L47" s="104">
        <f t="shared" si="15"/>
        <v>20</v>
      </c>
      <c r="M47" s="104">
        <f t="shared" si="4"/>
        <v>0</v>
      </c>
      <c r="T47" s="1">
        <f t="shared" si="5"/>
        <v>25</v>
      </c>
      <c r="U47" s="14" t="s">
        <v>260</v>
      </c>
      <c r="V47" s="8">
        <v>0</v>
      </c>
      <c r="W47" s="1">
        <f t="shared" si="1"/>
        <v>0</v>
      </c>
      <c r="X47" s="1">
        <f t="shared" si="16"/>
        <v>19.254999999999999</v>
      </c>
      <c r="Y47" s="1">
        <f t="shared" si="6"/>
        <v>0</v>
      </c>
      <c r="AG47" s="1">
        <f t="shared" si="7"/>
        <v>25</v>
      </c>
      <c r="AH47" s="14" t="s">
        <v>260</v>
      </c>
      <c r="AI47" s="8">
        <v>1.8</v>
      </c>
      <c r="AJ47" s="1">
        <f t="shared" si="2"/>
        <v>1.98</v>
      </c>
      <c r="AK47" s="1">
        <f t="shared" si="8"/>
        <v>20</v>
      </c>
      <c r="AL47" s="1">
        <f t="shared" si="9"/>
        <v>0</v>
      </c>
      <c r="AS47" s="1">
        <f t="shared" si="10"/>
        <v>25</v>
      </c>
      <c r="AT47" s="14" t="s">
        <v>260</v>
      </c>
      <c r="AU47" s="8">
        <v>0</v>
      </c>
      <c r="AV47" s="1">
        <f t="shared" si="3"/>
        <v>0</v>
      </c>
      <c r="AW47" s="1">
        <f t="shared" si="14"/>
        <v>17.679999999999996</v>
      </c>
      <c r="AX47" s="1">
        <f t="shared" si="11"/>
        <v>0</v>
      </c>
    </row>
    <row r="48" spans="8:50">
      <c r="H48" s="1">
        <f t="shared" si="12"/>
        <v>26</v>
      </c>
      <c r="I48" s="14" t="s">
        <v>260</v>
      </c>
      <c r="J48" s="127">
        <f>'Organized Input Output'!D43</f>
        <v>0</v>
      </c>
      <c r="K48" s="104">
        <f t="shared" si="13"/>
        <v>0</v>
      </c>
      <c r="L48" s="104">
        <f t="shared" si="15"/>
        <v>20</v>
      </c>
      <c r="M48" s="104">
        <f t="shared" si="4"/>
        <v>0</v>
      </c>
      <c r="T48" s="1">
        <f t="shared" si="5"/>
        <v>26</v>
      </c>
      <c r="U48" s="14" t="s">
        <v>260</v>
      </c>
      <c r="V48" s="8">
        <v>0</v>
      </c>
      <c r="W48" s="1">
        <f t="shared" si="1"/>
        <v>0</v>
      </c>
      <c r="X48" s="1">
        <f t="shared" si="16"/>
        <v>18.509999999999998</v>
      </c>
      <c r="Y48" s="1">
        <f t="shared" si="6"/>
        <v>0</v>
      </c>
      <c r="AG48" s="1">
        <f t="shared" si="7"/>
        <v>26</v>
      </c>
      <c r="AH48" s="14" t="s">
        <v>260</v>
      </c>
      <c r="AI48" s="8">
        <v>2.8</v>
      </c>
      <c r="AJ48" s="1">
        <f t="shared" si="2"/>
        <v>3.08</v>
      </c>
      <c r="AK48" s="1">
        <f t="shared" si="8"/>
        <v>20</v>
      </c>
      <c r="AL48" s="1">
        <f t="shared" si="9"/>
        <v>0</v>
      </c>
      <c r="AS48" s="1">
        <f t="shared" si="10"/>
        <v>26</v>
      </c>
      <c r="AT48" s="14" t="s">
        <v>260</v>
      </c>
      <c r="AU48" s="8">
        <v>0</v>
      </c>
      <c r="AV48" s="1">
        <f t="shared" si="3"/>
        <v>0</v>
      </c>
      <c r="AW48" s="1">
        <f t="shared" si="14"/>
        <v>16.934999999999995</v>
      </c>
      <c r="AX48" s="1">
        <f t="shared" si="11"/>
        <v>0</v>
      </c>
    </row>
    <row r="49" spans="8:50">
      <c r="H49" s="1">
        <f t="shared" si="12"/>
        <v>27</v>
      </c>
      <c r="I49" s="14" t="s">
        <v>260</v>
      </c>
      <c r="J49" s="127">
        <f>'Organized Input Output'!D44</f>
        <v>17.600000000000001</v>
      </c>
      <c r="K49" s="104">
        <f t="shared" si="13"/>
        <v>19.36</v>
      </c>
      <c r="L49" s="104">
        <f t="shared" si="15"/>
        <v>20</v>
      </c>
      <c r="M49" s="104">
        <f t="shared" si="4"/>
        <v>0</v>
      </c>
      <c r="T49" s="1">
        <f t="shared" si="5"/>
        <v>27</v>
      </c>
      <c r="U49" s="14" t="s">
        <v>260</v>
      </c>
      <c r="V49" s="8">
        <v>0.6</v>
      </c>
      <c r="W49" s="1">
        <f t="shared" si="1"/>
        <v>0.65999999999999992</v>
      </c>
      <c r="X49" s="1">
        <f t="shared" si="16"/>
        <v>18.424999999999997</v>
      </c>
      <c r="Y49" s="1">
        <f t="shared" si="6"/>
        <v>0</v>
      </c>
      <c r="AG49" s="1">
        <f t="shared" si="7"/>
        <v>27</v>
      </c>
      <c r="AH49" s="14" t="s">
        <v>260</v>
      </c>
      <c r="AI49" s="8">
        <v>2.8</v>
      </c>
      <c r="AJ49" s="1">
        <f t="shared" si="2"/>
        <v>3.08</v>
      </c>
      <c r="AK49" s="1">
        <f t="shared" si="8"/>
        <v>20</v>
      </c>
      <c r="AL49" s="1">
        <f t="shared" si="9"/>
        <v>0</v>
      </c>
      <c r="AS49" s="1">
        <f t="shared" si="10"/>
        <v>27</v>
      </c>
      <c r="AT49" s="14" t="s">
        <v>260</v>
      </c>
      <c r="AU49" s="8">
        <v>17.600000000000001</v>
      </c>
      <c r="AV49" s="1">
        <f t="shared" si="3"/>
        <v>19.36</v>
      </c>
      <c r="AW49" s="1">
        <f t="shared" si="14"/>
        <v>20</v>
      </c>
      <c r="AX49" s="1">
        <f t="shared" si="11"/>
        <v>0</v>
      </c>
    </row>
    <row r="50" spans="8:50">
      <c r="H50" s="1">
        <f t="shared" si="12"/>
        <v>28</v>
      </c>
      <c r="I50" s="14" t="s">
        <v>260</v>
      </c>
      <c r="J50" s="127">
        <f>'Organized Input Output'!D45</f>
        <v>0</v>
      </c>
      <c r="K50" s="104">
        <f t="shared" si="13"/>
        <v>0</v>
      </c>
      <c r="L50" s="104">
        <f t="shared" si="15"/>
        <v>20</v>
      </c>
      <c r="M50" s="104">
        <f t="shared" si="4"/>
        <v>0</v>
      </c>
      <c r="T50" s="1">
        <f t="shared" si="5"/>
        <v>28</v>
      </c>
      <c r="U50" s="14" t="s">
        <v>260</v>
      </c>
      <c r="V50" s="8">
        <v>0</v>
      </c>
      <c r="W50" s="1">
        <f t="shared" si="1"/>
        <v>0</v>
      </c>
      <c r="X50" s="1">
        <f t="shared" si="16"/>
        <v>17.679999999999996</v>
      </c>
      <c r="Y50" s="1">
        <f t="shared" si="6"/>
        <v>0</v>
      </c>
      <c r="AG50" s="1">
        <f t="shared" si="7"/>
        <v>28</v>
      </c>
      <c r="AH50" s="14" t="s">
        <v>260</v>
      </c>
      <c r="AI50" s="8">
        <v>0</v>
      </c>
      <c r="AJ50" s="1">
        <f t="shared" si="2"/>
        <v>0</v>
      </c>
      <c r="AK50" s="1">
        <f t="shared" si="8"/>
        <v>19.254999999999999</v>
      </c>
      <c r="AL50" s="1">
        <f t="shared" si="9"/>
        <v>0</v>
      </c>
      <c r="AS50" s="1">
        <f t="shared" si="10"/>
        <v>28</v>
      </c>
      <c r="AT50" s="14" t="s">
        <v>260</v>
      </c>
      <c r="AU50" s="8">
        <v>0</v>
      </c>
      <c r="AV50" s="1">
        <f t="shared" si="3"/>
        <v>0</v>
      </c>
      <c r="AW50" s="1">
        <f t="shared" si="14"/>
        <v>19.254999999999999</v>
      </c>
      <c r="AX50" s="1">
        <f t="shared" si="11"/>
        <v>0</v>
      </c>
    </row>
    <row r="51" spans="8:50">
      <c r="H51" s="1">
        <f t="shared" si="12"/>
        <v>29</v>
      </c>
      <c r="I51" s="14" t="s">
        <v>260</v>
      </c>
      <c r="J51" s="127">
        <f>'Organized Input Output'!D46</f>
        <v>0</v>
      </c>
      <c r="K51" s="104">
        <f t="shared" si="13"/>
        <v>0</v>
      </c>
      <c r="L51" s="104">
        <f t="shared" si="15"/>
        <v>20</v>
      </c>
      <c r="M51" s="104">
        <f t="shared" si="4"/>
        <v>0</v>
      </c>
      <c r="T51" s="1">
        <f t="shared" si="5"/>
        <v>29</v>
      </c>
      <c r="U51" s="14" t="s">
        <v>260</v>
      </c>
      <c r="V51" s="8">
        <v>0</v>
      </c>
      <c r="W51" s="1">
        <f t="shared" si="1"/>
        <v>0</v>
      </c>
      <c r="X51" s="1">
        <f t="shared" si="16"/>
        <v>16.934999999999995</v>
      </c>
      <c r="Y51" s="1">
        <f t="shared" si="6"/>
        <v>0</v>
      </c>
      <c r="AG51" s="1">
        <f t="shared" si="7"/>
        <v>29</v>
      </c>
      <c r="AH51" s="14" t="s">
        <v>260</v>
      </c>
      <c r="AI51" s="8">
        <v>0</v>
      </c>
      <c r="AJ51" s="1">
        <f t="shared" si="2"/>
        <v>0</v>
      </c>
      <c r="AK51" s="1">
        <f t="shared" si="8"/>
        <v>18.509999999999998</v>
      </c>
      <c r="AL51" s="1">
        <f t="shared" si="9"/>
        <v>0</v>
      </c>
      <c r="AS51" s="1">
        <f t="shared" si="10"/>
        <v>29</v>
      </c>
      <c r="AT51" s="14" t="s">
        <v>260</v>
      </c>
      <c r="AU51" s="8">
        <v>0</v>
      </c>
      <c r="AV51" s="1">
        <f t="shared" si="3"/>
        <v>0</v>
      </c>
      <c r="AW51" s="1">
        <f t="shared" si="14"/>
        <v>18.509999999999998</v>
      </c>
      <c r="AX51" s="1">
        <f t="shared" si="11"/>
        <v>0</v>
      </c>
    </row>
    <row r="52" spans="8:50">
      <c r="H52" s="1">
        <f t="shared" si="12"/>
        <v>30</v>
      </c>
      <c r="I52" s="14" t="s">
        <v>260</v>
      </c>
      <c r="J52" s="127">
        <f>'Organized Input Output'!D47</f>
        <v>0</v>
      </c>
      <c r="K52" s="104">
        <f t="shared" si="13"/>
        <v>0</v>
      </c>
      <c r="L52" s="104">
        <f t="shared" si="15"/>
        <v>20</v>
      </c>
      <c r="M52" s="104">
        <f t="shared" si="4"/>
        <v>0</v>
      </c>
      <c r="T52" s="1">
        <f t="shared" si="5"/>
        <v>30</v>
      </c>
      <c r="U52" s="14" t="s">
        <v>260</v>
      </c>
      <c r="V52" s="8">
        <v>0</v>
      </c>
      <c r="W52" s="1">
        <f t="shared" si="1"/>
        <v>0</v>
      </c>
      <c r="X52" s="1">
        <f t="shared" si="16"/>
        <v>16.189999999999994</v>
      </c>
      <c r="Y52" s="1">
        <f t="shared" si="6"/>
        <v>0</v>
      </c>
      <c r="AG52" s="1">
        <f t="shared" si="7"/>
        <v>30</v>
      </c>
      <c r="AH52" s="14" t="s">
        <v>260</v>
      </c>
      <c r="AI52" s="8">
        <v>0.6</v>
      </c>
      <c r="AJ52" s="1">
        <f t="shared" si="2"/>
        <v>0.65999999999999992</v>
      </c>
      <c r="AK52" s="1">
        <f t="shared" si="8"/>
        <v>18.424999999999997</v>
      </c>
      <c r="AL52" s="1">
        <f t="shared" si="9"/>
        <v>0</v>
      </c>
      <c r="AS52" s="1">
        <f t="shared" si="10"/>
        <v>30</v>
      </c>
      <c r="AT52" s="14" t="s">
        <v>260</v>
      </c>
      <c r="AU52" s="8">
        <v>0</v>
      </c>
      <c r="AV52" s="1">
        <f t="shared" si="3"/>
        <v>0</v>
      </c>
      <c r="AW52" s="1">
        <f t="shared" si="14"/>
        <v>17.764999999999997</v>
      </c>
      <c r="AX52" s="1">
        <f t="shared" si="11"/>
        <v>0</v>
      </c>
    </row>
    <row r="53" spans="8:50">
      <c r="H53" s="1">
        <f t="shared" si="12"/>
        <v>31</v>
      </c>
      <c r="I53" s="14" t="s">
        <v>260</v>
      </c>
      <c r="J53" s="127">
        <f>'Organized Input Output'!D48</f>
        <v>2.6</v>
      </c>
      <c r="K53" s="104">
        <f t="shared" si="13"/>
        <v>2.86</v>
      </c>
      <c r="L53" s="104">
        <f t="shared" si="15"/>
        <v>20</v>
      </c>
      <c r="M53" s="104">
        <f t="shared" si="4"/>
        <v>0</v>
      </c>
      <c r="T53" s="1">
        <f t="shared" si="5"/>
        <v>31</v>
      </c>
      <c r="U53" s="14" t="s">
        <v>260</v>
      </c>
      <c r="V53" s="8">
        <v>1.2</v>
      </c>
      <c r="W53" s="1">
        <f t="shared" si="1"/>
        <v>1.3199999999999998</v>
      </c>
      <c r="X53" s="1">
        <f t="shared" si="16"/>
        <v>16.764999999999993</v>
      </c>
      <c r="Y53" s="1">
        <f t="shared" si="6"/>
        <v>0</v>
      </c>
      <c r="AG53" s="1">
        <f t="shared" si="7"/>
        <v>31</v>
      </c>
      <c r="AH53" s="14" t="s">
        <v>260</v>
      </c>
      <c r="AI53" s="8">
        <v>5.8</v>
      </c>
      <c r="AJ53" s="1">
        <f t="shared" si="2"/>
        <v>6.38</v>
      </c>
      <c r="AK53" s="1">
        <f t="shared" si="8"/>
        <v>20</v>
      </c>
      <c r="AL53" s="1">
        <f t="shared" si="9"/>
        <v>0</v>
      </c>
      <c r="AS53" s="1">
        <f t="shared" si="10"/>
        <v>31</v>
      </c>
      <c r="AT53" s="14" t="s">
        <v>260</v>
      </c>
      <c r="AU53" s="8">
        <v>2.6</v>
      </c>
      <c r="AV53" s="1">
        <f t="shared" si="3"/>
        <v>2.86</v>
      </c>
      <c r="AW53" s="1">
        <f t="shared" si="14"/>
        <v>19.879999999999995</v>
      </c>
      <c r="AX53" s="1">
        <f t="shared" si="11"/>
        <v>0</v>
      </c>
    </row>
    <row r="54" spans="8:50">
      <c r="H54" s="1">
        <f t="shared" si="12"/>
        <v>32</v>
      </c>
      <c r="I54" s="14" t="s">
        <v>262</v>
      </c>
      <c r="J54" s="127">
        <f>'Organized Input Output'!D49</f>
        <v>2.6</v>
      </c>
      <c r="K54" s="104">
        <f t="shared" si="13"/>
        <v>2.86</v>
      </c>
      <c r="L54" s="104">
        <f t="shared" si="15"/>
        <v>20</v>
      </c>
      <c r="M54" s="104">
        <f t="shared" ref="M54:M117" si="17">IF(I54="Jan", 0, $D$11)</f>
        <v>0.745</v>
      </c>
      <c r="T54" s="1">
        <f t="shared" si="5"/>
        <v>32</v>
      </c>
      <c r="U54" s="14" t="s">
        <v>262</v>
      </c>
      <c r="V54" s="8">
        <v>1.8</v>
      </c>
      <c r="W54" s="1">
        <f t="shared" si="1"/>
        <v>1.98</v>
      </c>
      <c r="X54" s="1">
        <f t="shared" si="16"/>
        <v>17.999999999999993</v>
      </c>
      <c r="Y54" s="1">
        <f t="shared" si="6"/>
        <v>0</v>
      </c>
      <c r="AG54" s="1">
        <f t="shared" si="7"/>
        <v>32</v>
      </c>
      <c r="AH54" s="14" t="s">
        <v>262</v>
      </c>
      <c r="AI54" s="8">
        <v>8</v>
      </c>
      <c r="AJ54" s="1">
        <f t="shared" si="2"/>
        <v>8.8000000000000007</v>
      </c>
      <c r="AK54" s="1">
        <f t="shared" si="8"/>
        <v>20</v>
      </c>
      <c r="AL54" s="1">
        <f t="shared" si="9"/>
        <v>0</v>
      </c>
      <c r="AS54" s="1">
        <f t="shared" si="10"/>
        <v>32</v>
      </c>
      <c r="AT54" s="14" t="s">
        <v>262</v>
      </c>
      <c r="AU54" s="8">
        <v>2.6</v>
      </c>
      <c r="AV54" s="1">
        <f t="shared" si="3"/>
        <v>2.86</v>
      </c>
      <c r="AW54" s="1">
        <f t="shared" si="14"/>
        <v>20</v>
      </c>
      <c r="AX54" s="1">
        <f t="shared" si="11"/>
        <v>0</v>
      </c>
    </row>
    <row r="55" spans="8:50">
      <c r="H55" s="1">
        <f t="shared" si="12"/>
        <v>33</v>
      </c>
      <c r="I55" s="14" t="s">
        <v>262</v>
      </c>
      <c r="J55" s="127">
        <f>'Organized Input Output'!D50</f>
        <v>0</v>
      </c>
      <c r="K55" s="104">
        <f t="shared" si="13"/>
        <v>0</v>
      </c>
      <c r="L55" s="104">
        <f t="shared" si="15"/>
        <v>19.254999999999999</v>
      </c>
      <c r="M55" s="104">
        <f t="shared" si="17"/>
        <v>0.745</v>
      </c>
      <c r="T55" s="1">
        <f t="shared" si="5"/>
        <v>33</v>
      </c>
      <c r="U55" s="14" t="s">
        <v>262</v>
      </c>
      <c r="V55" s="8">
        <v>4</v>
      </c>
      <c r="W55" s="1">
        <f t="shared" si="1"/>
        <v>4.4000000000000004</v>
      </c>
      <c r="X55" s="1">
        <f t="shared" si="16"/>
        <v>20</v>
      </c>
      <c r="Y55" s="1">
        <f t="shared" si="6"/>
        <v>0</v>
      </c>
      <c r="AG55" s="1">
        <f t="shared" si="7"/>
        <v>33</v>
      </c>
      <c r="AH55" s="14" t="s">
        <v>262</v>
      </c>
      <c r="AI55" s="8">
        <v>27</v>
      </c>
      <c r="AJ55" s="1">
        <f t="shared" si="2"/>
        <v>29.7</v>
      </c>
      <c r="AK55" s="1">
        <f t="shared" si="8"/>
        <v>20</v>
      </c>
      <c r="AL55" s="1">
        <f t="shared" si="9"/>
        <v>0</v>
      </c>
      <c r="AS55" s="1">
        <f t="shared" si="10"/>
        <v>33</v>
      </c>
      <c r="AT55" s="14" t="s">
        <v>262</v>
      </c>
      <c r="AU55" s="8">
        <v>0</v>
      </c>
      <c r="AV55" s="1">
        <f t="shared" si="3"/>
        <v>0</v>
      </c>
      <c r="AW55" s="1">
        <f t="shared" si="14"/>
        <v>19.254999999999999</v>
      </c>
      <c r="AX55" s="1">
        <f t="shared" si="11"/>
        <v>19.254999999999999</v>
      </c>
    </row>
    <row r="56" spans="8:50">
      <c r="H56" s="1">
        <f t="shared" si="12"/>
        <v>34</v>
      </c>
      <c r="I56" s="14" t="s">
        <v>262</v>
      </c>
      <c r="J56" s="127">
        <f>'Organized Input Output'!D51</f>
        <v>0</v>
      </c>
      <c r="K56" s="104">
        <f t="shared" si="13"/>
        <v>0</v>
      </c>
      <c r="L56" s="104">
        <f t="shared" si="15"/>
        <v>18.509999999999998</v>
      </c>
      <c r="M56" s="104">
        <f t="shared" si="17"/>
        <v>0.745</v>
      </c>
      <c r="T56" s="1">
        <f t="shared" si="5"/>
        <v>34</v>
      </c>
      <c r="U56" s="14" t="s">
        <v>262</v>
      </c>
      <c r="V56" s="8">
        <v>1.4</v>
      </c>
      <c r="W56" s="1">
        <f t="shared" si="1"/>
        <v>1.54</v>
      </c>
      <c r="X56" s="1">
        <f t="shared" si="16"/>
        <v>20</v>
      </c>
      <c r="Y56" s="1">
        <f t="shared" si="6"/>
        <v>0</v>
      </c>
      <c r="AG56" s="1">
        <f t="shared" si="7"/>
        <v>34</v>
      </c>
      <c r="AH56" s="14" t="s">
        <v>262</v>
      </c>
      <c r="AI56" s="8">
        <v>0.6</v>
      </c>
      <c r="AJ56" s="1">
        <f t="shared" si="2"/>
        <v>0.65999999999999992</v>
      </c>
      <c r="AK56" s="1">
        <f t="shared" si="8"/>
        <v>19.914999999999999</v>
      </c>
      <c r="AL56" s="1">
        <f t="shared" si="9"/>
        <v>4.0750000000000011</v>
      </c>
      <c r="AS56" s="1">
        <f t="shared" si="10"/>
        <v>34</v>
      </c>
      <c r="AT56" s="14" t="s">
        <v>262</v>
      </c>
      <c r="AU56" s="8">
        <v>0</v>
      </c>
      <c r="AV56" s="1">
        <f t="shared" si="3"/>
        <v>0</v>
      </c>
      <c r="AW56" s="1">
        <f t="shared" si="14"/>
        <v>18.509999999999998</v>
      </c>
      <c r="AX56" s="1">
        <f t="shared" si="11"/>
        <v>18.509999999999998</v>
      </c>
    </row>
    <row r="57" spans="8:50">
      <c r="H57" s="1">
        <f t="shared" si="12"/>
        <v>35</v>
      </c>
      <c r="I57" s="14" t="s">
        <v>262</v>
      </c>
      <c r="J57" s="127">
        <f>'Organized Input Output'!D52</f>
        <v>0</v>
      </c>
      <c r="K57" s="104">
        <f t="shared" si="13"/>
        <v>0</v>
      </c>
      <c r="L57" s="104">
        <f t="shared" si="15"/>
        <v>17.764999999999997</v>
      </c>
      <c r="M57" s="104">
        <f t="shared" si="17"/>
        <v>0.745</v>
      </c>
      <c r="T57" s="1">
        <f t="shared" si="5"/>
        <v>35</v>
      </c>
      <c r="U57" s="14" t="s">
        <v>262</v>
      </c>
      <c r="V57" s="8">
        <v>17</v>
      </c>
      <c r="W57" s="1">
        <f t="shared" si="1"/>
        <v>18.700000000000003</v>
      </c>
      <c r="X57" s="1">
        <f t="shared" si="16"/>
        <v>20</v>
      </c>
      <c r="Y57" s="1">
        <f t="shared" si="6"/>
        <v>0</v>
      </c>
      <c r="AG57" s="1">
        <f t="shared" si="7"/>
        <v>35</v>
      </c>
      <c r="AH57" s="14" t="s">
        <v>262</v>
      </c>
      <c r="AI57" s="8">
        <v>36</v>
      </c>
      <c r="AJ57" s="1">
        <f t="shared" si="2"/>
        <v>39.599999999999994</v>
      </c>
      <c r="AK57" s="1">
        <f t="shared" si="8"/>
        <v>20</v>
      </c>
      <c r="AL57" s="1">
        <f t="shared" si="9"/>
        <v>0</v>
      </c>
      <c r="AS57" s="1">
        <f t="shared" si="10"/>
        <v>35</v>
      </c>
      <c r="AT57" s="14" t="s">
        <v>262</v>
      </c>
      <c r="AU57" s="8">
        <v>0</v>
      </c>
      <c r="AV57" s="1">
        <f t="shared" si="3"/>
        <v>0</v>
      </c>
      <c r="AW57" s="1">
        <f t="shared" si="14"/>
        <v>17.764999999999997</v>
      </c>
      <c r="AX57" s="1">
        <f t="shared" si="11"/>
        <v>17.764999999999997</v>
      </c>
    </row>
    <row r="58" spans="8:50">
      <c r="H58" s="1">
        <f t="shared" si="12"/>
        <v>36</v>
      </c>
      <c r="I58" s="14" t="s">
        <v>262</v>
      </c>
      <c r="J58" s="127">
        <f>'Organized Input Output'!D53</f>
        <v>0</v>
      </c>
      <c r="K58" s="104">
        <f t="shared" si="13"/>
        <v>0</v>
      </c>
      <c r="L58" s="104">
        <f t="shared" si="15"/>
        <v>17.019999999999996</v>
      </c>
      <c r="M58" s="104">
        <f t="shared" si="17"/>
        <v>0.745</v>
      </c>
      <c r="T58" s="1">
        <f t="shared" si="5"/>
        <v>36</v>
      </c>
      <c r="U58" s="14" t="s">
        <v>262</v>
      </c>
      <c r="V58" s="8">
        <v>39.6</v>
      </c>
      <c r="W58" s="1">
        <f t="shared" si="1"/>
        <v>43.56</v>
      </c>
      <c r="X58" s="1">
        <f t="shared" si="16"/>
        <v>20</v>
      </c>
      <c r="Y58" s="1">
        <f t="shared" si="6"/>
        <v>0</v>
      </c>
      <c r="AG58" s="1">
        <f t="shared" si="7"/>
        <v>36</v>
      </c>
      <c r="AH58" s="14" t="s">
        <v>262</v>
      </c>
      <c r="AI58" s="8">
        <v>27.2</v>
      </c>
      <c r="AJ58" s="1">
        <f t="shared" si="2"/>
        <v>29.919999999999998</v>
      </c>
      <c r="AK58" s="1">
        <f t="shared" si="8"/>
        <v>20</v>
      </c>
      <c r="AL58" s="1">
        <f t="shared" si="9"/>
        <v>0</v>
      </c>
      <c r="AS58" s="1">
        <f t="shared" si="10"/>
        <v>36</v>
      </c>
      <c r="AT58" s="14" t="s">
        <v>262</v>
      </c>
      <c r="AU58" s="8">
        <v>0</v>
      </c>
      <c r="AV58" s="1">
        <f t="shared" si="3"/>
        <v>0</v>
      </c>
      <c r="AW58" s="1">
        <f t="shared" si="14"/>
        <v>17.019999999999996</v>
      </c>
      <c r="AX58" s="1">
        <f t="shared" si="11"/>
        <v>17.019999999999996</v>
      </c>
    </row>
    <row r="59" spans="8:50">
      <c r="H59" s="1">
        <f t="shared" si="12"/>
        <v>37</v>
      </c>
      <c r="I59" s="14" t="s">
        <v>262</v>
      </c>
      <c r="J59" s="127">
        <f>'Organized Input Output'!D54</f>
        <v>0</v>
      </c>
      <c r="K59" s="104">
        <f t="shared" si="13"/>
        <v>0</v>
      </c>
      <c r="L59" s="104">
        <f t="shared" si="15"/>
        <v>16.274999999999995</v>
      </c>
      <c r="M59" s="104">
        <f t="shared" si="17"/>
        <v>0.745</v>
      </c>
      <c r="T59" s="1">
        <f t="shared" si="5"/>
        <v>37</v>
      </c>
      <c r="U59" s="14" t="s">
        <v>262</v>
      </c>
      <c r="V59" s="8">
        <v>9.8000000000000007</v>
      </c>
      <c r="W59" s="1">
        <f t="shared" si="1"/>
        <v>10.780000000000001</v>
      </c>
      <c r="X59" s="1">
        <f t="shared" si="16"/>
        <v>20</v>
      </c>
      <c r="Y59" s="1">
        <f t="shared" si="6"/>
        <v>0</v>
      </c>
      <c r="AG59" s="1">
        <f t="shared" si="7"/>
        <v>37</v>
      </c>
      <c r="AH59" s="14" t="s">
        <v>262</v>
      </c>
      <c r="AI59" s="8">
        <v>28.2</v>
      </c>
      <c r="AJ59" s="1">
        <f t="shared" si="2"/>
        <v>31.02</v>
      </c>
      <c r="AK59" s="1">
        <f t="shared" si="8"/>
        <v>20</v>
      </c>
      <c r="AL59" s="1">
        <f t="shared" si="9"/>
        <v>0</v>
      </c>
      <c r="AS59" s="1">
        <f t="shared" si="10"/>
        <v>37</v>
      </c>
      <c r="AT59" s="14" t="s">
        <v>262</v>
      </c>
      <c r="AU59" s="8">
        <v>0</v>
      </c>
      <c r="AV59" s="1">
        <f t="shared" si="3"/>
        <v>0</v>
      </c>
      <c r="AW59" s="1">
        <f t="shared" si="14"/>
        <v>16.274999999999995</v>
      </c>
      <c r="AX59" s="1">
        <f t="shared" si="11"/>
        <v>16.274999999999995</v>
      </c>
    </row>
    <row r="60" spans="8:50">
      <c r="H60" s="1">
        <f t="shared" si="12"/>
        <v>38</v>
      </c>
      <c r="I60" s="14" t="s">
        <v>262</v>
      </c>
      <c r="J60" s="127">
        <f>'Organized Input Output'!D55</f>
        <v>0</v>
      </c>
      <c r="K60" s="104">
        <f t="shared" si="13"/>
        <v>0</v>
      </c>
      <c r="L60" s="104">
        <f t="shared" si="15"/>
        <v>15.529999999999996</v>
      </c>
      <c r="M60" s="104">
        <f t="shared" si="17"/>
        <v>0.745</v>
      </c>
      <c r="T60" s="1">
        <f t="shared" si="5"/>
        <v>38</v>
      </c>
      <c r="U60" s="14" t="s">
        <v>262</v>
      </c>
      <c r="V60" s="8">
        <v>11.4</v>
      </c>
      <c r="W60" s="1">
        <f t="shared" si="1"/>
        <v>12.540000000000001</v>
      </c>
      <c r="X60" s="1">
        <f t="shared" si="16"/>
        <v>20</v>
      </c>
      <c r="Y60" s="1">
        <f t="shared" si="6"/>
        <v>0</v>
      </c>
      <c r="AG60" s="1">
        <f t="shared" si="7"/>
        <v>38</v>
      </c>
      <c r="AH60" s="14" t="s">
        <v>262</v>
      </c>
      <c r="AI60" s="8">
        <v>39.200000000000003</v>
      </c>
      <c r="AJ60" s="1">
        <f t="shared" si="2"/>
        <v>43.120000000000005</v>
      </c>
      <c r="AK60" s="1">
        <f t="shared" si="8"/>
        <v>20</v>
      </c>
      <c r="AL60" s="1">
        <f t="shared" si="9"/>
        <v>0</v>
      </c>
      <c r="AS60" s="1">
        <f t="shared" si="10"/>
        <v>38</v>
      </c>
      <c r="AT60" s="14" t="s">
        <v>262</v>
      </c>
      <c r="AU60" s="8">
        <v>0</v>
      </c>
      <c r="AV60" s="1">
        <f t="shared" si="3"/>
        <v>0</v>
      </c>
      <c r="AW60" s="1">
        <f t="shared" si="14"/>
        <v>15.529999999999996</v>
      </c>
      <c r="AX60" s="1">
        <f t="shared" si="11"/>
        <v>15.529999999999996</v>
      </c>
    </row>
    <row r="61" spans="8:50">
      <c r="H61" s="1">
        <f t="shared" si="12"/>
        <v>39</v>
      </c>
      <c r="I61" s="14" t="s">
        <v>262</v>
      </c>
      <c r="J61" s="127">
        <f>'Organized Input Output'!D56</f>
        <v>0</v>
      </c>
      <c r="K61" s="104">
        <f t="shared" si="13"/>
        <v>0</v>
      </c>
      <c r="L61" s="104">
        <f t="shared" si="15"/>
        <v>14.784999999999997</v>
      </c>
      <c r="M61" s="104">
        <f t="shared" si="17"/>
        <v>0.745</v>
      </c>
      <c r="T61" s="1">
        <f t="shared" si="5"/>
        <v>39</v>
      </c>
      <c r="U61" s="14" t="s">
        <v>262</v>
      </c>
      <c r="V61" s="8">
        <v>13.2</v>
      </c>
      <c r="W61" s="1">
        <f t="shared" si="1"/>
        <v>14.52</v>
      </c>
      <c r="X61" s="1">
        <f t="shared" si="16"/>
        <v>20</v>
      </c>
      <c r="Y61" s="1">
        <f t="shared" si="6"/>
        <v>0</v>
      </c>
      <c r="AG61" s="1">
        <f t="shared" si="7"/>
        <v>39</v>
      </c>
      <c r="AH61" s="14" t="s">
        <v>262</v>
      </c>
      <c r="AI61" s="8">
        <v>6.6</v>
      </c>
      <c r="AJ61" s="1">
        <f t="shared" si="2"/>
        <v>7.26</v>
      </c>
      <c r="AK61" s="1">
        <f t="shared" si="8"/>
        <v>20</v>
      </c>
      <c r="AL61" s="1">
        <f t="shared" si="9"/>
        <v>0</v>
      </c>
      <c r="AS61" s="1">
        <f t="shared" si="10"/>
        <v>39</v>
      </c>
      <c r="AT61" s="14" t="s">
        <v>262</v>
      </c>
      <c r="AU61" s="8">
        <v>0</v>
      </c>
      <c r="AV61" s="1">
        <f t="shared" si="3"/>
        <v>0</v>
      </c>
      <c r="AW61" s="1">
        <f t="shared" si="14"/>
        <v>14.784999999999997</v>
      </c>
      <c r="AX61" s="1">
        <f t="shared" si="11"/>
        <v>14.784999999999997</v>
      </c>
    </row>
    <row r="62" spans="8:50">
      <c r="H62" s="1">
        <f t="shared" si="12"/>
        <v>40</v>
      </c>
      <c r="I62" s="14" t="s">
        <v>262</v>
      </c>
      <c r="J62" s="127">
        <f>'Organized Input Output'!D57</f>
        <v>12.2</v>
      </c>
      <c r="K62" s="104">
        <f t="shared" si="13"/>
        <v>13.419999999999998</v>
      </c>
      <c r="L62" s="104">
        <f t="shared" si="15"/>
        <v>20</v>
      </c>
      <c r="M62" s="104">
        <f t="shared" si="17"/>
        <v>0.745</v>
      </c>
      <c r="T62" s="1">
        <f t="shared" si="5"/>
        <v>40</v>
      </c>
      <c r="U62" s="14" t="s">
        <v>262</v>
      </c>
      <c r="V62" s="8">
        <v>11.8</v>
      </c>
      <c r="W62" s="1">
        <f t="shared" si="1"/>
        <v>12.980000000000002</v>
      </c>
      <c r="X62" s="1">
        <f t="shared" si="16"/>
        <v>20</v>
      </c>
      <c r="Y62" s="1">
        <f t="shared" si="6"/>
        <v>0</v>
      </c>
      <c r="AG62" s="1">
        <f t="shared" si="7"/>
        <v>40</v>
      </c>
      <c r="AH62" s="14" t="s">
        <v>262</v>
      </c>
      <c r="AI62" s="8">
        <v>3.2</v>
      </c>
      <c r="AJ62" s="1">
        <f t="shared" si="2"/>
        <v>3.52</v>
      </c>
      <c r="AK62" s="1">
        <f t="shared" si="8"/>
        <v>20</v>
      </c>
      <c r="AL62" s="1">
        <f t="shared" si="9"/>
        <v>0</v>
      </c>
      <c r="AS62" s="1">
        <f t="shared" si="10"/>
        <v>40</v>
      </c>
      <c r="AT62" s="14" t="s">
        <v>262</v>
      </c>
      <c r="AU62" s="8">
        <v>12.2</v>
      </c>
      <c r="AV62" s="1">
        <f t="shared" si="3"/>
        <v>13.419999999999998</v>
      </c>
      <c r="AW62" s="1">
        <f t="shared" si="14"/>
        <v>20</v>
      </c>
      <c r="AX62" s="1">
        <f t="shared" si="11"/>
        <v>0</v>
      </c>
    </row>
    <row r="63" spans="8:50">
      <c r="H63" s="1">
        <f t="shared" si="12"/>
        <v>41</v>
      </c>
      <c r="I63" s="14" t="s">
        <v>262</v>
      </c>
      <c r="J63" s="127">
        <f>'Organized Input Output'!D58</f>
        <v>13.4</v>
      </c>
      <c r="K63" s="104">
        <f t="shared" si="13"/>
        <v>14.74</v>
      </c>
      <c r="L63" s="104">
        <f t="shared" si="15"/>
        <v>20</v>
      </c>
      <c r="M63" s="104">
        <f t="shared" si="17"/>
        <v>0.745</v>
      </c>
      <c r="T63" s="1">
        <f t="shared" si="5"/>
        <v>41</v>
      </c>
      <c r="U63" s="14" t="s">
        <v>262</v>
      </c>
      <c r="V63" s="8">
        <v>0.8</v>
      </c>
      <c r="W63" s="1">
        <f t="shared" si="1"/>
        <v>0.88</v>
      </c>
      <c r="X63" s="1">
        <f t="shared" si="16"/>
        <v>20</v>
      </c>
      <c r="Y63" s="1">
        <f t="shared" si="6"/>
        <v>0</v>
      </c>
      <c r="AG63" s="1">
        <f t="shared" si="7"/>
        <v>41</v>
      </c>
      <c r="AH63" s="14" t="s">
        <v>262</v>
      </c>
      <c r="AI63" s="8">
        <v>0.2</v>
      </c>
      <c r="AJ63" s="1">
        <f t="shared" si="2"/>
        <v>0.22</v>
      </c>
      <c r="AK63" s="1">
        <f t="shared" si="8"/>
        <v>19.474999999999998</v>
      </c>
      <c r="AL63" s="1">
        <f t="shared" si="9"/>
        <v>14.194999999999997</v>
      </c>
      <c r="AS63" s="1">
        <f t="shared" si="10"/>
        <v>41</v>
      </c>
      <c r="AT63" s="14" t="s">
        <v>262</v>
      </c>
      <c r="AU63" s="8">
        <v>13.4</v>
      </c>
      <c r="AV63" s="1">
        <f t="shared" si="3"/>
        <v>14.74</v>
      </c>
      <c r="AW63" s="1">
        <f t="shared" si="14"/>
        <v>20</v>
      </c>
      <c r="AX63" s="1">
        <f t="shared" si="11"/>
        <v>0</v>
      </c>
    </row>
    <row r="64" spans="8:50">
      <c r="H64" s="1">
        <f t="shared" si="12"/>
        <v>42</v>
      </c>
      <c r="I64" s="14" t="s">
        <v>262</v>
      </c>
      <c r="J64" s="127">
        <f>'Organized Input Output'!D59</f>
        <v>46.6</v>
      </c>
      <c r="K64" s="104">
        <f t="shared" si="13"/>
        <v>51.260000000000005</v>
      </c>
      <c r="L64" s="104">
        <f t="shared" si="15"/>
        <v>20</v>
      </c>
      <c r="M64" s="104">
        <f t="shared" si="17"/>
        <v>0.745</v>
      </c>
      <c r="T64" s="1">
        <f t="shared" si="5"/>
        <v>42</v>
      </c>
      <c r="U64" s="14" t="s">
        <v>262</v>
      </c>
      <c r="V64" s="8">
        <v>1</v>
      </c>
      <c r="W64" s="1">
        <f t="shared" si="1"/>
        <v>1.1000000000000001</v>
      </c>
      <c r="X64" s="1">
        <f t="shared" si="16"/>
        <v>20</v>
      </c>
      <c r="Y64" s="1">
        <f t="shared" si="6"/>
        <v>0</v>
      </c>
      <c r="AG64" s="1">
        <f t="shared" si="7"/>
        <v>42</v>
      </c>
      <c r="AH64" s="14" t="s">
        <v>262</v>
      </c>
      <c r="AI64" s="8">
        <v>19.600000000000001</v>
      </c>
      <c r="AJ64" s="1">
        <f t="shared" si="2"/>
        <v>21.560000000000002</v>
      </c>
      <c r="AK64" s="1">
        <f t="shared" si="8"/>
        <v>20</v>
      </c>
      <c r="AL64" s="1">
        <f t="shared" si="9"/>
        <v>0</v>
      </c>
      <c r="AS64" s="1">
        <f t="shared" si="10"/>
        <v>42</v>
      </c>
      <c r="AT64" s="14" t="s">
        <v>262</v>
      </c>
      <c r="AU64" s="8">
        <v>46.6</v>
      </c>
      <c r="AV64" s="1">
        <f t="shared" si="3"/>
        <v>51.260000000000005</v>
      </c>
      <c r="AW64" s="1">
        <f t="shared" si="14"/>
        <v>20</v>
      </c>
      <c r="AX64" s="1">
        <f t="shared" si="11"/>
        <v>0</v>
      </c>
    </row>
    <row r="65" spans="8:50">
      <c r="H65" s="1">
        <f t="shared" si="12"/>
        <v>43</v>
      </c>
      <c r="I65" s="14" t="s">
        <v>262</v>
      </c>
      <c r="J65" s="127">
        <f>'Organized Input Output'!D60</f>
        <v>16.8</v>
      </c>
      <c r="K65" s="104">
        <f t="shared" si="13"/>
        <v>18.480000000000004</v>
      </c>
      <c r="L65" s="104">
        <f t="shared" si="15"/>
        <v>20</v>
      </c>
      <c r="M65" s="104">
        <f t="shared" si="17"/>
        <v>0.745</v>
      </c>
      <c r="T65" s="1">
        <f t="shared" si="5"/>
        <v>43</v>
      </c>
      <c r="U65" s="14" t="s">
        <v>262</v>
      </c>
      <c r="V65" s="8">
        <v>12.8</v>
      </c>
      <c r="W65" s="1">
        <f t="shared" si="1"/>
        <v>14.08</v>
      </c>
      <c r="X65" s="1">
        <f t="shared" si="16"/>
        <v>20</v>
      </c>
      <c r="Y65" s="1">
        <f t="shared" si="6"/>
        <v>0</v>
      </c>
      <c r="AG65" s="1">
        <f t="shared" si="7"/>
        <v>43</v>
      </c>
      <c r="AH65" s="14" t="s">
        <v>262</v>
      </c>
      <c r="AI65" s="8">
        <v>30.4</v>
      </c>
      <c r="AJ65" s="1">
        <f t="shared" si="2"/>
        <v>33.44</v>
      </c>
      <c r="AK65" s="1">
        <f t="shared" si="8"/>
        <v>20</v>
      </c>
      <c r="AL65" s="1">
        <f t="shared" si="9"/>
        <v>0</v>
      </c>
      <c r="AS65" s="1">
        <f t="shared" si="10"/>
        <v>43</v>
      </c>
      <c r="AT65" s="14" t="s">
        <v>262</v>
      </c>
      <c r="AU65" s="8">
        <v>16.8</v>
      </c>
      <c r="AV65" s="1">
        <f t="shared" si="3"/>
        <v>18.480000000000004</v>
      </c>
      <c r="AW65" s="1">
        <f t="shared" si="14"/>
        <v>20</v>
      </c>
      <c r="AX65" s="1">
        <f t="shared" si="11"/>
        <v>0</v>
      </c>
    </row>
    <row r="66" spans="8:50">
      <c r="H66" s="1">
        <f t="shared" si="12"/>
        <v>44</v>
      </c>
      <c r="I66" s="14" t="s">
        <v>262</v>
      </c>
      <c r="J66" s="127">
        <f>'Organized Input Output'!D61</f>
        <v>15.6</v>
      </c>
      <c r="K66" s="104">
        <f t="shared" si="13"/>
        <v>17.16</v>
      </c>
      <c r="L66" s="104">
        <f t="shared" si="15"/>
        <v>20</v>
      </c>
      <c r="M66" s="104">
        <f t="shared" si="17"/>
        <v>0.745</v>
      </c>
      <c r="T66" s="1">
        <f t="shared" si="5"/>
        <v>44</v>
      </c>
      <c r="U66" s="14" t="s">
        <v>262</v>
      </c>
      <c r="V66" s="8">
        <v>16.2</v>
      </c>
      <c r="W66" s="1">
        <f t="shared" si="1"/>
        <v>17.82</v>
      </c>
      <c r="X66" s="1">
        <f t="shared" si="16"/>
        <v>20</v>
      </c>
      <c r="Y66" s="1">
        <f t="shared" si="6"/>
        <v>0</v>
      </c>
      <c r="AG66" s="1">
        <f t="shared" si="7"/>
        <v>44</v>
      </c>
      <c r="AH66" s="14" t="s">
        <v>262</v>
      </c>
      <c r="AI66" s="8">
        <v>19</v>
      </c>
      <c r="AJ66" s="1">
        <f t="shared" si="2"/>
        <v>20.9</v>
      </c>
      <c r="AK66" s="1">
        <f t="shared" si="8"/>
        <v>20</v>
      </c>
      <c r="AL66" s="1">
        <f t="shared" si="9"/>
        <v>0</v>
      </c>
      <c r="AS66" s="1">
        <f t="shared" si="10"/>
        <v>44</v>
      </c>
      <c r="AT66" s="14" t="s">
        <v>262</v>
      </c>
      <c r="AU66" s="8">
        <v>15.6</v>
      </c>
      <c r="AV66" s="1">
        <f t="shared" si="3"/>
        <v>17.16</v>
      </c>
      <c r="AW66" s="1">
        <f t="shared" si="14"/>
        <v>20</v>
      </c>
      <c r="AX66" s="1">
        <f t="shared" si="11"/>
        <v>0</v>
      </c>
    </row>
    <row r="67" spans="8:50">
      <c r="H67" s="1">
        <f t="shared" si="12"/>
        <v>45</v>
      </c>
      <c r="I67" s="14" t="s">
        <v>262</v>
      </c>
      <c r="J67" s="127">
        <f>'Organized Input Output'!D62</f>
        <v>3</v>
      </c>
      <c r="K67" s="104">
        <f t="shared" si="13"/>
        <v>3.3000000000000003</v>
      </c>
      <c r="L67" s="104">
        <f t="shared" si="15"/>
        <v>20</v>
      </c>
      <c r="M67" s="104">
        <f t="shared" si="17"/>
        <v>0.745</v>
      </c>
      <c r="T67" s="1">
        <f t="shared" si="5"/>
        <v>45</v>
      </c>
      <c r="U67" s="14" t="s">
        <v>262</v>
      </c>
      <c r="V67" s="8">
        <v>0</v>
      </c>
      <c r="W67" s="1">
        <f t="shared" si="1"/>
        <v>0</v>
      </c>
      <c r="X67" s="1">
        <f t="shared" si="16"/>
        <v>19.254999999999999</v>
      </c>
      <c r="Y67" s="1">
        <f t="shared" si="6"/>
        <v>19.254999999999999</v>
      </c>
      <c r="AG67" s="1">
        <f t="shared" si="7"/>
        <v>45</v>
      </c>
      <c r="AH67" s="14" t="s">
        <v>262</v>
      </c>
      <c r="AI67" s="8">
        <v>0.2</v>
      </c>
      <c r="AJ67" s="1">
        <f t="shared" si="2"/>
        <v>0.22</v>
      </c>
      <c r="AK67" s="1">
        <f t="shared" si="8"/>
        <v>19.474999999999998</v>
      </c>
      <c r="AL67" s="1">
        <f t="shared" si="9"/>
        <v>14.194999999999997</v>
      </c>
      <c r="AS67" s="1">
        <f t="shared" si="10"/>
        <v>45</v>
      </c>
      <c r="AT67" s="14" t="s">
        <v>262</v>
      </c>
      <c r="AU67" s="8">
        <v>3</v>
      </c>
      <c r="AV67" s="1">
        <f t="shared" si="3"/>
        <v>3.3000000000000003</v>
      </c>
      <c r="AW67" s="1">
        <f t="shared" si="14"/>
        <v>20</v>
      </c>
      <c r="AX67" s="1">
        <f t="shared" si="11"/>
        <v>0</v>
      </c>
    </row>
    <row r="68" spans="8:50">
      <c r="H68" s="1">
        <f t="shared" si="12"/>
        <v>46</v>
      </c>
      <c r="I68" s="14" t="s">
        <v>262</v>
      </c>
      <c r="J68" s="127">
        <f>'Organized Input Output'!D63</f>
        <v>11.6</v>
      </c>
      <c r="K68" s="104">
        <f t="shared" si="13"/>
        <v>12.76</v>
      </c>
      <c r="L68" s="104">
        <f t="shared" si="15"/>
        <v>20</v>
      </c>
      <c r="M68" s="104">
        <f t="shared" si="17"/>
        <v>0.745</v>
      </c>
      <c r="T68" s="1">
        <f t="shared" si="5"/>
        <v>46</v>
      </c>
      <c r="U68" s="14" t="s">
        <v>262</v>
      </c>
      <c r="V68" s="8">
        <v>0</v>
      </c>
      <c r="W68" s="1">
        <f t="shared" si="1"/>
        <v>0</v>
      </c>
      <c r="X68" s="1">
        <f t="shared" si="16"/>
        <v>18.509999999999998</v>
      </c>
      <c r="Y68" s="1">
        <f t="shared" si="6"/>
        <v>18.509999999999998</v>
      </c>
      <c r="AG68" s="1">
        <f t="shared" si="7"/>
        <v>46</v>
      </c>
      <c r="AH68" s="14" t="s">
        <v>262</v>
      </c>
      <c r="AI68" s="8">
        <v>0</v>
      </c>
      <c r="AJ68" s="1">
        <f t="shared" si="2"/>
        <v>0</v>
      </c>
      <c r="AK68" s="1">
        <f t="shared" si="8"/>
        <v>18.729999999999997</v>
      </c>
      <c r="AL68" s="1">
        <f t="shared" si="9"/>
        <v>18.729999999999997</v>
      </c>
      <c r="AS68" s="1">
        <f t="shared" si="10"/>
        <v>46</v>
      </c>
      <c r="AT68" s="14" t="s">
        <v>262</v>
      </c>
      <c r="AU68" s="8">
        <v>11.6</v>
      </c>
      <c r="AV68" s="1">
        <f t="shared" si="3"/>
        <v>12.76</v>
      </c>
      <c r="AW68" s="1">
        <f t="shared" si="14"/>
        <v>20</v>
      </c>
      <c r="AX68" s="1">
        <f t="shared" si="11"/>
        <v>0</v>
      </c>
    </row>
    <row r="69" spans="8:50">
      <c r="H69" s="1">
        <f t="shared" si="12"/>
        <v>47</v>
      </c>
      <c r="I69" s="14" t="s">
        <v>262</v>
      </c>
      <c r="J69" s="127">
        <f>'Organized Input Output'!D64</f>
        <v>19</v>
      </c>
      <c r="K69" s="104">
        <f t="shared" si="13"/>
        <v>20.9</v>
      </c>
      <c r="L69" s="104">
        <f t="shared" si="15"/>
        <v>20</v>
      </c>
      <c r="M69" s="104">
        <f t="shared" si="17"/>
        <v>0.745</v>
      </c>
      <c r="T69" s="1">
        <f t="shared" si="5"/>
        <v>47</v>
      </c>
      <c r="U69" s="14" t="s">
        <v>262</v>
      </c>
      <c r="V69" s="8">
        <v>0</v>
      </c>
      <c r="W69" s="1">
        <f t="shared" si="1"/>
        <v>0</v>
      </c>
      <c r="X69" s="1">
        <f t="shared" si="16"/>
        <v>17.764999999999997</v>
      </c>
      <c r="Y69" s="1">
        <f t="shared" si="6"/>
        <v>17.764999999999997</v>
      </c>
      <c r="AG69" s="1">
        <f t="shared" si="7"/>
        <v>47</v>
      </c>
      <c r="AH69" s="14" t="s">
        <v>262</v>
      </c>
      <c r="AI69" s="8">
        <v>0</v>
      </c>
      <c r="AJ69" s="1">
        <f t="shared" si="2"/>
        <v>0</v>
      </c>
      <c r="AK69" s="1">
        <f t="shared" si="8"/>
        <v>17.984999999999996</v>
      </c>
      <c r="AL69" s="1">
        <f t="shared" si="9"/>
        <v>17.984999999999996</v>
      </c>
      <c r="AS69" s="1">
        <f t="shared" si="10"/>
        <v>47</v>
      </c>
      <c r="AT69" s="14" t="s">
        <v>262</v>
      </c>
      <c r="AU69" s="8">
        <v>19</v>
      </c>
      <c r="AV69" s="1">
        <f t="shared" si="3"/>
        <v>20.9</v>
      </c>
      <c r="AW69" s="1">
        <f t="shared" si="14"/>
        <v>20</v>
      </c>
      <c r="AX69" s="1">
        <f t="shared" si="11"/>
        <v>0</v>
      </c>
    </row>
    <row r="70" spans="8:50">
      <c r="H70" s="1">
        <f t="shared" si="12"/>
        <v>48</v>
      </c>
      <c r="I70" s="14" t="s">
        <v>262</v>
      </c>
      <c r="J70" s="127">
        <f>'Organized Input Output'!D65</f>
        <v>9.1999999999999993</v>
      </c>
      <c r="K70" s="104">
        <f t="shared" si="13"/>
        <v>10.119999999999999</v>
      </c>
      <c r="L70" s="104">
        <f t="shared" si="15"/>
        <v>20</v>
      </c>
      <c r="M70" s="104">
        <f t="shared" si="17"/>
        <v>0.745</v>
      </c>
      <c r="T70" s="1">
        <f t="shared" si="5"/>
        <v>48</v>
      </c>
      <c r="U70" s="14" t="s">
        <v>262</v>
      </c>
      <c r="V70" s="8">
        <v>0</v>
      </c>
      <c r="W70" s="1">
        <f t="shared" si="1"/>
        <v>0</v>
      </c>
      <c r="X70" s="1">
        <f t="shared" si="16"/>
        <v>17.019999999999996</v>
      </c>
      <c r="Y70" s="1">
        <f t="shared" si="6"/>
        <v>17.019999999999996</v>
      </c>
      <c r="AG70" s="1">
        <f t="shared" si="7"/>
        <v>48</v>
      </c>
      <c r="AH70" s="14" t="s">
        <v>262</v>
      </c>
      <c r="AI70" s="8">
        <v>0</v>
      </c>
      <c r="AJ70" s="1">
        <f t="shared" si="2"/>
        <v>0</v>
      </c>
      <c r="AK70" s="1">
        <f t="shared" si="8"/>
        <v>17.239999999999995</v>
      </c>
      <c r="AL70" s="1">
        <f t="shared" si="9"/>
        <v>17.239999999999995</v>
      </c>
      <c r="AS70" s="1">
        <f t="shared" si="10"/>
        <v>48</v>
      </c>
      <c r="AT70" s="14" t="s">
        <v>262</v>
      </c>
      <c r="AU70" s="8">
        <v>9.1999999999999993</v>
      </c>
      <c r="AV70" s="1">
        <f t="shared" si="3"/>
        <v>10.119999999999999</v>
      </c>
      <c r="AW70" s="1">
        <f t="shared" si="14"/>
        <v>20</v>
      </c>
      <c r="AX70" s="1">
        <f t="shared" si="11"/>
        <v>0</v>
      </c>
    </row>
    <row r="71" spans="8:50">
      <c r="H71" s="1">
        <f t="shared" si="12"/>
        <v>49</v>
      </c>
      <c r="I71" s="14" t="s">
        <v>262</v>
      </c>
      <c r="J71" s="127">
        <f>'Organized Input Output'!D66</f>
        <v>12.6</v>
      </c>
      <c r="K71" s="104">
        <f t="shared" si="13"/>
        <v>13.86</v>
      </c>
      <c r="L71" s="104">
        <f t="shared" si="15"/>
        <v>20</v>
      </c>
      <c r="M71" s="104">
        <f t="shared" si="17"/>
        <v>0.745</v>
      </c>
      <c r="T71" s="1">
        <f t="shared" si="5"/>
        <v>49</v>
      </c>
      <c r="U71" s="14" t="s">
        <v>262</v>
      </c>
      <c r="V71" s="8">
        <v>0</v>
      </c>
      <c r="W71" s="1">
        <f t="shared" si="1"/>
        <v>0</v>
      </c>
      <c r="X71" s="1">
        <f t="shared" si="16"/>
        <v>16.274999999999995</v>
      </c>
      <c r="Y71" s="1">
        <f t="shared" si="6"/>
        <v>16.274999999999995</v>
      </c>
      <c r="AG71" s="1">
        <f t="shared" si="7"/>
        <v>49</v>
      </c>
      <c r="AH71" s="14" t="s">
        <v>262</v>
      </c>
      <c r="AI71" s="8">
        <v>4</v>
      </c>
      <c r="AJ71" s="1">
        <f t="shared" si="2"/>
        <v>4.4000000000000004</v>
      </c>
      <c r="AK71" s="1">
        <f t="shared" si="8"/>
        <v>20</v>
      </c>
      <c r="AL71" s="1">
        <f t="shared" si="9"/>
        <v>0</v>
      </c>
      <c r="AS71" s="1">
        <f t="shared" si="10"/>
        <v>49</v>
      </c>
      <c r="AT71" s="14" t="s">
        <v>262</v>
      </c>
      <c r="AU71" s="8">
        <v>12.6</v>
      </c>
      <c r="AV71" s="1">
        <f t="shared" si="3"/>
        <v>13.86</v>
      </c>
      <c r="AW71" s="1">
        <f t="shared" si="14"/>
        <v>20</v>
      </c>
      <c r="AX71" s="1">
        <f t="shared" si="11"/>
        <v>0</v>
      </c>
    </row>
    <row r="72" spans="8:50">
      <c r="H72" s="1">
        <f t="shared" si="12"/>
        <v>50</v>
      </c>
      <c r="I72" s="14" t="s">
        <v>262</v>
      </c>
      <c r="J72" s="127">
        <f>'Organized Input Output'!D67</f>
        <v>21.8</v>
      </c>
      <c r="K72" s="104">
        <f t="shared" si="13"/>
        <v>23.98</v>
      </c>
      <c r="L72" s="104">
        <f t="shared" si="15"/>
        <v>20</v>
      </c>
      <c r="M72" s="104">
        <f t="shared" si="17"/>
        <v>0.745</v>
      </c>
      <c r="T72" s="1">
        <f t="shared" si="5"/>
        <v>50</v>
      </c>
      <c r="U72" s="14" t="s">
        <v>262</v>
      </c>
      <c r="V72" s="8">
        <v>0</v>
      </c>
      <c r="W72" s="1">
        <f t="shared" si="1"/>
        <v>0</v>
      </c>
      <c r="X72" s="1">
        <f t="shared" si="16"/>
        <v>15.529999999999996</v>
      </c>
      <c r="Y72" s="1">
        <f t="shared" si="6"/>
        <v>15.529999999999996</v>
      </c>
      <c r="AG72" s="1">
        <f t="shared" si="7"/>
        <v>50</v>
      </c>
      <c r="AH72" s="14" t="s">
        <v>262</v>
      </c>
      <c r="AI72" s="8">
        <v>11</v>
      </c>
      <c r="AJ72" s="1">
        <f t="shared" si="2"/>
        <v>12.1</v>
      </c>
      <c r="AK72" s="1">
        <f t="shared" si="8"/>
        <v>20</v>
      </c>
      <c r="AL72" s="1">
        <f t="shared" si="9"/>
        <v>0</v>
      </c>
      <c r="AS72" s="1">
        <f t="shared" si="10"/>
        <v>50</v>
      </c>
      <c r="AT72" s="14" t="s">
        <v>262</v>
      </c>
      <c r="AU72" s="8">
        <v>21.8</v>
      </c>
      <c r="AV72" s="1">
        <f t="shared" si="3"/>
        <v>23.98</v>
      </c>
      <c r="AW72" s="1">
        <f t="shared" si="14"/>
        <v>20</v>
      </c>
      <c r="AX72" s="1">
        <f t="shared" si="11"/>
        <v>0</v>
      </c>
    </row>
    <row r="73" spans="8:50">
      <c r="H73" s="1">
        <f t="shared" si="12"/>
        <v>51</v>
      </c>
      <c r="I73" s="14" t="s">
        <v>262</v>
      </c>
      <c r="J73" s="127">
        <f>'Organized Input Output'!D68</f>
        <v>2.4</v>
      </c>
      <c r="K73" s="104">
        <f t="shared" si="13"/>
        <v>2.6399999999999997</v>
      </c>
      <c r="L73" s="104">
        <f t="shared" si="15"/>
        <v>20</v>
      </c>
      <c r="M73" s="104">
        <f t="shared" si="17"/>
        <v>0.745</v>
      </c>
      <c r="T73" s="1">
        <f t="shared" si="5"/>
        <v>51</v>
      </c>
      <c r="U73" s="14" t="s">
        <v>262</v>
      </c>
      <c r="V73" s="8">
        <v>0</v>
      </c>
      <c r="W73" s="1">
        <f t="shared" si="1"/>
        <v>0</v>
      </c>
      <c r="X73" s="1">
        <f t="shared" si="16"/>
        <v>14.784999999999997</v>
      </c>
      <c r="Y73" s="1">
        <f t="shared" si="6"/>
        <v>14.784999999999997</v>
      </c>
      <c r="AG73" s="1">
        <f t="shared" si="7"/>
        <v>51</v>
      </c>
      <c r="AH73" s="14" t="s">
        <v>262</v>
      </c>
      <c r="AI73" s="8">
        <v>0.4</v>
      </c>
      <c r="AJ73" s="1">
        <f t="shared" si="2"/>
        <v>0.44</v>
      </c>
      <c r="AK73" s="1">
        <f t="shared" si="8"/>
        <v>19.695</v>
      </c>
      <c r="AL73" s="1">
        <f t="shared" si="9"/>
        <v>9.1349999999999998</v>
      </c>
      <c r="AS73" s="1">
        <f t="shared" si="10"/>
        <v>51</v>
      </c>
      <c r="AT73" s="14" t="s">
        <v>262</v>
      </c>
      <c r="AU73" s="8">
        <v>2.4</v>
      </c>
      <c r="AV73" s="1">
        <f t="shared" si="3"/>
        <v>2.6399999999999997</v>
      </c>
      <c r="AW73" s="1">
        <f t="shared" si="14"/>
        <v>20</v>
      </c>
      <c r="AX73" s="1">
        <f t="shared" si="11"/>
        <v>0</v>
      </c>
    </row>
    <row r="74" spans="8:50">
      <c r="H74" s="1">
        <f t="shared" si="12"/>
        <v>52</v>
      </c>
      <c r="I74" s="14" t="s">
        <v>262</v>
      </c>
      <c r="J74" s="127">
        <f>'Organized Input Output'!D69</f>
        <v>0.8</v>
      </c>
      <c r="K74" s="104">
        <f t="shared" si="13"/>
        <v>0.88</v>
      </c>
      <c r="L74" s="104">
        <f t="shared" si="15"/>
        <v>20</v>
      </c>
      <c r="M74" s="104">
        <f t="shared" si="17"/>
        <v>0.745</v>
      </c>
      <c r="T74" s="1">
        <f t="shared" si="5"/>
        <v>52</v>
      </c>
      <c r="U74" s="14" t="s">
        <v>262</v>
      </c>
      <c r="V74" s="8">
        <v>0</v>
      </c>
      <c r="W74" s="1">
        <f t="shared" si="1"/>
        <v>0</v>
      </c>
      <c r="X74" s="1">
        <f t="shared" si="16"/>
        <v>14.039999999999997</v>
      </c>
      <c r="Y74" s="1">
        <f t="shared" si="6"/>
        <v>14.039999999999997</v>
      </c>
      <c r="AG74" s="1">
        <f t="shared" si="7"/>
        <v>52</v>
      </c>
      <c r="AH74" s="14" t="s">
        <v>262</v>
      </c>
      <c r="AI74" s="8">
        <v>0</v>
      </c>
      <c r="AJ74" s="1">
        <f t="shared" si="2"/>
        <v>0</v>
      </c>
      <c r="AK74" s="1">
        <f t="shared" si="8"/>
        <v>18.95</v>
      </c>
      <c r="AL74" s="1">
        <f t="shared" si="9"/>
        <v>18.95</v>
      </c>
      <c r="AS74" s="1">
        <f t="shared" si="10"/>
        <v>52</v>
      </c>
      <c r="AT74" s="14" t="s">
        <v>262</v>
      </c>
      <c r="AU74" s="8">
        <v>0.8</v>
      </c>
      <c r="AV74" s="1">
        <f t="shared" si="3"/>
        <v>0.88</v>
      </c>
      <c r="AW74" s="1">
        <f t="shared" si="14"/>
        <v>20</v>
      </c>
      <c r="AX74" s="1">
        <f t="shared" si="11"/>
        <v>0</v>
      </c>
    </row>
    <row r="75" spans="8:50">
      <c r="H75" s="1">
        <f t="shared" si="12"/>
        <v>53</v>
      </c>
      <c r="I75" s="14" t="s">
        <v>262</v>
      </c>
      <c r="J75" s="127">
        <f>'Organized Input Output'!D70</f>
        <v>4.8</v>
      </c>
      <c r="K75" s="104">
        <f t="shared" si="13"/>
        <v>5.2799999999999994</v>
      </c>
      <c r="L75" s="104">
        <f t="shared" si="15"/>
        <v>20</v>
      </c>
      <c r="M75" s="104">
        <f t="shared" si="17"/>
        <v>0.745</v>
      </c>
      <c r="T75" s="1">
        <f t="shared" si="5"/>
        <v>53</v>
      </c>
      <c r="U75" s="14" t="s">
        <v>262</v>
      </c>
      <c r="V75" s="8">
        <v>0</v>
      </c>
      <c r="W75" s="1">
        <f t="shared" si="1"/>
        <v>0</v>
      </c>
      <c r="X75" s="1">
        <f t="shared" si="16"/>
        <v>13.294999999999998</v>
      </c>
      <c r="Y75" s="1">
        <f t="shared" si="6"/>
        <v>13.294999999999998</v>
      </c>
      <c r="AG75" s="1">
        <f t="shared" si="7"/>
        <v>53</v>
      </c>
      <c r="AH75" s="14" t="s">
        <v>262</v>
      </c>
      <c r="AI75" s="8">
        <v>0</v>
      </c>
      <c r="AJ75" s="1">
        <f t="shared" si="2"/>
        <v>0</v>
      </c>
      <c r="AK75" s="1">
        <f t="shared" si="8"/>
        <v>18.204999999999998</v>
      </c>
      <c r="AL75" s="1">
        <f t="shared" si="9"/>
        <v>18.204999999999998</v>
      </c>
      <c r="AS75" s="1">
        <f t="shared" si="10"/>
        <v>53</v>
      </c>
      <c r="AT75" s="14" t="s">
        <v>262</v>
      </c>
      <c r="AU75" s="8">
        <v>4.8</v>
      </c>
      <c r="AV75" s="1">
        <f t="shared" si="3"/>
        <v>5.2799999999999994</v>
      </c>
      <c r="AW75" s="1">
        <f t="shared" si="14"/>
        <v>20</v>
      </c>
      <c r="AX75" s="1">
        <f t="shared" si="11"/>
        <v>0</v>
      </c>
    </row>
    <row r="76" spans="8:50">
      <c r="H76" s="1">
        <f t="shared" si="12"/>
        <v>54</v>
      </c>
      <c r="I76" s="14" t="s">
        <v>262</v>
      </c>
      <c r="J76" s="127">
        <f>'Organized Input Output'!D71</f>
        <v>14.6</v>
      </c>
      <c r="K76" s="104">
        <f t="shared" si="13"/>
        <v>16.059999999999999</v>
      </c>
      <c r="L76" s="104">
        <f t="shared" si="15"/>
        <v>20</v>
      </c>
      <c r="M76" s="104">
        <f t="shared" si="17"/>
        <v>0.745</v>
      </c>
      <c r="T76" s="1">
        <f t="shared" si="5"/>
        <v>54</v>
      </c>
      <c r="U76" s="14" t="s">
        <v>262</v>
      </c>
      <c r="V76" s="8">
        <v>0</v>
      </c>
      <c r="W76" s="1">
        <f t="shared" si="1"/>
        <v>0</v>
      </c>
      <c r="X76" s="1">
        <f t="shared" si="16"/>
        <v>12.549999999999999</v>
      </c>
      <c r="Y76" s="1">
        <f t="shared" si="6"/>
        <v>12.549999999999999</v>
      </c>
      <c r="AG76" s="1">
        <f t="shared" si="7"/>
        <v>54</v>
      </c>
      <c r="AH76" s="14" t="s">
        <v>262</v>
      </c>
      <c r="AI76" s="8">
        <v>0</v>
      </c>
      <c r="AJ76" s="1">
        <f t="shared" si="2"/>
        <v>0</v>
      </c>
      <c r="AK76" s="1">
        <f t="shared" si="8"/>
        <v>17.459999999999997</v>
      </c>
      <c r="AL76" s="1">
        <f t="shared" si="9"/>
        <v>17.459999999999997</v>
      </c>
      <c r="AS76" s="1">
        <f t="shared" si="10"/>
        <v>54</v>
      </c>
      <c r="AT76" s="14" t="s">
        <v>262</v>
      </c>
      <c r="AU76" s="8">
        <v>14.6</v>
      </c>
      <c r="AV76" s="1">
        <f t="shared" si="3"/>
        <v>16.059999999999999</v>
      </c>
      <c r="AW76" s="1">
        <f t="shared" si="14"/>
        <v>20</v>
      </c>
      <c r="AX76" s="1">
        <f t="shared" si="11"/>
        <v>0</v>
      </c>
    </row>
    <row r="77" spans="8:50">
      <c r="H77" s="1">
        <f t="shared" si="12"/>
        <v>55</v>
      </c>
      <c r="I77" s="14" t="s">
        <v>262</v>
      </c>
      <c r="J77" s="127">
        <f>'Organized Input Output'!D72</f>
        <v>6.8</v>
      </c>
      <c r="K77" s="104">
        <f t="shared" si="13"/>
        <v>7.4799999999999995</v>
      </c>
      <c r="L77" s="104">
        <f t="shared" si="15"/>
        <v>20</v>
      </c>
      <c r="M77" s="104">
        <f t="shared" si="17"/>
        <v>0.745</v>
      </c>
      <c r="T77" s="1">
        <f t="shared" si="5"/>
        <v>55</v>
      </c>
      <c r="U77" s="14" t="s">
        <v>262</v>
      </c>
      <c r="V77" s="8">
        <v>0</v>
      </c>
      <c r="W77" s="1">
        <f t="shared" si="1"/>
        <v>0</v>
      </c>
      <c r="X77" s="1">
        <f t="shared" si="16"/>
        <v>11.805</v>
      </c>
      <c r="Y77" s="1">
        <f t="shared" si="6"/>
        <v>11.805</v>
      </c>
      <c r="AG77" s="1">
        <f t="shared" si="7"/>
        <v>55</v>
      </c>
      <c r="AH77" s="14" t="s">
        <v>262</v>
      </c>
      <c r="AI77" s="8">
        <v>0.2</v>
      </c>
      <c r="AJ77" s="1">
        <f t="shared" si="2"/>
        <v>0.22</v>
      </c>
      <c r="AK77" s="1">
        <f t="shared" si="8"/>
        <v>16.934999999999995</v>
      </c>
      <c r="AL77" s="1">
        <f t="shared" si="9"/>
        <v>11.654999999999994</v>
      </c>
      <c r="AS77" s="1">
        <f t="shared" si="10"/>
        <v>55</v>
      </c>
      <c r="AT77" s="14" t="s">
        <v>262</v>
      </c>
      <c r="AU77" s="8">
        <v>6.8</v>
      </c>
      <c r="AV77" s="1">
        <f t="shared" si="3"/>
        <v>7.4799999999999995</v>
      </c>
      <c r="AW77" s="1">
        <f t="shared" si="14"/>
        <v>20</v>
      </c>
      <c r="AX77" s="1">
        <f t="shared" si="11"/>
        <v>0</v>
      </c>
    </row>
    <row r="78" spans="8:50">
      <c r="H78" s="1">
        <f t="shared" si="12"/>
        <v>56</v>
      </c>
      <c r="I78" s="14" t="s">
        <v>262</v>
      </c>
      <c r="J78" s="127">
        <f>'Organized Input Output'!D73</f>
        <v>0</v>
      </c>
      <c r="K78" s="104">
        <f t="shared" si="13"/>
        <v>0</v>
      </c>
      <c r="L78" s="104">
        <f t="shared" si="15"/>
        <v>19.254999999999999</v>
      </c>
      <c r="M78" s="104">
        <f t="shared" si="17"/>
        <v>0.745</v>
      </c>
      <c r="T78" s="1">
        <f t="shared" si="5"/>
        <v>56</v>
      </c>
      <c r="U78" s="14" t="s">
        <v>262</v>
      </c>
      <c r="V78" s="8">
        <v>1.6</v>
      </c>
      <c r="W78" s="1">
        <f t="shared" si="1"/>
        <v>1.76</v>
      </c>
      <c r="X78" s="1">
        <f t="shared" si="16"/>
        <v>12.82</v>
      </c>
      <c r="Y78" s="1">
        <f t="shared" si="6"/>
        <v>0</v>
      </c>
      <c r="AG78" s="1">
        <f t="shared" si="7"/>
        <v>56</v>
      </c>
      <c r="AH78" s="14" t="s">
        <v>262</v>
      </c>
      <c r="AI78" s="8">
        <v>4.5999999999999996</v>
      </c>
      <c r="AJ78" s="1">
        <f t="shared" si="2"/>
        <v>5.0599999999999996</v>
      </c>
      <c r="AK78" s="1">
        <f t="shared" si="8"/>
        <v>20</v>
      </c>
      <c r="AL78" s="1">
        <f t="shared" si="9"/>
        <v>0</v>
      </c>
      <c r="AS78" s="1">
        <f t="shared" si="10"/>
        <v>56</v>
      </c>
      <c r="AT78" s="14" t="s">
        <v>262</v>
      </c>
      <c r="AU78" s="8">
        <v>0</v>
      </c>
      <c r="AV78" s="1">
        <f t="shared" si="3"/>
        <v>0</v>
      </c>
      <c r="AW78" s="1">
        <f t="shared" si="14"/>
        <v>19.254999999999999</v>
      </c>
      <c r="AX78" s="1">
        <f t="shared" si="11"/>
        <v>19.254999999999999</v>
      </c>
    </row>
    <row r="79" spans="8:50">
      <c r="H79" s="1">
        <f t="shared" si="12"/>
        <v>57</v>
      </c>
      <c r="I79" s="14" t="s">
        <v>262</v>
      </c>
      <c r="J79" s="127">
        <f>'Organized Input Output'!D74</f>
        <v>0.8</v>
      </c>
      <c r="K79" s="104">
        <f t="shared" si="13"/>
        <v>0.88</v>
      </c>
      <c r="L79" s="104">
        <f t="shared" si="15"/>
        <v>19.389999999999997</v>
      </c>
      <c r="M79" s="104">
        <f t="shared" si="17"/>
        <v>0.745</v>
      </c>
      <c r="T79" s="1">
        <f t="shared" si="5"/>
        <v>57</v>
      </c>
      <c r="U79" s="14" t="s">
        <v>262</v>
      </c>
      <c r="V79" s="8">
        <v>8.1999999999999993</v>
      </c>
      <c r="W79" s="1">
        <f t="shared" si="1"/>
        <v>9.02</v>
      </c>
      <c r="X79" s="1">
        <f t="shared" si="16"/>
        <v>20</v>
      </c>
      <c r="Y79" s="1">
        <f t="shared" si="6"/>
        <v>0</v>
      </c>
      <c r="AG79" s="1">
        <f t="shared" si="7"/>
        <v>57</v>
      </c>
      <c r="AH79" s="14" t="s">
        <v>262</v>
      </c>
      <c r="AI79" s="8">
        <v>8.8000000000000007</v>
      </c>
      <c r="AJ79" s="1">
        <f t="shared" si="2"/>
        <v>9.68</v>
      </c>
      <c r="AK79" s="1">
        <f t="shared" si="8"/>
        <v>20</v>
      </c>
      <c r="AL79" s="1">
        <f t="shared" si="9"/>
        <v>0</v>
      </c>
      <c r="AS79" s="1">
        <f t="shared" si="10"/>
        <v>57</v>
      </c>
      <c r="AT79" s="14" t="s">
        <v>262</v>
      </c>
      <c r="AU79" s="8">
        <v>0.8</v>
      </c>
      <c r="AV79" s="1">
        <f t="shared" si="3"/>
        <v>0.88</v>
      </c>
      <c r="AW79" s="1">
        <f t="shared" si="14"/>
        <v>19.389999999999997</v>
      </c>
      <c r="AX79" s="1">
        <f t="shared" si="11"/>
        <v>0</v>
      </c>
    </row>
    <row r="80" spans="8:50">
      <c r="H80" s="1">
        <f t="shared" si="12"/>
        <v>58</v>
      </c>
      <c r="I80" s="14" t="s">
        <v>262</v>
      </c>
      <c r="J80" s="127">
        <f>'Organized Input Output'!D75</f>
        <v>0</v>
      </c>
      <c r="K80" s="104">
        <f t="shared" si="13"/>
        <v>0</v>
      </c>
      <c r="L80" s="104">
        <f t="shared" si="15"/>
        <v>18.644999999999996</v>
      </c>
      <c r="M80" s="104">
        <f t="shared" si="17"/>
        <v>0.745</v>
      </c>
      <c r="T80" s="1">
        <f t="shared" si="5"/>
        <v>58</v>
      </c>
      <c r="U80" s="14" t="s">
        <v>262</v>
      </c>
      <c r="V80" s="8">
        <v>0</v>
      </c>
      <c r="W80" s="1">
        <f t="shared" si="1"/>
        <v>0</v>
      </c>
      <c r="X80" s="1">
        <f t="shared" si="16"/>
        <v>19.254999999999999</v>
      </c>
      <c r="Y80" s="1">
        <f t="shared" si="6"/>
        <v>19.254999999999999</v>
      </c>
      <c r="AG80" s="1">
        <f t="shared" si="7"/>
        <v>58</v>
      </c>
      <c r="AH80" s="14" t="s">
        <v>262</v>
      </c>
      <c r="AI80" s="8">
        <v>0.4</v>
      </c>
      <c r="AJ80" s="1">
        <f t="shared" si="2"/>
        <v>0.44</v>
      </c>
      <c r="AK80" s="1">
        <f t="shared" si="8"/>
        <v>19.695</v>
      </c>
      <c r="AL80" s="1">
        <f t="shared" si="9"/>
        <v>9.1349999999999998</v>
      </c>
      <c r="AS80" s="1">
        <f t="shared" si="10"/>
        <v>58</v>
      </c>
      <c r="AT80" s="14" t="s">
        <v>262</v>
      </c>
      <c r="AU80" s="8">
        <v>0</v>
      </c>
      <c r="AV80" s="1">
        <f t="shared" si="3"/>
        <v>0</v>
      </c>
      <c r="AW80" s="1">
        <f t="shared" si="14"/>
        <v>18.644999999999996</v>
      </c>
      <c r="AX80" s="1">
        <f t="shared" si="11"/>
        <v>18.644999999999996</v>
      </c>
    </row>
    <row r="81" spans="8:50">
      <c r="H81" s="1">
        <f t="shared" si="12"/>
        <v>59</v>
      </c>
      <c r="I81" s="14" t="s">
        <v>262</v>
      </c>
      <c r="J81" s="127">
        <f>'Organized Input Output'!D76</f>
        <v>0.4</v>
      </c>
      <c r="K81" s="104">
        <f t="shared" si="13"/>
        <v>0.44</v>
      </c>
      <c r="L81" s="104">
        <f t="shared" si="15"/>
        <v>18.339999999999996</v>
      </c>
      <c r="M81" s="104">
        <f t="shared" si="17"/>
        <v>0.745</v>
      </c>
      <c r="T81" s="1">
        <f t="shared" si="5"/>
        <v>59</v>
      </c>
      <c r="U81" s="14" t="s">
        <v>262</v>
      </c>
      <c r="V81" s="8">
        <v>0</v>
      </c>
      <c r="W81" s="1">
        <f t="shared" si="1"/>
        <v>0</v>
      </c>
      <c r="X81" s="1">
        <f t="shared" si="16"/>
        <v>18.509999999999998</v>
      </c>
      <c r="Y81" s="1">
        <f t="shared" si="6"/>
        <v>18.509999999999998</v>
      </c>
      <c r="AG81" s="1">
        <f t="shared" si="7"/>
        <v>59</v>
      </c>
      <c r="AH81" s="14" t="s">
        <v>262</v>
      </c>
      <c r="AI81" s="8">
        <v>0</v>
      </c>
      <c r="AJ81" s="1">
        <f t="shared" si="2"/>
        <v>0</v>
      </c>
      <c r="AK81" s="1">
        <f t="shared" si="8"/>
        <v>18.95</v>
      </c>
      <c r="AL81" s="1">
        <f t="shared" si="9"/>
        <v>18.95</v>
      </c>
      <c r="AS81" s="1">
        <f t="shared" si="10"/>
        <v>59</v>
      </c>
      <c r="AT81" s="14" t="s">
        <v>262</v>
      </c>
      <c r="AU81" s="8">
        <v>0.4</v>
      </c>
      <c r="AV81" s="1">
        <f t="shared" si="3"/>
        <v>0.44</v>
      </c>
      <c r="AW81" s="1">
        <f t="shared" si="14"/>
        <v>18.339999999999996</v>
      </c>
      <c r="AX81" s="1">
        <f t="shared" si="11"/>
        <v>7.7799999999999958</v>
      </c>
    </row>
    <row r="82" spans="8:50">
      <c r="H82" s="1">
        <f t="shared" si="12"/>
        <v>60</v>
      </c>
      <c r="I82" s="14" t="s">
        <v>263</v>
      </c>
      <c r="J82" s="127">
        <f>'Organized Input Output'!D77</f>
        <v>2</v>
      </c>
      <c r="K82" s="104">
        <f t="shared" si="13"/>
        <v>2.2000000000000002</v>
      </c>
      <c r="L82" s="104">
        <f t="shared" si="15"/>
        <v>19.794999999999995</v>
      </c>
      <c r="M82" s="104">
        <f t="shared" si="17"/>
        <v>0.745</v>
      </c>
      <c r="T82" s="1">
        <f t="shared" si="5"/>
        <v>60</v>
      </c>
      <c r="U82" s="14" t="s">
        <v>263</v>
      </c>
      <c r="V82" s="8">
        <v>2.2000000000000002</v>
      </c>
      <c r="W82" s="1">
        <f t="shared" si="1"/>
        <v>2.42</v>
      </c>
      <c r="X82" s="1">
        <f t="shared" si="16"/>
        <v>20</v>
      </c>
      <c r="Y82" s="1">
        <f t="shared" si="6"/>
        <v>0</v>
      </c>
      <c r="AG82" s="1">
        <f t="shared" si="7"/>
        <v>60</v>
      </c>
      <c r="AH82" s="14" t="s">
        <v>263</v>
      </c>
      <c r="AI82" s="8">
        <v>1.2</v>
      </c>
      <c r="AJ82" s="1">
        <f t="shared" si="2"/>
        <v>1.3199999999999998</v>
      </c>
      <c r="AK82" s="1">
        <f t="shared" si="8"/>
        <v>19.524999999999999</v>
      </c>
      <c r="AL82" s="1">
        <f t="shared" si="9"/>
        <v>0</v>
      </c>
      <c r="AS82" s="1">
        <f t="shared" si="10"/>
        <v>60</v>
      </c>
      <c r="AT82" s="14" t="s">
        <v>263</v>
      </c>
      <c r="AU82" s="8">
        <v>2</v>
      </c>
      <c r="AV82" s="1">
        <f t="shared" si="3"/>
        <v>2.2000000000000002</v>
      </c>
      <c r="AW82" s="1">
        <f t="shared" si="14"/>
        <v>19.794999999999995</v>
      </c>
      <c r="AX82" s="1">
        <f t="shared" si="11"/>
        <v>0</v>
      </c>
    </row>
    <row r="83" spans="8:50">
      <c r="H83" s="1">
        <f t="shared" si="12"/>
        <v>61</v>
      </c>
      <c r="I83" s="14" t="s">
        <v>263</v>
      </c>
      <c r="J83" s="127">
        <f>'Organized Input Output'!D78</f>
        <v>19</v>
      </c>
      <c r="K83" s="104">
        <f t="shared" si="13"/>
        <v>20.9</v>
      </c>
      <c r="L83" s="104">
        <f t="shared" si="15"/>
        <v>20</v>
      </c>
      <c r="M83" s="104">
        <f t="shared" si="17"/>
        <v>0.745</v>
      </c>
      <c r="T83" s="1">
        <f t="shared" si="5"/>
        <v>61</v>
      </c>
      <c r="U83" s="14" t="s">
        <v>263</v>
      </c>
      <c r="V83" s="8">
        <v>0</v>
      </c>
      <c r="W83" s="1">
        <f t="shared" si="1"/>
        <v>0</v>
      </c>
      <c r="X83" s="1">
        <f t="shared" si="16"/>
        <v>19.254999999999999</v>
      </c>
      <c r="Y83" s="1">
        <f t="shared" si="6"/>
        <v>19.254999999999999</v>
      </c>
      <c r="AG83" s="1">
        <f t="shared" si="7"/>
        <v>61</v>
      </c>
      <c r="AH83" s="14" t="s">
        <v>263</v>
      </c>
      <c r="AI83" s="8">
        <v>0</v>
      </c>
      <c r="AJ83" s="1">
        <f t="shared" si="2"/>
        <v>0</v>
      </c>
      <c r="AK83" s="1">
        <f t="shared" si="8"/>
        <v>18.779999999999998</v>
      </c>
      <c r="AL83" s="1">
        <f t="shared" si="9"/>
        <v>18.779999999999998</v>
      </c>
      <c r="AS83" s="1">
        <f t="shared" si="10"/>
        <v>61</v>
      </c>
      <c r="AT83" s="14" t="s">
        <v>263</v>
      </c>
      <c r="AU83" s="8">
        <v>19</v>
      </c>
      <c r="AV83" s="1">
        <f t="shared" si="3"/>
        <v>20.9</v>
      </c>
      <c r="AW83" s="1">
        <f t="shared" si="14"/>
        <v>20</v>
      </c>
      <c r="AX83" s="1">
        <f t="shared" si="11"/>
        <v>0</v>
      </c>
    </row>
    <row r="84" spans="8:50">
      <c r="H84" s="1">
        <f t="shared" si="12"/>
        <v>62</v>
      </c>
      <c r="I84" s="14" t="s">
        <v>263</v>
      </c>
      <c r="J84" s="127">
        <f>'Organized Input Output'!D79</f>
        <v>1</v>
      </c>
      <c r="K84" s="104">
        <f t="shared" si="13"/>
        <v>1.1000000000000001</v>
      </c>
      <c r="L84" s="104">
        <f t="shared" si="15"/>
        <v>20</v>
      </c>
      <c r="M84" s="104">
        <f t="shared" si="17"/>
        <v>0.745</v>
      </c>
      <c r="T84" s="1">
        <f t="shared" si="5"/>
        <v>62</v>
      </c>
      <c r="U84" s="14" t="s">
        <v>263</v>
      </c>
      <c r="V84" s="8">
        <v>0</v>
      </c>
      <c r="W84" s="1">
        <f t="shared" si="1"/>
        <v>0</v>
      </c>
      <c r="X84" s="1">
        <f t="shared" si="16"/>
        <v>18.509999999999998</v>
      </c>
      <c r="Y84" s="1">
        <f t="shared" si="6"/>
        <v>18.509999999999998</v>
      </c>
      <c r="AG84" s="1">
        <f t="shared" si="7"/>
        <v>62</v>
      </c>
      <c r="AH84" s="14" t="s">
        <v>263</v>
      </c>
      <c r="AI84" s="8">
        <v>0</v>
      </c>
      <c r="AJ84" s="1">
        <f t="shared" si="2"/>
        <v>0</v>
      </c>
      <c r="AK84" s="1">
        <f t="shared" si="8"/>
        <v>18.034999999999997</v>
      </c>
      <c r="AL84" s="1">
        <f t="shared" si="9"/>
        <v>18.034999999999997</v>
      </c>
      <c r="AS84" s="1">
        <f t="shared" si="10"/>
        <v>62</v>
      </c>
      <c r="AT84" s="14" t="s">
        <v>263</v>
      </c>
      <c r="AU84" s="8">
        <v>1</v>
      </c>
      <c r="AV84" s="1">
        <f t="shared" si="3"/>
        <v>1.1000000000000001</v>
      </c>
      <c r="AW84" s="1">
        <f t="shared" si="14"/>
        <v>20</v>
      </c>
      <c r="AX84" s="1">
        <f t="shared" si="11"/>
        <v>0</v>
      </c>
    </row>
    <row r="85" spans="8:50">
      <c r="H85" s="1">
        <f t="shared" si="12"/>
        <v>63</v>
      </c>
      <c r="I85" s="14" t="s">
        <v>263</v>
      </c>
      <c r="J85" s="127">
        <f>'Organized Input Output'!D80</f>
        <v>2.4</v>
      </c>
      <c r="K85" s="104">
        <f t="shared" si="13"/>
        <v>2.6399999999999997</v>
      </c>
      <c r="L85" s="104">
        <f t="shared" si="15"/>
        <v>20</v>
      </c>
      <c r="M85" s="104">
        <f t="shared" si="17"/>
        <v>0.745</v>
      </c>
      <c r="T85" s="1">
        <f t="shared" si="5"/>
        <v>63</v>
      </c>
      <c r="U85" s="14" t="s">
        <v>263</v>
      </c>
      <c r="V85" s="8">
        <v>0</v>
      </c>
      <c r="W85" s="1">
        <f t="shared" si="1"/>
        <v>0</v>
      </c>
      <c r="X85" s="1">
        <f t="shared" si="16"/>
        <v>17.764999999999997</v>
      </c>
      <c r="Y85" s="1">
        <f t="shared" si="6"/>
        <v>17.764999999999997</v>
      </c>
      <c r="AG85" s="1">
        <f t="shared" si="7"/>
        <v>63</v>
      </c>
      <c r="AH85" s="14" t="s">
        <v>263</v>
      </c>
      <c r="AI85" s="8">
        <v>0.4</v>
      </c>
      <c r="AJ85" s="1">
        <f t="shared" si="2"/>
        <v>0.44</v>
      </c>
      <c r="AK85" s="1">
        <f t="shared" si="8"/>
        <v>17.729999999999997</v>
      </c>
      <c r="AL85" s="1">
        <f t="shared" si="9"/>
        <v>7.1699999999999964</v>
      </c>
      <c r="AS85" s="1">
        <f t="shared" si="10"/>
        <v>63</v>
      </c>
      <c r="AT85" s="14" t="s">
        <v>263</v>
      </c>
      <c r="AU85" s="8">
        <v>2.4</v>
      </c>
      <c r="AV85" s="1">
        <f t="shared" si="3"/>
        <v>2.6399999999999997</v>
      </c>
      <c r="AW85" s="1">
        <f t="shared" si="14"/>
        <v>20</v>
      </c>
      <c r="AX85" s="1">
        <f t="shared" si="11"/>
        <v>0</v>
      </c>
    </row>
    <row r="86" spans="8:50">
      <c r="H86" s="1">
        <f t="shared" si="12"/>
        <v>64</v>
      </c>
      <c r="I86" s="14" t="s">
        <v>263</v>
      </c>
      <c r="J86" s="127">
        <f>'Organized Input Output'!D81</f>
        <v>23.8</v>
      </c>
      <c r="K86" s="104">
        <f t="shared" si="13"/>
        <v>26.180000000000003</v>
      </c>
      <c r="L86" s="104">
        <f t="shared" si="15"/>
        <v>20</v>
      </c>
      <c r="M86" s="104">
        <f t="shared" si="17"/>
        <v>0.745</v>
      </c>
      <c r="T86" s="1">
        <f t="shared" si="5"/>
        <v>64</v>
      </c>
      <c r="U86" s="14" t="s">
        <v>263</v>
      </c>
      <c r="V86" s="8">
        <v>0</v>
      </c>
      <c r="W86" s="1">
        <f t="shared" si="1"/>
        <v>0</v>
      </c>
      <c r="X86" s="1">
        <f t="shared" si="16"/>
        <v>17.019999999999996</v>
      </c>
      <c r="Y86" s="1">
        <f t="shared" si="6"/>
        <v>17.019999999999996</v>
      </c>
      <c r="AG86" s="1">
        <f t="shared" si="7"/>
        <v>64</v>
      </c>
      <c r="AH86" s="14" t="s">
        <v>263</v>
      </c>
      <c r="AI86" s="8">
        <v>1.8</v>
      </c>
      <c r="AJ86" s="1">
        <f t="shared" si="2"/>
        <v>1.98</v>
      </c>
      <c r="AK86" s="1">
        <f t="shared" si="8"/>
        <v>18.964999999999996</v>
      </c>
      <c r="AL86" s="1">
        <f t="shared" si="9"/>
        <v>0</v>
      </c>
      <c r="AS86" s="1">
        <f t="shared" si="10"/>
        <v>64</v>
      </c>
      <c r="AT86" s="14" t="s">
        <v>263</v>
      </c>
      <c r="AU86" s="8">
        <v>23.8</v>
      </c>
      <c r="AV86" s="1">
        <f t="shared" si="3"/>
        <v>26.180000000000003</v>
      </c>
      <c r="AW86" s="1">
        <f t="shared" si="14"/>
        <v>20</v>
      </c>
      <c r="AX86" s="1">
        <f t="shared" si="11"/>
        <v>0</v>
      </c>
    </row>
    <row r="87" spans="8:50">
      <c r="H87" s="1">
        <f t="shared" si="12"/>
        <v>65</v>
      </c>
      <c r="I87" s="14" t="s">
        <v>263</v>
      </c>
      <c r="J87" s="127">
        <f>'Organized Input Output'!D82</f>
        <v>8.6</v>
      </c>
      <c r="K87" s="104">
        <f t="shared" si="13"/>
        <v>9.4600000000000009</v>
      </c>
      <c r="L87" s="104">
        <f t="shared" si="15"/>
        <v>20</v>
      </c>
      <c r="M87" s="104">
        <f t="shared" si="17"/>
        <v>0.745</v>
      </c>
      <c r="T87" s="1">
        <f t="shared" si="5"/>
        <v>65</v>
      </c>
      <c r="U87" s="14" t="s">
        <v>263</v>
      </c>
      <c r="V87" s="8">
        <v>0</v>
      </c>
      <c r="W87" s="1">
        <f t="shared" ref="W87:W150" si="18">(V87/1000)*$B$7</f>
        <v>0</v>
      </c>
      <c r="X87" s="1">
        <f t="shared" si="16"/>
        <v>16.274999999999995</v>
      </c>
      <c r="Y87" s="1">
        <f t="shared" si="6"/>
        <v>16.274999999999995</v>
      </c>
      <c r="AG87" s="1">
        <f t="shared" si="7"/>
        <v>65</v>
      </c>
      <c r="AH87" s="14" t="s">
        <v>263</v>
      </c>
      <c r="AI87" s="8">
        <v>0.8</v>
      </c>
      <c r="AJ87" s="1">
        <f t="shared" ref="AJ87:AJ150" si="19">(AI87/1000)*$B$7</f>
        <v>0.88</v>
      </c>
      <c r="AK87" s="1">
        <f t="shared" si="8"/>
        <v>19.099999999999994</v>
      </c>
      <c r="AL87" s="1">
        <f t="shared" si="9"/>
        <v>0</v>
      </c>
      <c r="AS87" s="1">
        <f t="shared" si="10"/>
        <v>65</v>
      </c>
      <c r="AT87" s="14" t="s">
        <v>263</v>
      </c>
      <c r="AU87" s="8">
        <v>8.6</v>
      </c>
      <c r="AV87" s="1">
        <f t="shared" ref="AV87:AV150" si="20">(AU87/1000)*$B$7</f>
        <v>9.4600000000000009</v>
      </c>
      <c r="AW87" s="1">
        <f t="shared" si="14"/>
        <v>20</v>
      </c>
      <c r="AX87" s="1">
        <f t="shared" si="11"/>
        <v>0</v>
      </c>
    </row>
    <row r="88" spans="8:50">
      <c r="H88" s="1">
        <f t="shared" ref="H88:H151" si="21">H87+1</f>
        <v>66</v>
      </c>
      <c r="I88" s="14" t="s">
        <v>263</v>
      </c>
      <c r="J88" s="127">
        <f>'Organized Input Output'!D83</f>
        <v>34</v>
      </c>
      <c r="K88" s="104">
        <f t="shared" ref="K88:K151" si="22">(J88/1000)*$B$7</f>
        <v>37.400000000000006</v>
      </c>
      <c r="L88" s="104">
        <f t="shared" si="15"/>
        <v>20</v>
      </c>
      <c r="M88" s="104">
        <f t="shared" si="17"/>
        <v>0.745</v>
      </c>
      <c r="T88" s="1">
        <f t="shared" ref="T88:T151" si="23">T87+1</f>
        <v>66</v>
      </c>
      <c r="U88" s="14" t="s">
        <v>263</v>
      </c>
      <c r="V88" s="8">
        <v>0</v>
      </c>
      <c r="W88" s="1">
        <f t="shared" si="18"/>
        <v>0</v>
      </c>
      <c r="X88" s="1">
        <f t="shared" ref="X88:X151" si="24">IF(MAX(0,MIN($B$8,X87 + W88 - $D$11))&gt;$B$8, $B$8, MAX(0,MIN($B$8,X87 + W88 - $D$11)))</f>
        <v>15.529999999999996</v>
      </c>
      <c r="Y88" s="1">
        <f t="shared" ref="Y88:Y151" si="25">IF(ISNUMBER(MATCH($M$7, U88:U452, 0)), 0, MAX(0, X88-(W88*24)))</f>
        <v>15.529999999999996</v>
      </c>
      <c r="AG88" s="1">
        <f t="shared" ref="AG88:AG151" si="26">AG87+1</f>
        <v>66</v>
      </c>
      <c r="AH88" s="14" t="s">
        <v>263</v>
      </c>
      <c r="AI88" s="8">
        <v>0</v>
      </c>
      <c r="AJ88" s="1">
        <f t="shared" si="19"/>
        <v>0</v>
      </c>
      <c r="AK88" s="1">
        <f t="shared" ref="AK88:AK151" si="27">IF(MAX(0,MIN($B$8,AK87 + AJ88 - $D$11))&gt;$B$8, $B$8, MAX(0,MIN($B$8,AK87 + AJ88 - $D$11)))</f>
        <v>18.354999999999993</v>
      </c>
      <c r="AL88" s="1">
        <f t="shared" ref="AL88:AL151" si="28">IF(ISNUMBER(MATCH($M$7, AH88:AH451, 0)), 0, MAX(0, AK88-(AJ88*24)))</f>
        <v>18.354999999999993</v>
      </c>
      <c r="AS88" s="1">
        <f t="shared" ref="AS88:AS151" si="29">AS87+1</f>
        <v>66</v>
      </c>
      <c r="AT88" s="14" t="s">
        <v>263</v>
      </c>
      <c r="AU88" s="8">
        <v>34</v>
      </c>
      <c r="AV88" s="1">
        <f t="shared" si="20"/>
        <v>37.400000000000006</v>
      </c>
      <c r="AW88" s="1">
        <f t="shared" ref="AW88:AW151" si="30">IF(MAX(0,MIN($B$8,AW87 + AV88 - $D$11))&gt;$B$8, $B$8, MAX(0,MIN($B$8,AW87 + AV88 - $D$11)))</f>
        <v>20</v>
      </c>
      <c r="AX88" s="1">
        <f t="shared" ref="AX88:AX151" si="31">IF(ISNUMBER(MATCH($M$7, AT88:AT451, 0)), 0, MAX(0, (AW88-(AV88*24))))</f>
        <v>0</v>
      </c>
    </row>
    <row r="89" spans="8:50">
      <c r="H89" s="1">
        <f t="shared" si="21"/>
        <v>67</v>
      </c>
      <c r="I89" s="14" t="s">
        <v>263</v>
      </c>
      <c r="J89" s="127">
        <f>'Organized Input Output'!D84</f>
        <v>52.4</v>
      </c>
      <c r="K89" s="104">
        <f t="shared" si="22"/>
        <v>57.639999999999993</v>
      </c>
      <c r="L89" s="104">
        <f t="shared" ref="L89:L152" si="32">MAX(0, IF(I88 = "Jan", MIN($B$8, K89 + L88), MIN($B$8, L88 + K89 - $D$11)))</f>
        <v>20</v>
      </c>
      <c r="M89" s="104">
        <f t="shared" si="17"/>
        <v>0.745</v>
      </c>
      <c r="T89" s="1">
        <f t="shared" si="23"/>
        <v>67</v>
      </c>
      <c r="U89" s="14" t="s">
        <v>263</v>
      </c>
      <c r="V89" s="8">
        <v>0</v>
      </c>
      <c r="W89" s="1">
        <f t="shared" si="18"/>
        <v>0</v>
      </c>
      <c r="X89" s="1">
        <f t="shared" si="24"/>
        <v>14.784999999999997</v>
      </c>
      <c r="Y89" s="1">
        <f t="shared" si="25"/>
        <v>14.784999999999997</v>
      </c>
      <c r="AG89" s="1">
        <f t="shared" si="26"/>
        <v>67</v>
      </c>
      <c r="AH89" s="14" t="s">
        <v>263</v>
      </c>
      <c r="AI89" s="8">
        <v>0.4</v>
      </c>
      <c r="AJ89" s="1">
        <f t="shared" si="19"/>
        <v>0.44</v>
      </c>
      <c r="AK89" s="1">
        <f t="shared" si="27"/>
        <v>18.049999999999994</v>
      </c>
      <c r="AL89" s="1">
        <f t="shared" si="28"/>
        <v>7.4899999999999931</v>
      </c>
      <c r="AS89" s="1">
        <f t="shared" si="29"/>
        <v>67</v>
      </c>
      <c r="AT89" s="14" t="s">
        <v>263</v>
      </c>
      <c r="AU89" s="8">
        <v>52.4</v>
      </c>
      <c r="AV89" s="1">
        <f t="shared" si="20"/>
        <v>57.639999999999993</v>
      </c>
      <c r="AW89" s="1">
        <f t="shared" si="30"/>
        <v>20</v>
      </c>
      <c r="AX89" s="1">
        <f t="shared" si="31"/>
        <v>0</v>
      </c>
    </row>
    <row r="90" spans="8:50">
      <c r="H90" s="1">
        <f t="shared" si="21"/>
        <v>68</v>
      </c>
      <c r="I90" s="14" t="s">
        <v>263</v>
      </c>
      <c r="J90" s="127">
        <f>'Organized Input Output'!D85</f>
        <v>10.6</v>
      </c>
      <c r="K90" s="104">
        <f t="shared" si="22"/>
        <v>11.66</v>
      </c>
      <c r="L90" s="104">
        <f t="shared" si="32"/>
        <v>20</v>
      </c>
      <c r="M90" s="104">
        <f t="shared" si="17"/>
        <v>0.745</v>
      </c>
      <c r="T90" s="1">
        <f t="shared" si="23"/>
        <v>68</v>
      </c>
      <c r="U90" s="14" t="s">
        <v>263</v>
      </c>
      <c r="V90" s="8">
        <v>0</v>
      </c>
      <c r="W90" s="1">
        <f t="shared" si="18"/>
        <v>0</v>
      </c>
      <c r="X90" s="1">
        <f t="shared" si="24"/>
        <v>14.039999999999997</v>
      </c>
      <c r="Y90" s="1">
        <f t="shared" si="25"/>
        <v>14.039999999999997</v>
      </c>
      <c r="AE90" s="20"/>
      <c r="AF90" s="20"/>
      <c r="AG90" s="20">
        <f t="shared" si="26"/>
        <v>68</v>
      </c>
      <c r="AH90" s="21" t="s">
        <v>263</v>
      </c>
      <c r="AI90" s="22">
        <v>0.4</v>
      </c>
      <c r="AJ90" s="20">
        <f t="shared" si="19"/>
        <v>0.44</v>
      </c>
      <c r="AK90" s="20">
        <f t="shared" si="27"/>
        <v>17.744999999999994</v>
      </c>
      <c r="AL90" s="1">
        <f t="shared" si="28"/>
        <v>7.1849999999999934</v>
      </c>
      <c r="AM90" s="20"/>
      <c r="AN90" s="20"/>
      <c r="AS90" s="1">
        <f t="shared" si="29"/>
        <v>68</v>
      </c>
      <c r="AT90" s="14" t="s">
        <v>263</v>
      </c>
      <c r="AU90" s="8">
        <v>10.6</v>
      </c>
      <c r="AV90" s="1">
        <f t="shared" si="20"/>
        <v>11.66</v>
      </c>
      <c r="AW90" s="1">
        <f t="shared" si="30"/>
        <v>20</v>
      </c>
      <c r="AX90" s="1">
        <f t="shared" si="31"/>
        <v>0</v>
      </c>
    </row>
    <row r="91" spans="8:50">
      <c r="H91" s="1">
        <f t="shared" si="21"/>
        <v>69</v>
      </c>
      <c r="I91" s="14" t="s">
        <v>263</v>
      </c>
      <c r="J91" s="127">
        <f>'Organized Input Output'!D86</f>
        <v>2.4</v>
      </c>
      <c r="K91" s="104">
        <f t="shared" si="22"/>
        <v>2.6399999999999997</v>
      </c>
      <c r="L91" s="104">
        <f t="shared" si="32"/>
        <v>20</v>
      </c>
      <c r="M91" s="104">
        <f t="shared" si="17"/>
        <v>0.745</v>
      </c>
      <c r="T91" s="1">
        <f t="shared" si="23"/>
        <v>69</v>
      </c>
      <c r="U91" s="14" t="s">
        <v>263</v>
      </c>
      <c r="V91" s="8">
        <v>0.8</v>
      </c>
      <c r="W91" s="1">
        <f t="shared" si="18"/>
        <v>0.88</v>
      </c>
      <c r="X91" s="1">
        <f t="shared" si="24"/>
        <v>14.174999999999999</v>
      </c>
      <c r="Y91" s="1">
        <f t="shared" si="25"/>
        <v>0</v>
      </c>
      <c r="AE91" s="20"/>
      <c r="AF91" s="20"/>
      <c r="AG91" s="20">
        <f t="shared" si="26"/>
        <v>69</v>
      </c>
      <c r="AH91" s="21" t="s">
        <v>263</v>
      </c>
      <c r="AI91" s="22">
        <v>2.8</v>
      </c>
      <c r="AJ91" s="20">
        <f t="shared" si="19"/>
        <v>3.08</v>
      </c>
      <c r="AK91" s="20">
        <f t="shared" si="27"/>
        <v>20</v>
      </c>
      <c r="AL91" s="1">
        <f t="shared" si="28"/>
        <v>0</v>
      </c>
      <c r="AM91" s="20"/>
      <c r="AN91" s="20"/>
      <c r="AS91" s="1">
        <f t="shared" si="29"/>
        <v>69</v>
      </c>
      <c r="AT91" s="14" t="s">
        <v>263</v>
      </c>
      <c r="AU91" s="8">
        <v>2.4</v>
      </c>
      <c r="AV91" s="1">
        <f t="shared" si="20"/>
        <v>2.6399999999999997</v>
      </c>
      <c r="AW91" s="1">
        <f t="shared" si="30"/>
        <v>20</v>
      </c>
      <c r="AX91" s="1">
        <f t="shared" si="31"/>
        <v>0</v>
      </c>
    </row>
    <row r="92" spans="8:50">
      <c r="H92" s="1">
        <f t="shared" si="21"/>
        <v>70</v>
      </c>
      <c r="I92" s="14" t="s">
        <v>263</v>
      </c>
      <c r="J92" s="127">
        <f>'Organized Input Output'!D87</f>
        <v>0</v>
      </c>
      <c r="K92" s="104">
        <f t="shared" si="22"/>
        <v>0</v>
      </c>
      <c r="L92" s="104">
        <f t="shared" si="32"/>
        <v>19.254999999999999</v>
      </c>
      <c r="M92" s="104">
        <f t="shared" si="17"/>
        <v>0.745</v>
      </c>
      <c r="T92" s="1">
        <f t="shared" si="23"/>
        <v>70</v>
      </c>
      <c r="U92" s="14" t="s">
        <v>263</v>
      </c>
      <c r="V92" s="8">
        <v>6.4</v>
      </c>
      <c r="W92" s="1">
        <f t="shared" si="18"/>
        <v>7.04</v>
      </c>
      <c r="X92" s="1">
        <f t="shared" si="24"/>
        <v>20</v>
      </c>
      <c r="Y92" s="1">
        <f t="shared" si="25"/>
        <v>0</v>
      </c>
      <c r="AE92" s="20"/>
      <c r="AF92" s="20"/>
      <c r="AG92" s="20">
        <f t="shared" si="26"/>
        <v>70</v>
      </c>
      <c r="AH92" s="21" t="s">
        <v>263</v>
      </c>
      <c r="AI92" s="22">
        <v>13.6</v>
      </c>
      <c r="AJ92" s="20">
        <f t="shared" si="19"/>
        <v>14.959999999999999</v>
      </c>
      <c r="AK92" s="20">
        <f t="shared" si="27"/>
        <v>20</v>
      </c>
      <c r="AL92" s="1">
        <f t="shared" si="28"/>
        <v>0</v>
      </c>
      <c r="AM92" s="20"/>
      <c r="AN92" s="20"/>
      <c r="AS92" s="1">
        <f t="shared" si="29"/>
        <v>70</v>
      </c>
      <c r="AT92" s="14" t="s">
        <v>263</v>
      </c>
      <c r="AU92" s="8">
        <v>0</v>
      </c>
      <c r="AV92" s="1">
        <f t="shared" si="20"/>
        <v>0</v>
      </c>
      <c r="AW92" s="1">
        <f t="shared" si="30"/>
        <v>19.254999999999999</v>
      </c>
      <c r="AX92" s="1">
        <f t="shared" si="31"/>
        <v>19.254999999999999</v>
      </c>
    </row>
    <row r="93" spans="8:50">
      <c r="H93" s="1">
        <f t="shared" si="21"/>
        <v>71</v>
      </c>
      <c r="I93" s="14" t="s">
        <v>263</v>
      </c>
      <c r="J93" s="127">
        <f>'Organized Input Output'!D88</f>
        <v>2.8</v>
      </c>
      <c r="K93" s="104">
        <f t="shared" si="22"/>
        <v>3.08</v>
      </c>
      <c r="L93" s="104">
        <f t="shared" si="32"/>
        <v>20</v>
      </c>
      <c r="M93" s="104">
        <f t="shared" si="17"/>
        <v>0.745</v>
      </c>
      <c r="T93" s="1">
        <f t="shared" si="23"/>
        <v>71</v>
      </c>
      <c r="U93" s="14" t="s">
        <v>263</v>
      </c>
      <c r="V93" s="8">
        <v>0.8</v>
      </c>
      <c r="W93" s="1">
        <f t="shared" si="18"/>
        <v>0.88</v>
      </c>
      <c r="X93" s="1">
        <f t="shared" si="24"/>
        <v>20</v>
      </c>
      <c r="Y93" s="1">
        <f t="shared" si="25"/>
        <v>0</v>
      </c>
      <c r="AE93" s="20"/>
      <c r="AF93" s="20"/>
      <c r="AG93" s="20">
        <f t="shared" si="26"/>
        <v>71</v>
      </c>
      <c r="AH93" s="21" t="s">
        <v>263</v>
      </c>
      <c r="AI93" s="22">
        <v>8.6</v>
      </c>
      <c r="AJ93" s="20">
        <f t="shared" si="19"/>
        <v>9.4600000000000009</v>
      </c>
      <c r="AK93" s="20">
        <f t="shared" si="27"/>
        <v>20</v>
      </c>
      <c r="AL93" s="1">
        <f t="shared" si="28"/>
        <v>0</v>
      </c>
      <c r="AM93" s="20"/>
      <c r="AN93" s="20"/>
      <c r="AS93" s="1">
        <f t="shared" si="29"/>
        <v>71</v>
      </c>
      <c r="AT93" s="14" t="s">
        <v>263</v>
      </c>
      <c r="AU93" s="8">
        <v>2.8</v>
      </c>
      <c r="AV93" s="1">
        <f t="shared" si="20"/>
        <v>3.08</v>
      </c>
      <c r="AW93" s="1">
        <f t="shared" si="30"/>
        <v>20</v>
      </c>
      <c r="AX93" s="1">
        <f t="shared" si="31"/>
        <v>0</v>
      </c>
    </row>
    <row r="94" spans="8:50">
      <c r="H94" s="1">
        <f t="shared" si="21"/>
        <v>72</v>
      </c>
      <c r="I94" s="14" t="s">
        <v>263</v>
      </c>
      <c r="J94" s="127">
        <f>'Organized Input Output'!D89</f>
        <v>20.2</v>
      </c>
      <c r="K94" s="104">
        <f t="shared" si="22"/>
        <v>22.22</v>
      </c>
      <c r="L94" s="104">
        <f t="shared" si="32"/>
        <v>20</v>
      </c>
      <c r="M94" s="104">
        <f t="shared" si="17"/>
        <v>0.745</v>
      </c>
      <c r="T94" s="1">
        <f t="shared" si="23"/>
        <v>72</v>
      </c>
      <c r="U94" s="14" t="s">
        <v>263</v>
      </c>
      <c r="V94" s="8">
        <v>8.4</v>
      </c>
      <c r="W94" s="1">
        <f t="shared" si="18"/>
        <v>9.240000000000002</v>
      </c>
      <c r="X94" s="1">
        <f t="shared" si="24"/>
        <v>20</v>
      </c>
      <c r="Y94" s="1">
        <f t="shared" si="25"/>
        <v>0</v>
      </c>
      <c r="AE94" s="20"/>
      <c r="AF94" s="20"/>
      <c r="AG94" s="20">
        <f t="shared" si="26"/>
        <v>72</v>
      </c>
      <c r="AH94" s="21" t="s">
        <v>263</v>
      </c>
      <c r="AI94" s="22">
        <v>17.399999999999999</v>
      </c>
      <c r="AJ94" s="20">
        <f t="shared" si="19"/>
        <v>19.139999999999997</v>
      </c>
      <c r="AK94" s="20">
        <f t="shared" si="27"/>
        <v>20</v>
      </c>
      <c r="AL94" s="1">
        <f t="shared" si="28"/>
        <v>0</v>
      </c>
      <c r="AM94" s="20"/>
      <c r="AN94" s="20"/>
      <c r="AS94" s="1">
        <f t="shared" si="29"/>
        <v>72</v>
      </c>
      <c r="AT94" s="14" t="s">
        <v>263</v>
      </c>
      <c r="AU94" s="8">
        <v>20.2</v>
      </c>
      <c r="AV94" s="1">
        <f t="shared" si="20"/>
        <v>22.22</v>
      </c>
      <c r="AW94" s="1">
        <f t="shared" si="30"/>
        <v>20</v>
      </c>
      <c r="AX94" s="1">
        <f t="shared" si="31"/>
        <v>0</v>
      </c>
    </row>
    <row r="95" spans="8:50">
      <c r="H95" s="1">
        <f t="shared" si="21"/>
        <v>73</v>
      </c>
      <c r="I95" s="14" t="s">
        <v>263</v>
      </c>
      <c r="J95" s="127">
        <f>'Organized Input Output'!D90</f>
        <v>13.8</v>
      </c>
      <c r="K95" s="104">
        <f t="shared" si="22"/>
        <v>15.180000000000001</v>
      </c>
      <c r="L95" s="104">
        <f t="shared" si="32"/>
        <v>20</v>
      </c>
      <c r="M95" s="104">
        <f t="shared" si="17"/>
        <v>0.745</v>
      </c>
      <c r="T95" s="1">
        <f t="shared" si="23"/>
        <v>73</v>
      </c>
      <c r="U95" s="14" t="s">
        <v>263</v>
      </c>
      <c r="V95" s="8">
        <v>1</v>
      </c>
      <c r="W95" s="1">
        <f t="shared" si="18"/>
        <v>1.1000000000000001</v>
      </c>
      <c r="X95" s="1">
        <f t="shared" si="24"/>
        <v>20</v>
      </c>
      <c r="Y95" s="1">
        <f t="shared" si="25"/>
        <v>0</v>
      </c>
      <c r="AE95" s="20"/>
      <c r="AF95" s="20"/>
      <c r="AG95" s="20">
        <f t="shared" si="26"/>
        <v>73</v>
      </c>
      <c r="AH95" s="21" t="s">
        <v>263</v>
      </c>
      <c r="AI95" s="22">
        <v>0.6</v>
      </c>
      <c r="AJ95" s="20">
        <f t="shared" si="19"/>
        <v>0.65999999999999992</v>
      </c>
      <c r="AK95" s="20">
        <f t="shared" si="27"/>
        <v>19.914999999999999</v>
      </c>
      <c r="AL95" s="1">
        <f t="shared" si="28"/>
        <v>4.0750000000000011</v>
      </c>
      <c r="AM95" s="20"/>
      <c r="AN95" s="20"/>
      <c r="AS95" s="1">
        <f t="shared" si="29"/>
        <v>73</v>
      </c>
      <c r="AT95" s="14" t="s">
        <v>263</v>
      </c>
      <c r="AU95" s="8">
        <v>13.8</v>
      </c>
      <c r="AV95" s="1">
        <f t="shared" si="20"/>
        <v>15.180000000000001</v>
      </c>
      <c r="AW95" s="1">
        <f t="shared" si="30"/>
        <v>20</v>
      </c>
      <c r="AX95" s="1">
        <f t="shared" si="31"/>
        <v>0</v>
      </c>
    </row>
    <row r="96" spans="8:50">
      <c r="H96" s="1">
        <f t="shared" si="21"/>
        <v>74</v>
      </c>
      <c r="I96" s="14" t="s">
        <v>263</v>
      </c>
      <c r="J96" s="127">
        <f>'Organized Input Output'!D91</f>
        <v>22.8</v>
      </c>
      <c r="K96" s="104">
        <f t="shared" si="22"/>
        <v>25.080000000000002</v>
      </c>
      <c r="L96" s="104">
        <f t="shared" si="32"/>
        <v>20</v>
      </c>
      <c r="M96" s="104">
        <f t="shared" si="17"/>
        <v>0.745</v>
      </c>
      <c r="T96" s="1">
        <f t="shared" si="23"/>
        <v>74</v>
      </c>
      <c r="U96" s="14" t="s">
        <v>263</v>
      </c>
      <c r="V96" s="8">
        <v>0</v>
      </c>
      <c r="W96" s="1">
        <f t="shared" si="18"/>
        <v>0</v>
      </c>
      <c r="X96" s="1">
        <f t="shared" si="24"/>
        <v>19.254999999999999</v>
      </c>
      <c r="Y96" s="1">
        <f t="shared" si="25"/>
        <v>19.254999999999999</v>
      </c>
      <c r="AE96" s="20"/>
      <c r="AF96" s="20"/>
      <c r="AG96" s="20">
        <f t="shared" si="26"/>
        <v>74</v>
      </c>
      <c r="AH96" s="21" t="s">
        <v>263</v>
      </c>
      <c r="AI96" s="22">
        <v>0</v>
      </c>
      <c r="AJ96" s="20">
        <f t="shared" si="19"/>
        <v>0</v>
      </c>
      <c r="AK96" s="20">
        <f t="shared" si="27"/>
        <v>19.169999999999998</v>
      </c>
      <c r="AL96" s="1">
        <f t="shared" si="28"/>
        <v>19.169999999999998</v>
      </c>
      <c r="AM96" s="20"/>
      <c r="AN96" s="20"/>
      <c r="AS96" s="1">
        <f t="shared" si="29"/>
        <v>74</v>
      </c>
      <c r="AT96" s="14" t="s">
        <v>263</v>
      </c>
      <c r="AU96" s="8">
        <v>22.8</v>
      </c>
      <c r="AV96" s="1">
        <f t="shared" si="20"/>
        <v>25.080000000000002</v>
      </c>
      <c r="AW96" s="1">
        <f t="shared" si="30"/>
        <v>20</v>
      </c>
      <c r="AX96" s="1">
        <f t="shared" si="31"/>
        <v>0</v>
      </c>
    </row>
    <row r="97" spans="8:50">
      <c r="H97" s="1">
        <f t="shared" si="21"/>
        <v>75</v>
      </c>
      <c r="I97" s="14" t="s">
        <v>263</v>
      </c>
      <c r="J97" s="127">
        <f>'Organized Input Output'!D92</f>
        <v>5.4</v>
      </c>
      <c r="K97" s="104">
        <f t="shared" si="22"/>
        <v>5.94</v>
      </c>
      <c r="L97" s="104">
        <f t="shared" si="32"/>
        <v>20</v>
      </c>
      <c r="M97" s="104">
        <f t="shared" si="17"/>
        <v>0.745</v>
      </c>
      <c r="T97" s="1">
        <f t="shared" si="23"/>
        <v>75</v>
      </c>
      <c r="U97" s="14" t="s">
        <v>263</v>
      </c>
      <c r="V97" s="8">
        <v>0</v>
      </c>
      <c r="W97" s="1">
        <f t="shared" si="18"/>
        <v>0</v>
      </c>
      <c r="X97" s="1">
        <f t="shared" si="24"/>
        <v>18.509999999999998</v>
      </c>
      <c r="Y97" s="1">
        <f t="shared" si="25"/>
        <v>18.509999999999998</v>
      </c>
      <c r="AE97" s="20"/>
      <c r="AF97" s="20"/>
      <c r="AG97" s="20">
        <f t="shared" si="26"/>
        <v>75</v>
      </c>
      <c r="AH97" s="21" t="s">
        <v>263</v>
      </c>
      <c r="AI97" s="22">
        <v>0</v>
      </c>
      <c r="AJ97" s="20">
        <f t="shared" si="19"/>
        <v>0</v>
      </c>
      <c r="AK97" s="20">
        <f t="shared" si="27"/>
        <v>18.424999999999997</v>
      </c>
      <c r="AL97" s="1">
        <f t="shared" si="28"/>
        <v>18.424999999999997</v>
      </c>
      <c r="AM97" s="20"/>
      <c r="AN97" s="20"/>
      <c r="AS97" s="1">
        <f t="shared" si="29"/>
        <v>75</v>
      </c>
      <c r="AT97" s="14" t="s">
        <v>263</v>
      </c>
      <c r="AU97" s="8">
        <v>5.4</v>
      </c>
      <c r="AV97" s="1">
        <f t="shared" si="20"/>
        <v>5.94</v>
      </c>
      <c r="AW97" s="1">
        <f t="shared" si="30"/>
        <v>20</v>
      </c>
      <c r="AX97" s="1">
        <f t="shared" si="31"/>
        <v>0</v>
      </c>
    </row>
    <row r="98" spans="8:50">
      <c r="H98" s="1">
        <f t="shared" si="21"/>
        <v>76</v>
      </c>
      <c r="I98" s="14" t="s">
        <v>263</v>
      </c>
      <c r="J98" s="127">
        <f>'Organized Input Output'!D93</f>
        <v>0.4</v>
      </c>
      <c r="K98" s="104">
        <f t="shared" si="22"/>
        <v>0.44</v>
      </c>
      <c r="L98" s="104">
        <f t="shared" si="32"/>
        <v>19.695</v>
      </c>
      <c r="M98" s="104">
        <f t="shared" si="17"/>
        <v>0.745</v>
      </c>
      <c r="T98" s="1">
        <f t="shared" si="23"/>
        <v>76</v>
      </c>
      <c r="U98" s="14" t="s">
        <v>263</v>
      </c>
      <c r="V98" s="8">
        <v>0</v>
      </c>
      <c r="W98" s="1">
        <f t="shared" si="18"/>
        <v>0</v>
      </c>
      <c r="X98" s="1">
        <f t="shared" si="24"/>
        <v>17.764999999999997</v>
      </c>
      <c r="Y98" s="1">
        <f t="shared" si="25"/>
        <v>17.764999999999997</v>
      </c>
      <c r="AE98" s="20"/>
      <c r="AF98" s="20"/>
      <c r="AG98" s="20">
        <f t="shared" si="26"/>
        <v>76</v>
      </c>
      <c r="AH98" s="21" t="s">
        <v>263</v>
      </c>
      <c r="AI98" s="22">
        <v>0</v>
      </c>
      <c r="AJ98" s="20">
        <f t="shared" si="19"/>
        <v>0</v>
      </c>
      <c r="AK98" s="20">
        <f t="shared" si="27"/>
        <v>17.679999999999996</v>
      </c>
      <c r="AL98" s="1">
        <f t="shared" si="28"/>
        <v>17.679999999999996</v>
      </c>
      <c r="AM98" s="20"/>
      <c r="AN98" s="20"/>
      <c r="AS98" s="1">
        <f t="shared" si="29"/>
        <v>76</v>
      </c>
      <c r="AT98" s="14" t="s">
        <v>263</v>
      </c>
      <c r="AU98" s="8">
        <v>0.4</v>
      </c>
      <c r="AV98" s="1">
        <f t="shared" si="20"/>
        <v>0.44</v>
      </c>
      <c r="AW98" s="1">
        <f t="shared" si="30"/>
        <v>19.695</v>
      </c>
      <c r="AX98" s="1">
        <f t="shared" si="31"/>
        <v>9.1349999999999998</v>
      </c>
    </row>
    <row r="99" spans="8:50">
      <c r="H99" s="1">
        <f t="shared" si="21"/>
        <v>77</v>
      </c>
      <c r="I99" s="14" t="s">
        <v>263</v>
      </c>
      <c r="J99" s="127">
        <f>'Organized Input Output'!D94</f>
        <v>31</v>
      </c>
      <c r="K99" s="104">
        <f t="shared" si="22"/>
        <v>34.1</v>
      </c>
      <c r="L99" s="104">
        <f t="shared" si="32"/>
        <v>20</v>
      </c>
      <c r="M99" s="104">
        <f t="shared" si="17"/>
        <v>0.745</v>
      </c>
      <c r="T99" s="1">
        <f t="shared" si="23"/>
        <v>77</v>
      </c>
      <c r="U99" s="14" t="s">
        <v>263</v>
      </c>
      <c r="V99" s="8">
        <v>7.4</v>
      </c>
      <c r="W99" s="1">
        <f t="shared" si="18"/>
        <v>8.14</v>
      </c>
      <c r="X99" s="1">
        <f t="shared" si="24"/>
        <v>20</v>
      </c>
      <c r="Y99" s="1">
        <f t="shared" si="25"/>
        <v>0</v>
      </c>
      <c r="AE99" s="20"/>
      <c r="AF99" s="20"/>
      <c r="AG99" s="20">
        <f t="shared" si="26"/>
        <v>77</v>
      </c>
      <c r="AH99" s="21" t="s">
        <v>263</v>
      </c>
      <c r="AI99" s="22">
        <v>31</v>
      </c>
      <c r="AJ99" s="20">
        <f t="shared" si="19"/>
        <v>34.1</v>
      </c>
      <c r="AK99" s="20">
        <f t="shared" si="27"/>
        <v>20</v>
      </c>
      <c r="AL99" s="1">
        <f t="shared" si="28"/>
        <v>0</v>
      </c>
      <c r="AM99" s="20"/>
      <c r="AN99" s="20"/>
      <c r="AS99" s="1">
        <f t="shared" si="29"/>
        <v>77</v>
      </c>
      <c r="AT99" s="14" t="s">
        <v>263</v>
      </c>
      <c r="AU99" s="8">
        <v>31</v>
      </c>
      <c r="AV99" s="1">
        <f t="shared" si="20"/>
        <v>34.1</v>
      </c>
      <c r="AW99" s="1">
        <f t="shared" si="30"/>
        <v>20</v>
      </c>
      <c r="AX99" s="1">
        <f t="shared" si="31"/>
        <v>0</v>
      </c>
    </row>
    <row r="100" spans="8:50">
      <c r="H100" s="1">
        <f t="shared" si="21"/>
        <v>78</v>
      </c>
      <c r="I100" s="14" t="s">
        <v>263</v>
      </c>
      <c r="J100" s="127">
        <f>'Organized Input Output'!D95</f>
        <v>1.6</v>
      </c>
      <c r="K100" s="104">
        <f t="shared" si="22"/>
        <v>1.76</v>
      </c>
      <c r="L100" s="104">
        <f t="shared" si="32"/>
        <v>20</v>
      </c>
      <c r="M100" s="104">
        <f t="shared" si="17"/>
        <v>0.745</v>
      </c>
      <c r="T100" s="1">
        <f t="shared" si="23"/>
        <v>78</v>
      </c>
      <c r="U100" s="14" t="s">
        <v>263</v>
      </c>
      <c r="V100" s="8">
        <v>10</v>
      </c>
      <c r="W100" s="1">
        <f t="shared" si="18"/>
        <v>11</v>
      </c>
      <c r="X100" s="1">
        <f t="shared" si="24"/>
        <v>20</v>
      </c>
      <c r="Y100" s="1">
        <f t="shared" si="25"/>
        <v>0</v>
      </c>
      <c r="AE100" s="20"/>
      <c r="AF100" s="20"/>
      <c r="AG100" s="20">
        <f t="shared" si="26"/>
        <v>78</v>
      </c>
      <c r="AH100" s="21" t="s">
        <v>263</v>
      </c>
      <c r="AI100" s="22">
        <v>35.4</v>
      </c>
      <c r="AJ100" s="20">
        <f t="shared" si="19"/>
        <v>38.94</v>
      </c>
      <c r="AK100" s="20">
        <f t="shared" si="27"/>
        <v>20</v>
      </c>
      <c r="AL100" s="1">
        <f t="shared" si="28"/>
        <v>0</v>
      </c>
      <c r="AM100" s="20"/>
      <c r="AN100" s="20"/>
      <c r="AS100" s="1">
        <f t="shared" si="29"/>
        <v>78</v>
      </c>
      <c r="AT100" s="14" t="s">
        <v>263</v>
      </c>
      <c r="AU100" s="8">
        <v>1.6</v>
      </c>
      <c r="AV100" s="1">
        <f t="shared" si="20"/>
        <v>1.76</v>
      </c>
      <c r="AW100" s="1">
        <f t="shared" si="30"/>
        <v>20</v>
      </c>
      <c r="AX100" s="1">
        <f t="shared" si="31"/>
        <v>0</v>
      </c>
    </row>
    <row r="101" spans="8:50">
      <c r="H101" s="1">
        <f t="shared" si="21"/>
        <v>79</v>
      </c>
      <c r="I101" s="14" t="s">
        <v>263</v>
      </c>
      <c r="J101" s="127">
        <f>'Organized Input Output'!D96</f>
        <v>1.6</v>
      </c>
      <c r="K101" s="104">
        <f t="shared" si="22"/>
        <v>1.76</v>
      </c>
      <c r="L101" s="104">
        <f t="shared" si="32"/>
        <v>20</v>
      </c>
      <c r="M101" s="104">
        <f t="shared" si="17"/>
        <v>0.745</v>
      </c>
      <c r="T101" s="1">
        <f t="shared" si="23"/>
        <v>79</v>
      </c>
      <c r="U101" s="14" t="s">
        <v>263</v>
      </c>
      <c r="V101" s="8">
        <v>15.2</v>
      </c>
      <c r="W101" s="1">
        <f t="shared" si="18"/>
        <v>16.72</v>
      </c>
      <c r="X101" s="1">
        <f t="shared" si="24"/>
        <v>20</v>
      </c>
      <c r="Y101" s="1">
        <f t="shared" si="25"/>
        <v>0</v>
      </c>
      <c r="AE101" s="20"/>
      <c r="AF101" s="20"/>
      <c r="AG101" s="20">
        <f t="shared" si="26"/>
        <v>79</v>
      </c>
      <c r="AH101" s="21" t="s">
        <v>263</v>
      </c>
      <c r="AI101" s="22">
        <v>28.6</v>
      </c>
      <c r="AJ101" s="20">
        <f t="shared" si="19"/>
        <v>31.46</v>
      </c>
      <c r="AK101" s="20">
        <f t="shared" si="27"/>
        <v>20</v>
      </c>
      <c r="AL101" s="1">
        <f t="shared" si="28"/>
        <v>0</v>
      </c>
      <c r="AM101" s="20"/>
      <c r="AN101" s="20"/>
      <c r="AS101" s="1">
        <f t="shared" si="29"/>
        <v>79</v>
      </c>
      <c r="AT101" s="14" t="s">
        <v>263</v>
      </c>
      <c r="AU101" s="8">
        <v>1.6</v>
      </c>
      <c r="AV101" s="1">
        <f t="shared" si="20"/>
        <v>1.76</v>
      </c>
      <c r="AW101" s="1">
        <f t="shared" si="30"/>
        <v>20</v>
      </c>
      <c r="AX101" s="1">
        <f t="shared" si="31"/>
        <v>0</v>
      </c>
    </row>
    <row r="102" spans="8:50">
      <c r="H102" s="1">
        <f t="shared" si="21"/>
        <v>80</v>
      </c>
      <c r="I102" s="14" t="s">
        <v>263</v>
      </c>
      <c r="J102" s="127">
        <f>'Organized Input Output'!D97</f>
        <v>7.6</v>
      </c>
      <c r="K102" s="104">
        <f t="shared" si="22"/>
        <v>8.36</v>
      </c>
      <c r="L102" s="104">
        <f t="shared" si="32"/>
        <v>20</v>
      </c>
      <c r="M102" s="104">
        <f t="shared" si="17"/>
        <v>0.745</v>
      </c>
      <c r="T102" s="1">
        <f t="shared" si="23"/>
        <v>80</v>
      </c>
      <c r="U102" s="14" t="s">
        <v>263</v>
      </c>
      <c r="V102" s="8">
        <v>0.2</v>
      </c>
      <c r="W102" s="1">
        <f t="shared" si="18"/>
        <v>0.22</v>
      </c>
      <c r="X102" s="1">
        <f t="shared" si="24"/>
        <v>19.474999999999998</v>
      </c>
      <c r="Y102" s="1">
        <f t="shared" si="25"/>
        <v>14.194999999999997</v>
      </c>
      <c r="AE102" s="20"/>
      <c r="AF102" s="20"/>
      <c r="AG102" s="20">
        <f t="shared" si="26"/>
        <v>80</v>
      </c>
      <c r="AH102" s="21" t="s">
        <v>263</v>
      </c>
      <c r="AI102" s="22">
        <v>0</v>
      </c>
      <c r="AJ102" s="20">
        <f t="shared" si="19"/>
        <v>0</v>
      </c>
      <c r="AK102" s="20">
        <f t="shared" si="27"/>
        <v>19.254999999999999</v>
      </c>
      <c r="AL102" s="1">
        <f t="shared" si="28"/>
        <v>19.254999999999999</v>
      </c>
      <c r="AM102" s="20"/>
      <c r="AN102" s="20"/>
      <c r="AS102" s="1">
        <f t="shared" si="29"/>
        <v>80</v>
      </c>
      <c r="AT102" s="14" t="s">
        <v>263</v>
      </c>
      <c r="AU102" s="8">
        <v>7.6</v>
      </c>
      <c r="AV102" s="1">
        <f t="shared" si="20"/>
        <v>8.36</v>
      </c>
      <c r="AW102" s="1">
        <f t="shared" si="30"/>
        <v>20</v>
      </c>
      <c r="AX102" s="1">
        <f t="shared" si="31"/>
        <v>0</v>
      </c>
    </row>
    <row r="103" spans="8:50">
      <c r="H103" s="1">
        <f t="shared" si="21"/>
        <v>81</v>
      </c>
      <c r="I103" s="14" t="s">
        <v>263</v>
      </c>
      <c r="J103" s="127">
        <f>'Organized Input Output'!D98</f>
        <v>2.6</v>
      </c>
      <c r="K103" s="104">
        <f t="shared" si="22"/>
        <v>2.86</v>
      </c>
      <c r="L103" s="104">
        <f t="shared" si="32"/>
        <v>20</v>
      </c>
      <c r="M103" s="104">
        <f t="shared" si="17"/>
        <v>0.745</v>
      </c>
      <c r="T103" s="1">
        <f t="shared" si="23"/>
        <v>81</v>
      </c>
      <c r="U103" s="14" t="s">
        <v>263</v>
      </c>
      <c r="V103" s="8">
        <v>4.4000000000000004</v>
      </c>
      <c r="W103" s="1">
        <f t="shared" si="18"/>
        <v>4.84</v>
      </c>
      <c r="X103" s="1">
        <f t="shared" si="24"/>
        <v>20</v>
      </c>
      <c r="Y103" s="1">
        <f t="shared" si="25"/>
        <v>0</v>
      </c>
      <c r="AE103" s="20"/>
      <c r="AF103" s="20"/>
      <c r="AG103" s="20">
        <f t="shared" si="26"/>
        <v>81</v>
      </c>
      <c r="AH103" s="21" t="s">
        <v>263</v>
      </c>
      <c r="AI103" s="22">
        <v>7</v>
      </c>
      <c r="AJ103" s="20">
        <f t="shared" si="19"/>
        <v>7.7</v>
      </c>
      <c r="AK103" s="20">
        <f t="shared" si="27"/>
        <v>20</v>
      </c>
      <c r="AL103" s="1">
        <f t="shared" si="28"/>
        <v>0</v>
      </c>
      <c r="AM103" s="20"/>
      <c r="AN103" s="20"/>
      <c r="AS103" s="1">
        <f t="shared" si="29"/>
        <v>81</v>
      </c>
      <c r="AT103" s="14" t="s">
        <v>263</v>
      </c>
      <c r="AU103" s="8">
        <v>2.6</v>
      </c>
      <c r="AV103" s="1">
        <f t="shared" si="20"/>
        <v>2.86</v>
      </c>
      <c r="AW103" s="1">
        <f t="shared" si="30"/>
        <v>20</v>
      </c>
      <c r="AX103" s="1">
        <f t="shared" si="31"/>
        <v>0</v>
      </c>
    </row>
    <row r="104" spans="8:50">
      <c r="H104" s="1">
        <f t="shared" si="21"/>
        <v>82</v>
      </c>
      <c r="I104" s="14" t="s">
        <v>263</v>
      </c>
      <c r="J104" s="127">
        <f>'Organized Input Output'!D99</f>
        <v>0</v>
      </c>
      <c r="K104" s="104">
        <f t="shared" si="22"/>
        <v>0</v>
      </c>
      <c r="L104" s="104">
        <f t="shared" si="32"/>
        <v>19.254999999999999</v>
      </c>
      <c r="M104" s="104">
        <f t="shared" si="17"/>
        <v>0.745</v>
      </c>
      <c r="T104" s="1">
        <f t="shared" si="23"/>
        <v>82</v>
      </c>
      <c r="U104" s="14" t="s">
        <v>263</v>
      </c>
      <c r="V104" s="8">
        <v>8.1999999999999993</v>
      </c>
      <c r="W104" s="1">
        <f t="shared" si="18"/>
        <v>9.02</v>
      </c>
      <c r="X104" s="1">
        <f t="shared" si="24"/>
        <v>20</v>
      </c>
      <c r="Y104" s="1">
        <f t="shared" si="25"/>
        <v>0</v>
      </c>
      <c r="AE104" s="20"/>
      <c r="AF104" s="20"/>
      <c r="AG104" s="20">
        <f t="shared" si="26"/>
        <v>82</v>
      </c>
      <c r="AH104" s="21" t="s">
        <v>263</v>
      </c>
      <c r="AI104" s="22">
        <v>9.6</v>
      </c>
      <c r="AJ104" s="20">
        <f t="shared" si="19"/>
        <v>10.559999999999999</v>
      </c>
      <c r="AK104" s="20">
        <f t="shared" si="27"/>
        <v>20</v>
      </c>
      <c r="AL104" s="1">
        <f t="shared" si="28"/>
        <v>0</v>
      </c>
      <c r="AM104" s="20"/>
      <c r="AN104" s="20"/>
      <c r="AS104" s="1">
        <f t="shared" si="29"/>
        <v>82</v>
      </c>
      <c r="AT104" s="14" t="s">
        <v>263</v>
      </c>
      <c r="AU104" s="8">
        <v>0</v>
      </c>
      <c r="AV104" s="1">
        <f t="shared" si="20"/>
        <v>0</v>
      </c>
      <c r="AW104" s="1">
        <f t="shared" si="30"/>
        <v>19.254999999999999</v>
      </c>
      <c r="AX104" s="1">
        <f t="shared" si="31"/>
        <v>19.254999999999999</v>
      </c>
    </row>
    <row r="105" spans="8:50">
      <c r="H105" s="1">
        <f t="shared" si="21"/>
        <v>83</v>
      </c>
      <c r="I105" s="14" t="s">
        <v>263</v>
      </c>
      <c r="J105" s="127">
        <f>'Organized Input Output'!D100</f>
        <v>4</v>
      </c>
      <c r="K105" s="104">
        <f t="shared" si="22"/>
        <v>4.4000000000000004</v>
      </c>
      <c r="L105" s="104">
        <f t="shared" si="32"/>
        <v>20</v>
      </c>
      <c r="M105" s="104">
        <f t="shared" si="17"/>
        <v>0.745</v>
      </c>
      <c r="T105" s="1">
        <f t="shared" si="23"/>
        <v>83</v>
      </c>
      <c r="U105" s="14" t="s">
        <v>263</v>
      </c>
      <c r="V105" s="8">
        <v>11.8</v>
      </c>
      <c r="W105" s="1">
        <f t="shared" si="18"/>
        <v>12.980000000000002</v>
      </c>
      <c r="X105" s="1">
        <f t="shared" si="24"/>
        <v>20</v>
      </c>
      <c r="Y105" s="1">
        <f t="shared" si="25"/>
        <v>0</v>
      </c>
      <c r="AE105" s="20"/>
      <c r="AF105" s="20"/>
      <c r="AG105" s="20">
        <f t="shared" si="26"/>
        <v>83</v>
      </c>
      <c r="AH105" s="21" t="s">
        <v>263</v>
      </c>
      <c r="AI105" s="22">
        <v>18.2</v>
      </c>
      <c r="AJ105" s="20">
        <f t="shared" si="19"/>
        <v>20.02</v>
      </c>
      <c r="AK105" s="20">
        <f t="shared" si="27"/>
        <v>20</v>
      </c>
      <c r="AL105" s="1">
        <f t="shared" si="28"/>
        <v>0</v>
      </c>
      <c r="AM105" s="20"/>
      <c r="AN105" s="20"/>
      <c r="AS105" s="1">
        <f t="shared" si="29"/>
        <v>83</v>
      </c>
      <c r="AT105" s="14" t="s">
        <v>263</v>
      </c>
      <c r="AU105" s="8">
        <v>4</v>
      </c>
      <c r="AV105" s="1">
        <f t="shared" si="20"/>
        <v>4.4000000000000004</v>
      </c>
      <c r="AW105" s="1">
        <f t="shared" si="30"/>
        <v>20</v>
      </c>
      <c r="AX105" s="1">
        <f t="shared" si="31"/>
        <v>0</v>
      </c>
    </row>
    <row r="106" spans="8:50">
      <c r="H106" s="1">
        <f t="shared" si="21"/>
        <v>84</v>
      </c>
      <c r="I106" s="14" t="s">
        <v>263</v>
      </c>
      <c r="J106" s="127">
        <f>'Organized Input Output'!D101</f>
        <v>31</v>
      </c>
      <c r="K106" s="104">
        <f t="shared" si="22"/>
        <v>34.1</v>
      </c>
      <c r="L106" s="104">
        <f t="shared" si="32"/>
        <v>20</v>
      </c>
      <c r="M106" s="104">
        <f t="shared" si="17"/>
        <v>0.745</v>
      </c>
      <c r="T106" s="1">
        <f t="shared" si="23"/>
        <v>84</v>
      </c>
      <c r="U106" s="14" t="s">
        <v>263</v>
      </c>
      <c r="V106" s="8">
        <v>5.4</v>
      </c>
      <c r="W106" s="1">
        <f t="shared" si="18"/>
        <v>5.94</v>
      </c>
      <c r="X106" s="1">
        <f t="shared" si="24"/>
        <v>20</v>
      </c>
      <c r="Y106" s="1">
        <f t="shared" si="25"/>
        <v>0</v>
      </c>
      <c r="AE106" s="20"/>
      <c r="AF106" s="20"/>
      <c r="AG106" s="20">
        <f t="shared" si="26"/>
        <v>84</v>
      </c>
      <c r="AH106" s="21" t="s">
        <v>263</v>
      </c>
      <c r="AI106" s="22">
        <v>104.4</v>
      </c>
      <c r="AJ106" s="20">
        <f t="shared" si="19"/>
        <v>114.84</v>
      </c>
      <c r="AK106" s="20">
        <f t="shared" si="27"/>
        <v>20</v>
      </c>
      <c r="AL106" s="1">
        <f t="shared" si="28"/>
        <v>0</v>
      </c>
      <c r="AM106" s="20"/>
      <c r="AN106" s="20"/>
      <c r="AS106" s="1">
        <f t="shared" si="29"/>
        <v>84</v>
      </c>
      <c r="AT106" s="14" t="s">
        <v>263</v>
      </c>
      <c r="AU106" s="8">
        <v>31</v>
      </c>
      <c r="AV106" s="1">
        <f t="shared" si="20"/>
        <v>34.1</v>
      </c>
      <c r="AW106" s="1">
        <f t="shared" si="30"/>
        <v>20</v>
      </c>
      <c r="AX106" s="1">
        <f t="shared" si="31"/>
        <v>0</v>
      </c>
    </row>
    <row r="107" spans="8:50">
      <c r="H107" s="1">
        <f t="shared" si="21"/>
        <v>85</v>
      </c>
      <c r="I107" s="14" t="s">
        <v>263</v>
      </c>
      <c r="J107" s="127">
        <f>'Organized Input Output'!D102</f>
        <v>0.2</v>
      </c>
      <c r="K107" s="104">
        <f t="shared" si="22"/>
        <v>0.22</v>
      </c>
      <c r="L107" s="104">
        <f t="shared" si="32"/>
        <v>19.474999999999998</v>
      </c>
      <c r="M107" s="104">
        <f t="shared" si="17"/>
        <v>0.745</v>
      </c>
      <c r="T107" s="1">
        <f t="shared" si="23"/>
        <v>85</v>
      </c>
      <c r="U107" s="14" t="s">
        <v>263</v>
      </c>
      <c r="V107" s="8">
        <v>0</v>
      </c>
      <c r="W107" s="1">
        <f t="shared" si="18"/>
        <v>0</v>
      </c>
      <c r="X107" s="1">
        <f t="shared" si="24"/>
        <v>19.254999999999999</v>
      </c>
      <c r="Y107" s="1">
        <f t="shared" si="25"/>
        <v>19.254999999999999</v>
      </c>
      <c r="AE107" s="20"/>
      <c r="AF107" s="20"/>
      <c r="AG107" s="20">
        <f t="shared" si="26"/>
        <v>85</v>
      </c>
      <c r="AH107" s="21" t="s">
        <v>263</v>
      </c>
      <c r="AI107" s="22">
        <v>33.200000000000003</v>
      </c>
      <c r="AJ107" s="20">
        <f t="shared" si="19"/>
        <v>36.520000000000003</v>
      </c>
      <c r="AK107" s="20">
        <f t="shared" si="27"/>
        <v>20</v>
      </c>
      <c r="AL107" s="1">
        <f t="shared" si="28"/>
        <v>0</v>
      </c>
      <c r="AM107" s="20"/>
      <c r="AN107" s="20"/>
      <c r="AS107" s="1">
        <f t="shared" si="29"/>
        <v>85</v>
      </c>
      <c r="AT107" s="14" t="s">
        <v>263</v>
      </c>
      <c r="AU107" s="8">
        <v>0.2</v>
      </c>
      <c r="AV107" s="1">
        <f t="shared" si="20"/>
        <v>0.22</v>
      </c>
      <c r="AW107" s="1">
        <f t="shared" si="30"/>
        <v>19.474999999999998</v>
      </c>
      <c r="AX107" s="1">
        <f t="shared" si="31"/>
        <v>14.194999999999997</v>
      </c>
    </row>
    <row r="108" spans="8:50">
      <c r="H108" s="1">
        <f t="shared" si="21"/>
        <v>86</v>
      </c>
      <c r="I108" s="14" t="s">
        <v>263</v>
      </c>
      <c r="J108" s="127">
        <f>'Organized Input Output'!D103</f>
        <v>4.4000000000000004</v>
      </c>
      <c r="K108" s="104">
        <f t="shared" si="22"/>
        <v>4.84</v>
      </c>
      <c r="L108" s="104">
        <f t="shared" si="32"/>
        <v>20</v>
      </c>
      <c r="M108" s="104">
        <f t="shared" si="17"/>
        <v>0.745</v>
      </c>
      <c r="T108" s="1">
        <f t="shared" si="23"/>
        <v>86</v>
      </c>
      <c r="U108" s="14" t="s">
        <v>263</v>
      </c>
      <c r="V108" s="8">
        <v>12.8</v>
      </c>
      <c r="W108" s="1">
        <f t="shared" si="18"/>
        <v>14.08</v>
      </c>
      <c r="X108" s="1">
        <f t="shared" si="24"/>
        <v>20</v>
      </c>
      <c r="Y108" s="1">
        <f t="shared" si="25"/>
        <v>0</v>
      </c>
      <c r="AE108" s="20"/>
      <c r="AF108" s="20"/>
      <c r="AG108" s="20">
        <f t="shared" si="26"/>
        <v>86</v>
      </c>
      <c r="AH108" s="21" t="s">
        <v>263</v>
      </c>
      <c r="AI108" s="22">
        <v>26.2</v>
      </c>
      <c r="AJ108" s="20">
        <f t="shared" si="19"/>
        <v>28.819999999999997</v>
      </c>
      <c r="AK108" s="20">
        <f t="shared" si="27"/>
        <v>20</v>
      </c>
      <c r="AL108" s="1">
        <f t="shared" si="28"/>
        <v>0</v>
      </c>
      <c r="AM108" s="20"/>
      <c r="AN108" s="20"/>
      <c r="AS108" s="1">
        <f t="shared" si="29"/>
        <v>86</v>
      </c>
      <c r="AT108" s="14" t="s">
        <v>263</v>
      </c>
      <c r="AU108" s="8">
        <v>4.4000000000000004</v>
      </c>
      <c r="AV108" s="1">
        <f t="shared" si="20"/>
        <v>4.84</v>
      </c>
      <c r="AW108" s="1">
        <f t="shared" si="30"/>
        <v>20</v>
      </c>
      <c r="AX108" s="1">
        <f t="shared" si="31"/>
        <v>0</v>
      </c>
    </row>
    <row r="109" spans="8:50">
      <c r="H109" s="1">
        <f t="shared" si="21"/>
        <v>87</v>
      </c>
      <c r="I109" s="14" t="s">
        <v>263</v>
      </c>
      <c r="J109" s="127">
        <f>'Organized Input Output'!D104</f>
        <v>23.6</v>
      </c>
      <c r="K109" s="104">
        <f t="shared" si="22"/>
        <v>25.960000000000004</v>
      </c>
      <c r="L109" s="104">
        <f t="shared" si="32"/>
        <v>20</v>
      </c>
      <c r="M109" s="104">
        <f t="shared" si="17"/>
        <v>0.745</v>
      </c>
      <c r="T109" s="1">
        <f t="shared" si="23"/>
        <v>87</v>
      </c>
      <c r="U109" s="14" t="s">
        <v>263</v>
      </c>
      <c r="V109" s="8">
        <v>4.5999999999999996</v>
      </c>
      <c r="W109" s="1">
        <f t="shared" si="18"/>
        <v>5.0599999999999996</v>
      </c>
      <c r="X109" s="1">
        <f t="shared" si="24"/>
        <v>20</v>
      </c>
      <c r="Y109" s="1">
        <f t="shared" si="25"/>
        <v>0</v>
      </c>
      <c r="AG109" s="1">
        <f t="shared" si="26"/>
        <v>87</v>
      </c>
      <c r="AH109" s="14" t="s">
        <v>263</v>
      </c>
      <c r="AI109" s="8">
        <v>68.8</v>
      </c>
      <c r="AJ109" s="1">
        <f t="shared" si="19"/>
        <v>75.680000000000007</v>
      </c>
      <c r="AK109" s="1">
        <f t="shared" si="27"/>
        <v>20</v>
      </c>
      <c r="AL109" s="1">
        <f t="shared" si="28"/>
        <v>0</v>
      </c>
      <c r="AS109" s="1">
        <f t="shared" si="29"/>
        <v>87</v>
      </c>
      <c r="AT109" s="14" t="s">
        <v>263</v>
      </c>
      <c r="AU109" s="8">
        <v>23.6</v>
      </c>
      <c r="AV109" s="1">
        <f t="shared" si="20"/>
        <v>25.960000000000004</v>
      </c>
      <c r="AW109" s="1">
        <f t="shared" si="30"/>
        <v>20</v>
      </c>
      <c r="AX109" s="1">
        <f t="shared" si="31"/>
        <v>0</v>
      </c>
    </row>
    <row r="110" spans="8:50">
      <c r="H110" s="1">
        <f t="shared" si="21"/>
        <v>88</v>
      </c>
      <c r="I110" s="14" t="s">
        <v>263</v>
      </c>
      <c r="J110" s="127">
        <f>'Organized Input Output'!D105</f>
        <v>41.6</v>
      </c>
      <c r="K110" s="104">
        <f t="shared" si="22"/>
        <v>45.76</v>
      </c>
      <c r="L110" s="104">
        <f t="shared" si="32"/>
        <v>20</v>
      </c>
      <c r="M110" s="104">
        <f t="shared" si="17"/>
        <v>0.745</v>
      </c>
      <c r="T110" s="1">
        <f t="shared" si="23"/>
        <v>88</v>
      </c>
      <c r="U110" s="14" t="s">
        <v>263</v>
      </c>
      <c r="V110" s="8">
        <v>11.8</v>
      </c>
      <c r="W110" s="1">
        <f t="shared" si="18"/>
        <v>12.980000000000002</v>
      </c>
      <c r="X110" s="1">
        <f t="shared" si="24"/>
        <v>20</v>
      </c>
      <c r="Y110" s="1">
        <f t="shared" si="25"/>
        <v>0</v>
      </c>
      <c r="AG110" s="1">
        <f t="shared" si="26"/>
        <v>88</v>
      </c>
      <c r="AH110" s="14" t="s">
        <v>263</v>
      </c>
      <c r="AI110" s="8">
        <v>10</v>
      </c>
      <c r="AJ110" s="1">
        <f t="shared" si="19"/>
        <v>11</v>
      </c>
      <c r="AK110" s="1">
        <f t="shared" si="27"/>
        <v>20</v>
      </c>
      <c r="AL110" s="1">
        <f t="shared" si="28"/>
        <v>0</v>
      </c>
      <c r="AS110" s="1">
        <f t="shared" si="29"/>
        <v>88</v>
      </c>
      <c r="AT110" s="14" t="s">
        <v>263</v>
      </c>
      <c r="AU110" s="8">
        <v>41.6</v>
      </c>
      <c r="AV110" s="1">
        <f t="shared" si="20"/>
        <v>45.76</v>
      </c>
      <c r="AW110" s="1">
        <f t="shared" si="30"/>
        <v>20</v>
      </c>
      <c r="AX110" s="1">
        <f t="shared" si="31"/>
        <v>0</v>
      </c>
    </row>
    <row r="111" spans="8:50">
      <c r="H111" s="1">
        <f t="shared" si="21"/>
        <v>89</v>
      </c>
      <c r="I111" s="14" t="s">
        <v>263</v>
      </c>
      <c r="J111" s="127">
        <f>'Organized Input Output'!D106</f>
        <v>3</v>
      </c>
      <c r="K111" s="104">
        <f t="shared" si="22"/>
        <v>3.3000000000000003</v>
      </c>
      <c r="L111" s="104">
        <f t="shared" si="32"/>
        <v>20</v>
      </c>
      <c r="M111" s="104">
        <f t="shared" si="17"/>
        <v>0.745</v>
      </c>
      <c r="T111" s="1">
        <f t="shared" si="23"/>
        <v>89</v>
      </c>
      <c r="U111" s="14" t="s">
        <v>263</v>
      </c>
      <c r="V111" s="8">
        <v>22</v>
      </c>
      <c r="W111" s="1">
        <f t="shared" si="18"/>
        <v>24.2</v>
      </c>
      <c r="X111" s="1">
        <f t="shared" si="24"/>
        <v>20</v>
      </c>
      <c r="Y111" s="1">
        <f t="shared" si="25"/>
        <v>0</v>
      </c>
      <c r="AG111" s="1">
        <f t="shared" si="26"/>
        <v>89</v>
      </c>
      <c r="AH111" s="14" t="s">
        <v>263</v>
      </c>
      <c r="AI111" s="8">
        <v>37.700000000000003</v>
      </c>
      <c r="AJ111" s="1">
        <f t="shared" si="19"/>
        <v>41.470000000000006</v>
      </c>
      <c r="AK111" s="1">
        <f t="shared" si="27"/>
        <v>20</v>
      </c>
      <c r="AL111" s="1">
        <f t="shared" si="28"/>
        <v>0</v>
      </c>
      <c r="AS111" s="1">
        <f t="shared" si="29"/>
        <v>89</v>
      </c>
      <c r="AT111" s="14" t="s">
        <v>263</v>
      </c>
      <c r="AU111" s="8">
        <v>3</v>
      </c>
      <c r="AV111" s="1">
        <f t="shared" si="20"/>
        <v>3.3000000000000003</v>
      </c>
      <c r="AW111" s="1">
        <f t="shared" si="30"/>
        <v>20</v>
      </c>
      <c r="AX111" s="1">
        <f t="shared" si="31"/>
        <v>0</v>
      </c>
    </row>
    <row r="112" spans="8:50">
      <c r="H112" s="1">
        <f t="shared" si="21"/>
        <v>90</v>
      </c>
      <c r="I112" s="14" t="s">
        <v>263</v>
      </c>
      <c r="J112" s="127">
        <f>'Organized Input Output'!D107</f>
        <v>0</v>
      </c>
      <c r="K112" s="104">
        <f t="shared" si="22"/>
        <v>0</v>
      </c>
      <c r="L112" s="104">
        <f t="shared" si="32"/>
        <v>19.254999999999999</v>
      </c>
      <c r="M112" s="104">
        <f t="shared" si="17"/>
        <v>0.745</v>
      </c>
      <c r="T112" s="1">
        <f t="shared" si="23"/>
        <v>90</v>
      </c>
      <c r="U112" s="14" t="s">
        <v>263</v>
      </c>
      <c r="V112" s="8">
        <v>2</v>
      </c>
      <c r="W112" s="1">
        <f t="shared" si="18"/>
        <v>2.2000000000000002</v>
      </c>
      <c r="X112" s="1">
        <f t="shared" si="24"/>
        <v>20</v>
      </c>
      <c r="Y112" s="1">
        <f t="shared" si="25"/>
        <v>0</v>
      </c>
      <c r="AG112" s="1">
        <f t="shared" si="26"/>
        <v>90</v>
      </c>
      <c r="AH112" s="14" t="s">
        <v>263</v>
      </c>
      <c r="AI112" s="8">
        <v>11.6</v>
      </c>
      <c r="AJ112" s="1">
        <f t="shared" si="19"/>
        <v>12.76</v>
      </c>
      <c r="AK112" s="1">
        <f t="shared" si="27"/>
        <v>20</v>
      </c>
      <c r="AL112" s="1">
        <f t="shared" si="28"/>
        <v>0</v>
      </c>
      <c r="AS112" s="1">
        <f t="shared" si="29"/>
        <v>90</v>
      </c>
      <c r="AT112" s="14" t="s">
        <v>263</v>
      </c>
      <c r="AU112" s="8">
        <v>0</v>
      </c>
      <c r="AV112" s="1">
        <f t="shared" si="20"/>
        <v>0</v>
      </c>
      <c r="AW112" s="1">
        <f t="shared" si="30"/>
        <v>19.254999999999999</v>
      </c>
      <c r="AX112" s="1">
        <f t="shared" si="31"/>
        <v>19.254999999999999</v>
      </c>
    </row>
    <row r="113" spans="8:50">
      <c r="H113" s="1">
        <f t="shared" si="21"/>
        <v>91</v>
      </c>
      <c r="I113" s="14" t="s">
        <v>264</v>
      </c>
      <c r="J113" s="127">
        <f>'Organized Input Output'!D108</f>
        <v>0</v>
      </c>
      <c r="K113" s="104">
        <f t="shared" si="22"/>
        <v>0</v>
      </c>
      <c r="L113" s="104">
        <f t="shared" si="32"/>
        <v>18.509999999999998</v>
      </c>
      <c r="M113" s="104">
        <f t="shared" si="17"/>
        <v>0.745</v>
      </c>
      <c r="T113" s="1">
        <f t="shared" si="23"/>
        <v>91</v>
      </c>
      <c r="U113" s="14" t="s">
        <v>264</v>
      </c>
      <c r="V113" s="8">
        <v>0</v>
      </c>
      <c r="W113" s="1">
        <f t="shared" si="18"/>
        <v>0</v>
      </c>
      <c r="X113" s="1">
        <f t="shared" si="24"/>
        <v>19.254999999999999</v>
      </c>
      <c r="Y113" s="1">
        <f t="shared" si="25"/>
        <v>19.254999999999999</v>
      </c>
      <c r="AG113" s="1">
        <f t="shared" si="26"/>
        <v>91</v>
      </c>
      <c r="AH113" s="14" t="s">
        <v>264</v>
      </c>
      <c r="AI113" s="8">
        <v>0</v>
      </c>
      <c r="AJ113" s="1">
        <f t="shared" si="19"/>
        <v>0</v>
      </c>
      <c r="AK113" s="1">
        <f t="shared" si="27"/>
        <v>19.254999999999999</v>
      </c>
      <c r="AL113" s="1">
        <f t="shared" si="28"/>
        <v>19.254999999999999</v>
      </c>
      <c r="AS113" s="1">
        <f t="shared" si="29"/>
        <v>91</v>
      </c>
      <c r="AT113" s="14" t="s">
        <v>264</v>
      </c>
      <c r="AU113" s="8">
        <v>0</v>
      </c>
      <c r="AV113" s="1">
        <f t="shared" si="20"/>
        <v>0</v>
      </c>
      <c r="AW113" s="1">
        <f t="shared" si="30"/>
        <v>18.509999999999998</v>
      </c>
      <c r="AX113" s="1">
        <f t="shared" si="31"/>
        <v>18.509999999999998</v>
      </c>
    </row>
    <row r="114" spans="8:50">
      <c r="H114" s="1">
        <f t="shared" si="21"/>
        <v>92</v>
      </c>
      <c r="I114" s="14" t="s">
        <v>264</v>
      </c>
      <c r="J114" s="127">
        <f>'Organized Input Output'!D109</f>
        <v>5.6</v>
      </c>
      <c r="K114" s="104">
        <f t="shared" si="22"/>
        <v>6.16</v>
      </c>
      <c r="L114" s="104">
        <f t="shared" si="32"/>
        <v>20</v>
      </c>
      <c r="M114" s="104">
        <f t="shared" si="17"/>
        <v>0.745</v>
      </c>
      <c r="T114" s="1">
        <f t="shared" si="23"/>
        <v>92</v>
      </c>
      <c r="U114" s="14" t="s">
        <v>264</v>
      </c>
      <c r="V114" s="8">
        <v>0.4</v>
      </c>
      <c r="W114" s="1">
        <f t="shared" si="18"/>
        <v>0.44</v>
      </c>
      <c r="X114" s="1">
        <f t="shared" si="24"/>
        <v>18.95</v>
      </c>
      <c r="Y114" s="1">
        <f t="shared" si="25"/>
        <v>8.3899999999999988</v>
      </c>
      <c r="AG114" s="1">
        <f t="shared" si="26"/>
        <v>92</v>
      </c>
      <c r="AH114" s="14" t="s">
        <v>264</v>
      </c>
      <c r="AI114" s="8">
        <v>33.700000000000003</v>
      </c>
      <c r="AJ114" s="1">
        <f t="shared" si="19"/>
        <v>37.07</v>
      </c>
      <c r="AK114" s="1">
        <f t="shared" si="27"/>
        <v>20</v>
      </c>
      <c r="AL114" s="1">
        <f t="shared" si="28"/>
        <v>0</v>
      </c>
      <c r="AS114" s="1">
        <f t="shared" si="29"/>
        <v>92</v>
      </c>
      <c r="AT114" s="14" t="s">
        <v>264</v>
      </c>
      <c r="AU114" s="8">
        <v>5.6</v>
      </c>
      <c r="AV114" s="1">
        <f t="shared" si="20"/>
        <v>6.16</v>
      </c>
      <c r="AW114" s="1">
        <f t="shared" si="30"/>
        <v>20</v>
      </c>
      <c r="AX114" s="1">
        <f t="shared" si="31"/>
        <v>0</v>
      </c>
    </row>
    <row r="115" spans="8:50">
      <c r="H115" s="1">
        <f t="shared" si="21"/>
        <v>93</v>
      </c>
      <c r="I115" s="14" t="s">
        <v>264</v>
      </c>
      <c r="J115" s="127">
        <f>'Organized Input Output'!D110</f>
        <v>20.399999999999999</v>
      </c>
      <c r="K115" s="104">
        <f t="shared" si="22"/>
        <v>22.439999999999998</v>
      </c>
      <c r="L115" s="104">
        <f t="shared" si="32"/>
        <v>20</v>
      </c>
      <c r="M115" s="104">
        <f t="shared" si="17"/>
        <v>0.745</v>
      </c>
      <c r="T115" s="1">
        <f t="shared" si="23"/>
        <v>93</v>
      </c>
      <c r="U115" s="14" t="s">
        <v>264</v>
      </c>
      <c r="V115" s="8">
        <v>6.2</v>
      </c>
      <c r="W115" s="1">
        <f t="shared" si="18"/>
        <v>6.8199999999999994</v>
      </c>
      <c r="X115" s="1">
        <f t="shared" si="24"/>
        <v>20</v>
      </c>
      <c r="Y115" s="1">
        <f t="shared" si="25"/>
        <v>0</v>
      </c>
      <c r="AG115" s="1">
        <f t="shared" si="26"/>
        <v>93</v>
      </c>
      <c r="AH115" s="14" t="s">
        <v>264</v>
      </c>
      <c r="AI115" s="8">
        <v>9</v>
      </c>
      <c r="AJ115" s="1">
        <f t="shared" si="19"/>
        <v>9.8999999999999986</v>
      </c>
      <c r="AK115" s="1">
        <f t="shared" si="27"/>
        <v>20</v>
      </c>
      <c r="AL115" s="1">
        <f t="shared" si="28"/>
        <v>0</v>
      </c>
      <c r="AS115" s="1">
        <f t="shared" si="29"/>
        <v>93</v>
      </c>
      <c r="AT115" s="14" t="s">
        <v>264</v>
      </c>
      <c r="AU115" s="8">
        <v>20.399999999999999</v>
      </c>
      <c r="AV115" s="1">
        <f t="shared" si="20"/>
        <v>22.439999999999998</v>
      </c>
      <c r="AW115" s="1">
        <f t="shared" si="30"/>
        <v>20</v>
      </c>
      <c r="AX115" s="1">
        <f t="shared" si="31"/>
        <v>0</v>
      </c>
    </row>
    <row r="116" spans="8:50">
      <c r="H116" s="1">
        <f t="shared" si="21"/>
        <v>94</v>
      </c>
      <c r="I116" s="14" t="s">
        <v>264</v>
      </c>
      <c r="J116" s="127">
        <f>'Organized Input Output'!D111</f>
        <v>2.6</v>
      </c>
      <c r="K116" s="104">
        <f t="shared" si="22"/>
        <v>2.86</v>
      </c>
      <c r="L116" s="104">
        <f t="shared" si="32"/>
        <v>20</v>
      </c>
      <c r="M116" s="104">
        <f t="shared" si="17"/>
        <v>0.745</v>
      </c>
      <c r="T116" s="1">
        <f t="shared" si="23"/>
        <v>94</v>
      </c>
      <c r="U116" s="14" t="s">
        <v>264</v>
      </c>
      <c r="V116" s="8">
        <v>1.4</v>
      </c>
      <c r="W116" s="1">
        <f t="shared" si="18"/>
        <v>1.54</v>
      </c>
      <c r="X116" s="1">
        <f t="shared" si="24"/>
        <v>20</v>
      </c>
      <c r="Y116" s="1">
        <f t="shared" si="25"/>
        <v>0</v>
      </c>
      <c r="AG116" s="1">
        <f t="shared" si="26"/>
        <v>94</v>
      </c>
      <c r="AH116" s="14" t="s">
        <v>264</v>
      </c>
      <c r="AI116" s="8">
        <v>8.4</v>
      </c>
      <c r="AJ116" s="1">
        <f t="shared" si="19"/>
        <v>9.240000000000002</v>
      </c>
      <c r="AK116" s="1">
        <f t="shared" si="27"/>
        <v>20</v>
      </c>
      <c r="AL116" s="1">
        <f t="shared" si="28"/>
        <v>0</v>
      </c>
      <c r="AS116" s="1">
        <f t="shared" si="29"/>
        <v>94</v>
      </c>
      <c r="AT116" s="14" t="s">
        <v>264</v>
      </c>
      <c r="AU116" s="8">
        <v>2.6</v>
      </c>
      <c r="AV116" s="1">
        <f t="shared" si="20"/>
        <v>2.86</v>
      </c>
      <c r="AW116" s="1">
        <f t="shared" si="30"/>
        <v>20</v>
      </c>
      <c r="AX116" s="1">
        <f t="shared" si="31"/>
        <v>0</v>
      </c>
    </row>
    <row r="117" spans="8:50">
      <c r="H117" s="1">
        <f t="shared" si="21"/>
        <v>95</v>
      </c>
      <c r="I117" s="14" t="s">
        <v>264</v>
      </c>
      <c r="J117" s="127">
        <f>'Organized Input Output'!D112</f>
        <v>15.9</v>
      </c>
      <c r="K117" s="104">
        <f t="shared" si="22"/>
        <v>17.490000000000002</v>
      </c>
      <c r="L117" s="104">
        <f t="shared" si="32"/>
        <v>20</v>
      </c>
      <c r="M117" s="104">
        <f t="shared" si="17"/>
        <v>0.745</v>
      </c>
      <c r="T117" s="1">
        <f t="shared" si="23"/>
        <v>95</v>
      </c>
      <c r="U117" s="14" t="s">
        <v>264</v>
      </c>
      <c r="V117" s="8">
        <v>0</v>
      </c>
      <c r="W117" s="1">
        <f t="shared" si="18"/>
        <v>0</v>
      </c>
      <c r="X117" s="1">
        <f t="shared" si="24"/>
        <v>19.254999999999999</v>
      </c>
      <c r="Y117" s="1">
        <f t="shared" si="25"/>
        <v>19.254999999999999</v>
      </c>
      <c r="AG117" s="1">
        <f t="shared" si="26"/>
        <v>95</v>
      </c>
      <c r="AH117" s="14" t="s">
        <v>264</v>
      </c>
      <c r="AI117" s="8">
        <v>0.6</v>
      </c>
      <c r="AJ117" s="1">
        <f t="shared" si="19"/>
        <v>0.65999999999999992</v>
      </c>
      <c r="AK117" s="1">
        <f t="shared" si="27"/>
        <v>19.914999999999999</v>
      </c>
      <c r="AL117" s="1">
        <f t="shared" si="28"/>
        <v>4.0750000000000011</v>
      </c>
      <c r="AS117" s="1">
        <f t="shared" si="29"/>
        <v>95</v>
      </c>
      <c r="AT117" s="14" t="s">
        <v>264</v>
      </c>
      <c r="AU117" s="8">
        <v>15.9</v>
      </c>
      <c r="AV117" s="1">
        <f t="shared" si="20"/>
        <v>17.490000000000002</v>
      </c>
      <c r="AW117" s="1">
        <f t="shared" si="30"/>
        <v>20</v>
      </c>
      <c r="AX117" s="1">
        <f t="shared" si="31"/>
        <v>0</v>
      </c>
    </row>
    <row r="118" spans="8:50">
      <c r="H118" s="1">
        <f t="shared" si="21"/>
        <v>96</v>
      </c>
      <c r="I118" s="14" t="s">
        <v>264</v>
      </c>
      <c r="J118" s="127">
        <f>'Organized Input Output'!D113</f>
        <v>9.4</v>
      </c>
      <c r="K118" s="104">
        <f t="shared" si="22"/>
        <v>10.34</v>
      </c>
      <c r="L118" s="104">
        <f t="shared" si="32"/>
        <v>20</v>
      </c>
      <c r="M118" s="104">
        <f t="shared" ref="M118:M181" si="33">IF(I118="Jan", 0, $D$11)</f>
        <v>0.745</v>
      </c>
      <c r="T118" s="1">
        <f t="shared" si="23"/>
        <v>96</v>
      </c>
      <c r="U118" s="14" t="s">
        <v>264</v>
      </c>
      <c r="V118" s="8">
        <v>0</v>
      </c>
      <c r="W118" s="1">
        <f t="shared" si="18"/>
        <v>0</v>
      </c>
      <c r="X118" s="1">
        <f t="shared" si="24"/>
        <v>18.509999999999998</v>
      </c>
      <c r="Y118" s="1">
        <f t="shared" si="25"/>
        <v>18.509999999999998</v>
      </c>
      <c r="AG118" s="1">
        <f t="shared" si="26"/>
        <v>96</v>
      </c>
      <c r="AH118" s="14" t="s">
        <v>264</v>
      </c>
      <c r="AI118" s="8">
        <v>0</v>
      </c>
      <c r="AJ118" s="1">
        <f t="shared" si="19"/>
        <v>0</v>
      </c>
      <c r="AK118" s="1">
        <f t="shared" si="27"/>
        <v>19.169999999999998</v>
      </c>
      <c r="AL118" s="1">
        <f t="shared" si="28"/>
        <v>19.169999999999998</v>
      </c>
      <c r="AS118" s="1">
        <f t="shared" si="29"/>
        <v>96</v>
      </c>
      <c r="AT118" s="14" t="s">
        <v>264</v>
      </c>
      <c r="AU118" s="8">
        <v>9.4</v>
      </c>
      <c r="AV118" s="1">
        <f t="shared" si="20"/>
        <v>10.34</v>
      </c>
      <c r="AW118" s="1">
        <f t="shared" si="30"/>
        <v>20</v>
      </c>
      <c r="AX118" s="1">
        <f t="shared" si="31"/>
        <v>0</v>
      </c>
    </row>
    <row r="119" spans="8:50">
      <c r="H119" s="1">
        <f t="shared" si="21"/>
        <v>97</v>
      </c>
      <c r="I119" s="14" t="s">
        <v>264</v>
      </c>
      <c r="J119" s="127">
        <f>'Organized Input Output'!D114</f>
        <v>13.6</v>
      </c>
      <c r="K119" s="104">
        <f t="shared" si="22"/>
        <v>14.959999999999999</v>
      </c>
      <c r="L119" s="104">
        <f t="shared" si="32"/>
        <v>20</v>
      </c>
      <c r="M119" s="104">
        <f t="shared" si="33"/>
        <v>0.745</v>
      </c>
      <c r="T119" s="1">
        <f t="shared" si="23"/>
        <v>97</v>
      </c>
      <c r="U119" s="14" t="s">
        <v>264</v>
      </c>
      <c r="V119" s="8">
        <v>0</v>
      </c>
      <c r="W119" s="1">
        <f t="shared" si="18"/>
        <v>0</v>
      </c>
      <c r="X119" s="1">
        <f t="shared" si="24"/>
        <v>17.764999999999997</v>
      </c>
      <c r="Y119" s="1">
        <f t="shared" si="25"/>
        <v>17.764999999999997</v>
      </c>
      <c r="AG119" s="1">
        <f t="shared" si="26"/>
        <v>97</v>
      </c>
      <c r="AH119" s="14" t="s">
        <v>264</v>
      </c>
      <c r="AI119" s="8">
        <v>0</v>
      </c>
      <c r="AJ119" s="1">
        <f t="shared" si="19"/>
        <v>0</v>
      </c>
      <c r="AK119" s="1">
        <f t="shared" si="27"/>
        <v>18.424999999999997</v>
      </c>
      <c r="AL119" s="1">
        <f t="shared" si="28"/>
        <v>18.424999999999997</v>
      </c>
      <c r="AS119" s="1">
        <f t="shared" si="29"/>
        <v>97</v>
      </c>
      <c r="AT119" s="14" t="s">
        <v>264</v>
      </c>
      <c r="AU119" s="8">
        <v>13.6</v>
      </c>
      <c r="AV119" s="1">
        <f t="shared" si="20"/>
        <v>14.959999999999999</v>
      </c>
      <c r="AW119" s="1">
        <f t="shared" si="30"/>
        <v>20</v>
      </c>
      <c r="AX119" s="1">
        <f t="shared" si="31"/>
        <v>0</v>
      </c>
    </row>
    <row r="120" spans="8:50">
      <c r="H120" s="1">
        <f t="shared" si="21"/>
        <v>98</v>
      </c>
      <c r="I120" s="14" t="s">
        <v>264</v>
      </c>
      <c r="J120" s="127">
        <f>'Organized Input Output'!D115</f>
        <v>5.6</v>
      </c>
      <c r="K120" s="104">
        <f t="shared" si="22"/>
        <v>6.16</v>
      </c>
      <c r="L120" s="104">
        <f t="shared" si="32"/>
        <v>20</v>
      </c>
      <c r="M120" s="104">
        <f t="shared" si="33"/>
        <v>0.745</v>
      </c>
      <c r="T120" s="1">
        <f t="shared" si="23"/>
        <v>98</v>
      </c>
      <c r="U120" s="14" t="s">
        <v>264</v>
      </c>
      <c r="V120" s="8">
        <v>0</v>
      </c>
      <c r="W120" s="1">
        <f t="shared" si="18"/>
        <v>0</v>
      </c>
      <c r="X120" s="1">
        <f t="shared" si="24"/>
        <v>17.019999999999996</v>
      </c>
      <c r="Y120" s="1">
        <f t="shared" si="25"/>
        <v>17.019999999999996</v>
      </c>
      <c r="AG120" s="1">
        <f t="shared" si="26"/>
        <v>98</v>
      </c>
      <c r="AH120" s="14" t="s">
        <v>264</v>
      </c>
      <c r="AI120" s="8">
        <v>0</v>
      </c>
      <c r="AJ120" s="1">
        <f t="shared" si="19"/>
        <v>0</v>
      </c>
      <c r="AK120" s="1">
        <f t="shared" si="27"/>
        <v>17.679999999999996</v>
      </c>
      <c r="AL120" s="1">
        <f t="shared" si="28"/>
        <v>17.679999999999996</v>
      </c>
      <c r="AS120" s="1">
        <f t="shared" si="29"/>
        <v>98</v>
      </c>
      <c r="AT120" s="14" t="s">
        <v>264</v>
      </c>
      <c r="AU120" s="8">
        <v>5.6</v>
      </c>
      <c r="AV120" s="1">
        <f t="shared" si="20"/>
        <v>6.16</v>
      </c>
      <c r="AW120" s="1">
        <f t="shared" si="30"/>
        <v>20</v>
      </c>
      <c r="AX120" s="1">
        <f t="shared" si="31"/>
        <v>0</v>
      </c>
    </row>
    <row r="121" spans="8:50">
      <c r="H121" s="1">
        <f t="shared" si="21"/>
        <v>99</v>
      </c>
      <c r="I121" s="14" t="s">
        <v>264</v>
      </c>
      <c r="J121" s="127">
        <f>'Organized Input Output'!D116</f>
        <v>0</v>
      </c>
      <c r="K121" s="104">
        <f t="shared" si="22"/>
        <v>0</v>
      </c>
      <c r="L121" s="104">
        <f t="shared" si="32"/>
        <v>19.254999999999999</v>
      </c>
      <c r="M121" s="104">
        <f t="shared" si="33"/>
        <v>0.745</v>
      </c>
      <c r="T121" s="1">
        <f t="shared" si="23"/>
        <v>99</v>
      </c>
      <c r="U121" s="14" t="s">
        <v>264</v>
      </c>
      <c r="V121" s="8">
        <v>0</v>
      </c>
      <c r="W121" s="1">
        <f t="shared" si="18"/>
        <v>0</v>
      </c>
      <c r="X121" s="1">
        <f t="shared" si="24"/>
        <v>16.274999999999995</v>
      </c>
      <c r="Y121" s="1">
        <f t="shared" si="25"/>
        <v>16.274999999999995</v>
      </c>
      <c r="AG121" s="1">
        <f t="shared" si="26"/>
        <v>99</v>
      </c>
      <c r="AH121" s="14" t="s">
        <v>264</v>
      </c>
      <c r="AI121" s="8">
        <v>3.2</v>
      </c>
      <c r="AJ121" s="1">
        <f t="shared" si="19"/>
        <v>3.52</v>
      </c>
      <c r="AK121" s="1">
        <f t="shared" si="27"/>
        <v>20</v>
      </c>
      <c r="AL121" s="1">
        <f t="shared" si="28"/>
        <v>0</v>
      </c>
      <c r="AS121" s="1">
        <f t="shared" si="29"/>
        <v>99</v>
      </c>
      <c r="AT121" s="14" t="s">
        <v>264</v>
      </c>
      <c r="AU121" s="8">
        <v>0</v>
      </c>
      <c r="AV121" s="1">
        <f t="shared" si="20"/>
        <v>0</v>
      </c>
      <c r="AW121" s="1">
        <f t="shared" si="30"/>
        <v>19.254999999999999</v>
      </c>
      <c r="AX121" s="1">
        <f t="shared" si="31"/>
        <v>19.254999999999999</v>
      </c>
    </row>
    <row r="122" spans="8:50">
      <c r="H122" s="1">
        <f t="shared" si="21"/>
        <v>100</v>
      </c>
      <c r="I122" s="14" t="s">
        <v>264</v>
      </c>
      <c r="J122" s="127">
        <f>'Organized Input Output'!D117</f>
        <v>16.600000000000001</v>
      </c>
      <c r="K122" s="104">
        <f t="shared" si="22"/>
        <v>18.260000000000002</v>
      </c>
      <c r="L122" s="104">
        <f t="shared" si="32"/>
        <v>20</v>
      </c>
      <c r="M122" s="104">
        <f t="shared" si="33"/>
        <v>0.745</v>
      </c>
      <c r="T122" s="1">
        <f t="shared" si="23"/>
        <v>100</v>
      </c>
      <c r="U122" s="14" t="s">
        <v>264</v>
      </c>
      <c r="V122" s="8">
        <v>3.4</v>
      </c>
      <c r="W122" s="1">
        <f t="shared" si="18"/>
        <v>3.7399999999999998</v>
      </c>
      <c r="X122" s="1">
        <f t="shared" si="24"/>
        <v>19.269999999999992</v>
      </c>
      <c r="Y122" s="1">
        <f t="shared" si="25"/>
        <v>0</v>
      </c>
      <c r="AG122" s="1">
        <f t="shared" si="26"/>
        <v>100</v>
      </c>
      <c r="AH122" s="14" t="s">
        <v>264</v>
      </c>
      <c r="AI122" s="8">
        <v>40.200000000000003</v>
      </c>
      <c r="AJ122" s="1">
        <f t="shared" si="19"/>
        <v>44.22</v>
      </c>
      <c r="AK122" s="1">
        <f t="shared" si="27"/>
        <v>20</v>
      </c>
      <c r="AL122" s="1">
        <f t="shared" si="28"/>
        <v>0</v>
      </c>
      <c r="AS122" s="1">
        <f t="shared" si="29"/>
        <v>100</v>
      </c>
      <c r="AT122" s="14" t="s">
        <v>264</v>
      </c>
      <c r="AU122" s="8">
        <v>16.600000000000001</v>
      </c>
      <c r="AV122" s="1">
        <f t="shared" si="20"/>
        <v>18.260000000000002</v>
      </c>
      <c r="AW122" s="1">
        <f t="shared" si="30"/>
        <v>20</v>
      </c>
      <c r="AX122" s="1">
        <f t="shared" si="31"/>
        <v>0</v>
      </c>
    </row>
    <row r="123" spans="8:50">
      <c r="H123" s="1">
        <f t="shared" si="21"/>
        <v>101</v>
      </c>
      <c r="I123" s="14" t="s">
        <v>264</v>
      </c>
      <c r="J123" s="127">
        <f>'Organized Input Output'!D118</f>
        <v>0</v>
      </c>
      <c r="K123" s="104">
        <f t="shared" si="22"/>
        <v>0</v>
      </c>
      <c r="L123" s="104">
        <f t="shared" si="32"/>
        <v>19.254999999999999</v>
      </c>
      <c r="M123" s="104">
        <f t="shared" si="33"/>
        <v>0.745</v>
      </c>
      <c r="T123" s="1">
        <f t="shared" si="23"/>
        <v>101</v>
      </c>
      <c r="U123" s="14" t="s">
        <v>264</v>
      </c>
      <c r="V123" s="8">
        <v>2.2000000000000002</v>
      </c>
      <c r="W123" s="1">
        <f t="shared" si="18"/>
        <v>2.42</v>
      </c>
      <c r="X123" s="1">
        <f t="shared" si="24"/>
        <v>20</v>
      </c>
      <c r="Y123" s="1">
        <f t="shared" si="25"/>
        <v>0</v>
      </c>
      <c r="AG123" s="1">
        <f t="shared" si="26"/>
        <v>101</v>
      </c>
      <c r="AH123" s="14" t="s">
        <v>264</v>
      </c>
      <c r="AI123" s="8">
        <v>9.1999999999999993</v>
      </c>
      <c r="AJ123" s="1">
        <f t="shared" si="19"/>
        <v>10.119999999999999</v>
      </c>
      <c r="AK123" s="1">
        <f t="shared" si="27"/>
        <v>20</v>
      </c>
      <c r="AL123" s="1">
        <f t="shared" si="28"/>
        <v>0</v>
      </c>
      <c r="AS123" s="1">
        <f t="shared" si="29"/>
        <v>101</v>
      </c>
      <c r="AT123" s="14" t="s">
        <v>264</v>
      </c>
      <c r="AU123" s="8">
        <v>0</v>
      </c>
      <c r="AV123" s="1">
        <f t="shared" si="20"/>
        <v>0</v>
      </c>
      <c r="AW123" s="1">
        <f t="shared" si="30"/>
        <v>19.254999999999999</v>
      </c>
      <c r="AX123" s="1">
        <f t="shared" si="31"/>
        <v>19.254999999999999</v>
      </c>
    </row>
    <row r="124" spans="8:50">
      <c r="H124" s="1">
        <f t="shared" si="21"/>
        <v>102</v>
      </c>
      <c r="I124" s="14" t="s">
        <v>264</v>
      </c>
      <c r="J124" s="127">
        <f>'Organized Input Output'!D119</f>
        <v>0</v>
      </c>
      <c r="K124" s="104">
        <f t="shared" si="22"/>
        <v>0</v>
      </c>
      <c r="L124" s="104">
        <f t="shared" si="32"/>
        <v>18.509999999999998</v>
      </c>
      <c r="M124" s="104">
        <f t="shared" si="33"/>
        <v>0.745</v>
      </c>
      <c r="T124" s="1">
        <f t="shared" si="23"/>
        <v>102</v>
      </c>
      <c r="U124" s="14" t="s">
        <v>264</v>
      </c>
      <c r="V124" s="8">
        <v>5</v>
      </c>
      <c r="W124" s="1">
        <f t="shared" si="18"/>
        <v>5.5</v>
      </c>
      <c r="X124" s="1">
        <f t="shared" si="24"/>
        <v>20</v>
      </c>
      <c r="Y124" s="1">
        <f t="shared" si="25"/>
        <v>0</v>
      </c>
      <c r="AG124" s="1">
        <f t="shared" si="26"/>
        <v>102</v>
      </c>
      <c r="AH124" s="14" t="s">
        <v>264</v>
      </c>
      <c r="AI124" s="8">
        <v>24.4</v>
      </c>
      <c r="AJ124" s="1">
        <f t="shared" si="19"/>
        <v>26.839999999999996</v>
      </c>
      <c r="AK124" s="1">
        <f t="shared" si="27"/>
        <v>20</v>
      </c>
      <c r="AL124" s="1">
        <f t="shared" si="28"/>
        <v>0</v>
      </c>
      <c r="AS124" s="1">
        <f t="shared" si="29"/>
        <v>102</v>
      </c>
      <c r="AT124" s="14" t="s">
        <v>264</v>
      </c>
      <c r="AU124" s="8">
        <v>0</v>
      </c>
      <c r="AV124" s="1">
        <f t="shared" si="20"/>
        <v>0</v>
      </c>
      <c r="AW124" s="1">
        <f t="shared" si="30"/>
        <v>18.509999999999998</v>
      </c>
      <c r="AX124" s="1">
        <f t="shared" si="31"/>
        <v>18.509999999999998</v>
      </c>
    </row>
    <row r="125" spans="8:50">
      <c r="H125" s="1">
        <f t="shared" si="21"/>
        <v>103</v>
      </c>
      <c r="I125" s="14" t="s">
        <v>264</v>
      </c>
      <c r="J125" s="127">
        <f>'Organized Input Output'!D120</f>
        <v>0</v>
      </c>
      <c r="K125" s="104">
        <f t="shared" si="22"/>
        <v>0</v>
      </c>
      <c r="L125" s="104">
        <f t="shared" si="32"/>
        <v>17.764999999999997</v>
      </c>
      <c r="M125" s="104">
        <f t="shared" si="33"/>
        <v>0.745</v>
      </c>
      <c r="T125" s="1">
        <f t="shared" si="23"/>
        <v>103</v>
      </c>
      <c r="U125" s="14" t="s">
        <v>264</v>
      </c>
      <c r="V125" s="8">
        <v>9.1999999999999993</v>
      </c>
      <c r="W125" s="1">
        <f t="shared" si="18"/>
        <v>10.119999999999999</v>
      </c>
      <c r="X125" s="1">
        <f t="shared" si="24"/>
        <v>20</v>
      </c>
      <c r="Y125" s="1">
        <f t="shared" si="25"/>
        <v>0</v>
      </c>
      <c r="AG125" s="1">
        <f t="shared" si="26"/>
        <v>103</v>
      </c>
      <c r="AH125" s="14" t="s">
        <v>264</v>
      </c>
      <c r="AI125" s="8">
        <v>16.2</v>
      </c>
      <c r="AJ125" s="1">
        <f t="shared" si="19"/>
        <v>17.82</v>
      </c>
      <c r="AK125" s="1">
        <f t="shared" si="27"/>
        <v>20</v>
      </c>
      <c r="AL125" s="1">
        <f t="shared" si="28"/>
        <v>0</v>
      </c>
      <c r="AS125" s="1">
        <f t="shared" si="29"/>
        <v>103</v>
      </c>
      <c r="AT125" s="14" t="s">
        <v>264</v>
      </c>
      <c r="AU125" s="8">
        <v>0</v>
      </c>
      <c r="AV125" s="1">
        <f t="shared" si="20"/>
        <v>0</v>
      </c>
      <c r="AW125" s="1">
        <f t="shared" si="30"/>
        <v>17.764999999999997</v>
      </c>
      <c r="AX125" s="1">
        <f t="shared" si="31"/>
        <v>17.764999999999997</v>
      </c>
    </row>
    <row r="126" spans="8:50">
      <c r="H126" s="1">
        <f t="shared" si="21"/>
        <v>104</v>
      </c>
      <c r="I126" s="14" t="s">
        <v>264</v>
      </c>
      <c r="J126" s="127">
        <f>'Organized Input Output'!D121</f>
        <v>14.8</v>
      </c>
      <c r="K126" s="104">
        <f t="shared" si="22"/>
        <v>16.28</v>
      </c>
      <c r="L126" s="104">
        <f t="shared" si="32"/>
        <v>20</v>
      </c>
      <c r="M126" s="104">
        <f t="shared" si="33"/>
        <v>0.745</v>
      </c>
      <c r="T126" s="1">
        <f t="shared" si="23"/>
        <v>104</v>
      </c>
      <c r="U126" s="14" t="s">
        <v>264</v>
      </c>
      <c r="V126" s="8">
        <v>0</v>
      </c>
      <c r="W126" s="1">
        <f t="shared" si="18"/>
        <v>0</v>
      </c>
      <c r="X126" s="1">
        <f t="shared" si="24"/>
        <v>19.254999999999999</v>
      </c>
      <c r="Y126" s="1">
        <f t="shared" si="25"/>
        <v>19.254999999999999</v>
      </c>
      <c r="AG126" s="1">
        <f t="shared" si="26"/>
        <v>104</v>
      </c>
      <c r="AH126" s="14" t="s">
        <v>264</v>
      </c>
      <c r="AI126" s="8">
        <v>1.5</v>
      </c>
      <c r="AJ126" s="1">
        <f t="shared" si="19"/>
        <v>1.6500000000000001</v>
      </c>
      <c r="AK126" s="1">
        <f t="shared" si="27"/>
        <v>20</v>
      </c>
      <c r="AL126" s="1">
        <f t="shared" si="28"/>
        <v>0</v>
      </c>
      <c r="AS126" s="1">
        <f t="shared" si="29"/>
        <v>104</v>
      </c>
      <c r="AT126" s="14" t="s">
        <v>264</v>
      </c>
      <c r="AU126" s="8">
        <v>14.8</v>
      </c>
      <c r="AV126" s="1">
        <f t="shared" si="20"/>
        <v>16.28</v>
      </c>
      <c r="AW126" s="1">
        <f t="shared" si="30"/>
        <v>20</v>
      </c>
      <c r="AX126" s="1">
        <f t="shared" si="31"/>
        <v>0</v>
      </c>
    </row>
    <row r="127" spans="8:50">
      <c r="H127" s="1">
        <f t="shared" si="21"/>
        <v>105</v>
      </c>
      <c r="I127" s="14" t="s">
        <v>264</v>
      </c>
      <c r="J127" s="127">
        <f>'Organized Input Output'!D122</f>
        <v>20.8</v>
      </c>
      <c r="K127" s="104">
        <f t="shared" si="22"/>
        <v>22.88</v>
      </c>
      <c r="L127" s="104">
        <f t="shared" si="32"/>
        <v>20</v>
      </c>
      <c r="M127" s="104">
        <f t="shared" si="33"/>
        <v>0.745</v>
      </c>
      <c r="T127" s="1">
        <f t="shared" si="23"/>
        <v>105</v>
      </c>
      <c r="U127" s="14" t="s">
        <v>264</v>
      </c>
      <c r="V127" s="8">
        <v>0</v>
      </c>
      <c r="W127" s="1">
        <f t="shared" si="18"/>
        <v>0</v>
      </c>
      <c r="X127" s="1">
        <f t="shared" si="24"/>
        <v>18.509999999999998</v>
      </c>
      <c r="Y127" s="1">
        <f t="shared" si="25"/>
        <v>18.509999999999998</v>
      </c>
      <c r="AG127" s="1">
        <f t="shared" si="26"/>
        <v>105</v>
      </c>
      <c r="AH127" s="14" t="s">
        <v>264</v>
      </c>
      <c r="AI127" s="8">
        <v>37.200000000000003</v>
      </c>
      <c r="AJ127" s="1">
        <f t="shared" si="19"/>
        <v>40.92</v>
      </c>
      <c r="AK127" s="1">
        <f t="shared" si="27"/>
        <v>20</v>
      </c>
      <c r="AL127" s="1">
        <f t="shared" si="28"/>
        <v>0</v>
      </c>
      <c r="AS127" s="1">
        <f t="shared" si="29"/>
        <v>105</v>
      </c>
      <c r="AT127" s="14" t="s">
        <v>264</v>
      </c>
      <c r="AU127" s="8">
        <v>20.8</v>
      </c>
      <c r="AV127" s="1">
        <f t="shared" si="20"/>
        <v>22.88</v>
      </c>
      <c r="AW127" s="1">
        <f t="shared" si="30"/>
        <v>20</v>
      </c>
      <c r="AX127" s="1">
        <f t="shared" si="31"/>
        <v>0</v>
      </c>
    </row>
    <row r="128" spans="8:50">
      <c r="H128" s="1">
        <f t="shared" si="21"/>
        <v>106</v>
      </c>
      <c r="I128" s="14" t="s">
        <v>264</v>
      </c>
      <c r="J128" s="127">
        <f>'Organized Input Output'!D123</f>
        <v>37.4</v>
      </c>
      <c r="K128" s="104">
        <f t="shared" si="22"/>
        <v>41.139999999999993</v>
      </c>
      <c r="L128" s="104">
        <f t="shared" si="32"/>
        <v>20</v>
      </c>
      <c r="M128" s="104">
        <f t="shared" si="33"/>
        <v>0.745</v>
      </c>
      <c r="T128" s="1">
        <f t="shared" si="23"/>
        <v>106</v>
      </c>
      <c r="U128" s="14" t="s">
        <v>264</v>
      </c>
      <c r="V128" s="8">
        <v>0</v>
      </c>
      <c r="W128" s="1">
        <f t="shared" si="18"/>
        <v>0</v>
      </c>
      <c r="X128" s="1">
        <f t="shared" si="24"/>
        <v>17.764999999999997</v>
      </c>
      <c r="Y128" s="1">
        <f t="shared" si="25"/>
        <v>17.764999999999997</v>
      </c>
      <c r="AG128" s="1">
        <f t="shared" si="26"/>
        <v>106</v>
      </c>
      <c r="AH128" s="14" t="s">
        <v>264</v>
      </c>
      <c r="AI128" s="8">
        <v>3</v>
      </c>
      <c r="AJ128" s="1">
        <f t="shared" si="19"/>
        <v>3.3000000000000003</v>
      </c>
      <c r="AK128" s="1">
        <f t="shared" si="27"/>
        <v>20</v>
      </c>
      <c r="AL128" s="1">
        <f t="shared" si="28"/>
        <v>0</v>
      </c>
      <c r="AS128" s="1">
        <f t="shared" si="29"/>
        <v>106</v>
      </c>
      <c r="AT128" s="14" t="s">
        <v>264</v>
      </c>
      <c r="AU128" s="8">
        <v>37.4</v>
      </c>
      <c r="AV128" s="1">
        <f t="shared" si="20"/>
        <v>41.139999999999993</v>
      </c>
      <c r="AW128" s="1">
        <f t="shared" si="30"/>
        <v>20</v>
      </c>
      <c r="AX128" s="1">
        <f t="shared" si="31"/>
        <v>0</v>
      </c>
    </row>
    <row r="129" spans="8:50">
      <c r="H129" s="1">
        <f t="shared" si="21"/>
        <v>107</v>
      </c>
      <c r="I129" s="14" t="s">
        <v>264</v>
      </c>
      <c r="J129" s="127">
        <f>'Organized Input Output'!D124</f>
        <v>9.8000000000000007</v>
      </c>
      <c r="K129" s="104">
        <f t="shared" si="22"/>
        <v>10.780000000000001</v>
      </c>
      <c r="L129" s="104">
        <f t="shared" si="32"/>
        <v>20</v>
      </c>
      <c r="M129" s="104">
        <f t="shared" si="33"/>
        <v>0.745</v>
      </c>
      <c r="T129" s="1">
        <f t="shared" si="23"/>
        <v>107</v>
      </c>
      <c r="U129" s="14" t="s">
        <v>264</v>
      </c>
      <c r="V129" s="8">
        <v>0</v>
      </c>
      <c r="W129" s="1">
        <f t="shared" si="18"/>
        <v>0</v>
      </c>
      <c r="X129" s="1">
        <f t="shared" si="24"/>
        <v>17.019999999999996</v>
      </c>
      <c r="Y129" s="1">
        <f t="shared" si="25"/>
        <v>17.019999999999996</v>
      </c>
      <c r="AG129" s="1">
        <f t="shared" si="26"/>
        <v>107</v>
      </c>
      <c r="AH129" s="14" t="s">
        <v>264</v>
      </c>
      <c r="AI129" s="8">
        <v>0</v>
      </c>
      <c r="AJ129" s="1">
        <f t="shared" si="19"/>
        <v>0</v>
      </c>
      <c r="AK129" s="1">
        <f t="shared" si="27"/>
        <v>19.254999999999999</v>
      </c>
      <c r="AL129" s="1">
        <f t="shared" si="28"/>
        <v>19.254999999999999</v>
      </c>
      <c r="AS129" s="1">
        <f t="shared" si="29"/>
        <v>107</v>
      </c>
      <c r="AT129" s="14" t="s">
        <v>264</v>
      </c>
      <c r="AU129" s="8">
        <v>9.8000000000000007</v>
      </c>
      <c r="AV129" s="1">
        <f t="shared" si="20"/>
        <v>10.780000000000001</v>
      </c>
      <c r="AW129" s="1">
        <f t="shared" si="30"/>
        <v>20</v>
      </c>
      <c r="AX129" s="1">
        <f t="shared" si="31"/>
        <v>0</v>
      </c>
    </row>
    <row r="130" spans="8:50">
      <c r="H130" s="1">
        <f t="shared" si="21"/>
        <v>108</v>
      </c>
      <c r="I130" s="14" t="s">
        <v>264</v>
      </c>
      <c r="J130" s="127">
        <f>'Organized Input Output'!D125</f>
        <v>1.9</v>
      </c>
      <c r="K130" s="104">
        <f t="shared" si="22"/>
        <v>2.09</v>
      </c>
      <c r="L130" s="104">
        <f t="shared" si="32"/>
        <v>20</v>
      </c>
      <c r="M130" s="104">
        <f t="shared" si="33"/>
        <v>0.745</v>
      </c>
      <c r="T130" s="1">
        <f t="shared" si="23"/>
        <v>108</v>
      </c>
      <c r="U130" s="14" t="s">
        <v>264</v>
      </c>
      <c r="V130" s="8">
        <v>0</v>
      </c>
      <c r="W130" s="1">
        <f t="shared" si="18"/>
        <v>0</v>
      </c>
      <c r="X130" s="1">
        <f t="shared" si="24"/>
        <v>16.274999999999995</v>
      </c>
      <c r="Y130" s="1">
        <f t="shared" si="25"/>
        <v>16.274999999999995</v>
      </c>
      <c r="AG130" s="1">
        <f t="shared" si="26"/>
        <v>108</v>
      </c>
      <c r="AH130" s="14" t="s">
        <v>264</v>
      </c>
      <c r="AI130" s="8">
        <v>0</v>
      </c>
      <c r="AJ130" s="1">
        <f t="shared" si="19"/>
        <v>0</v>
      </c>
      <c r="AK130" s="1">
        <f t="shared" si="27"/>
        <v>18.509999999999998</v>
      </c>
      <c r="AL130" s="1">
        <f t="shared" si="28"/>
        <v>18.509999999999998</v>
      </c>
      <c r="AS130" s="1">
        <f t="shared" si="29"/>
        <v>108</v>
      </c>
      <c r="AT130" s="14" t="s">
        <v>264</v>
      </c>
      <c r="AU130" s="8">
        <v>1.9</v>
      </c>
      <c r="AV130" s="1">
        <f t="shared" si="20"/>
        <v>2.09</v>
      </c>
      <c r="AW130" s="1">
        <f t="shared" si="30"/>
        <v>20</v>
      </c>
      <c r="AX130" s="1">
        <f t="shared" si="31"/>
        <v>0</v>
      </c>
    </row>
    <row r="131" spans="8:50">
      <c r="H131" s="1">
        <f t="shared" si="21"/>
        <v>109</v>
      </c>
      <c r="I131" s="14" t="s">
        <v>264</v>
      </c>
      <c r="J131" s="127">
        <f>'Organized Input Output'!D126</f>
        <v>21</v>
      </c>
      <c r="K131" s="104">
        <f t="shared" si="22"/>
        <v>23.1</v>
      </c>
      <c r="L131" s="104">
        <f t="shared" si="32"/>
        <v>20</v>
      </c>
      <c r="M131" s="104">
        <f t="shared" si="33"/>
        <v>0.745</v>
      </c>
      <c r="T131" s="1">
        <f t="shared" si="23"/>
        <v>109</v>
      </c>
      <c r="U131" s="14" t="s">
        <v>264</v>
      </c>
      <c r="V131" s="8">
        <v>0</v>
      </c>
      <c r="W131" s="1">
        <f t="shared" si="18"/>
        <v>0</v>
      </c>
      <c r="X131" s="1">
        <f t="shared" si="24"/>
        <v>15.529999999999996</v>
      </c>
      <c r="Y131" s="1">
        <f t="shared" si="25"/>
        <v>15.529999999999996</v>
      </c>
      <c r="AG131" s="1">
        <f t="shared" si="26"/>
        <v>109</v>
      </c>
      <c r="AH131" s="14" t="s">
        <v>264</v>
      </c>
      <c r="AI131" s="8">
        <v>0</v>
      </c>
      <c r="AJ131" s="1">
        <f t="shared" si="19"/>
        <v>0</v>
      </c>
      <c r="AK131" s="1">
        <f t="shared" si="27"/>
        <v>17.764999999999997</v>
      </c>
      <c r="AL131" s="1">
        <f t="shared" si="28"/>
        <v>17.764999999999997</v>
      </c>
      <c r="AS131" s="1">
        <f t="shared" si="29"/>
        <v>109</v>
      </c>
      <c r="AT131" s="14" t="s">
        <v>264</v>
      </c>
      <c r="AU131" s="8">
        <v>21</v>
      </c>
      <c r="AV131" s="1">
        <f t="shared" si="20"/>
        <v>23.1</v>
      </c>
      <c r="AW131" s="1">
        <f t="shared" si="30"/>
        <v>20</v>
      </c>
      <c r="AX131" s="1">
        <f t="shared" si="31"/>
        <v>0</v>
      </c>
    </row>
    <row r="132" spans="8:50">
      <c r="H132" s="1">
        <f t="shared" si="21"/>
        <v>110</v>
      </c>
      <c r="I132" s="14" t="s">
        <v>264</v>
      </c>
      <c r="J132" s="127">
        <f>'Organized Input Output'!D127</f>
        <v>30</v>
      </c>
      <c r="K132" s="104">
        <f t="shared" si="22"/>
        <v>33</v>
      </c>
      <c r="L132" s="104">
        <f t="shared" si="32"/>
        <v>20</v>
      </c>
      <c r="M132" s="104">
        <f t="shared" si="33"/>
        <v>0.745</v>
      </c>
      <c r="T132" s="1">
        <f t="shared" si="23"/>
        <v>110</v>
      </c>
      <c r="U132" s="14" t="s">
        <v>264</v>
      </c>
      <c r="V132" s="8">
        <v>0</v>
      </c>
      <c r="W132" s="1">
        <f t="shared" si="18"/>
        <v>0</v>
      </c>
      <c r="X132" s="1">
        <f t="shared" si="24"/>
        <v>14.784999999999997</v>
      </c>
      <c r="Y132" s="1">
        <f t="shared" si="25"/>
        <v>14.784999999999997</v>
      </c>
      <c r="AG132" s="1">
        <f t="shared" si="26"/>
        <v>110</v>
      </c>
      <c r="AH132" s="14" t="s">
        <v>264</v>
      </c>
      <c r="AI132" s="8">
        <v>1.1000000000000001</v>
      </c>
      <c r="AJ132" s="1">
        <f t="shared" si="19"/>
        <v>1.21</v>
      </c>
      <c r="AK132" s="1">
        <f t="shared" si="27"/>
        <v>18.229999999999997</v>
      </c>
      <c r="AL132" s="1">
        <f t="shared" si="28"/>
        <v>0</v>
      </c>
      <c r="AS132" s="1">
        <f t="shared" si="29"/>
        <v>110</v>
      </c>
      <c r="AT132" s="14" t="s">
        <v>264</v>
      </c>
      <c r="AU132" s="8">
        <v>30</v>
      </c>
      <c r="AV132" s="1">
        <f t="shared" si="20"/>
        <v>33</v>
      </c>
      <c r="AW132" s="1">
        <f t="shared" si="30"/>
        <v>20</v>
      </c>
      <c r="AX132" s="1">
        <f t="shared" si="31"/>
        <v>0</v>
      </c>
    </row>
    <row r="133" spans="8:50">
      <c r="H133" s="1">
        <f t="shared" si="21"/>
        <v>111</v>
      </c>
      <c r="I133" s="14" t="s">
        <v>264</v>
      </c>
      <c r="J133" s="127">
        <f>'Organized Input Output'!D128</f>
        <v>0</v>
      </c>
      <c r="K133" s="104">
        <f t="shared" si="22"/>
        <v>0</v>
      </c>
      <c r="L133" s="104">
        <f t="shared" si="32"/>
        <v>19.254999999999999</v>
      </c>
      <c r="M133" s="104">
        <f t="shared" si="33"/>
        <v>0.745</v>
      </c>
      <c r="T133" s="1">
        <f t="shared" si="23"/>
        <v>111</v>
      </c>
      <c r="U133" s="14" t="s">
        <v>264</v>
      </c>
      <c r="V133" s="8">
        <v>5</v>
      </c>
      <c r="W133" s="1">
        <f t="shared" si="18"/>
        <v>5.5</v>
      </c>
      <c r="X133" s="1">
        <f t="shared" si="24"/>
        <v>19.539999999999996</v>
      </c>
      <c r="Y133" s="1">
        <f t="shared" si="25"/>
        <v>0</v>
      </c>
      <c r="AG133" s="1">
        <f t="shared" si="26"/>
        <v>111</v>
      </c>
      <c r="AH133" s="14" t="s">
        <v>264</v>
      </c>
      <c r="AI133" s="8">
        <v>0.4</v>
      </c>
      <c r="AJ133" s="1">
        <f t="shared" si="19"/>
        <v>0.44</v>
      </c>
      <c r="AK133" s="1">
        <f t="shared" si="27"/>
        <v>17.924999999999997</v>
      </c>
      <c r="AL133" s="1">
        <f t="shared" si="28"/>
        <v>7.3649999999999967</v>
      </c>
      <c r="AS133" s="1">
        <f t="shared" si="29"/>
        <v>111</v>
      </c>
      <c r="AT133" s="14" t="s">
        <v>264</v>
      </c>
      <c r="AU133" s="8">
        <v>0</v>
      </c>
      <c r="AV133" s="1">
        <f t="shared" si="20"/>
        <v>0</v>
      </c>
      <c r="AW133" s="1">
        <f t="shared" si="30"/>
        <v>19.254999999999999</v>
      </c>
      <c r="AX133" s="1">
        <f t="shared" si="31"/>
        <v>19.254999999999999</v>
      </c>
    </row>
    <row r="134" spans="8:50">
      <c r="H134" s="1">
        <f t="shared" si="21"/>
        <v>112</v>
      </c>
      <c r="I134" s="14" t="s">
        <v>264</v>
      </c>
      <c r="J134" s="127">
        <f>'Organized Input Output'!D129</f>
        <v>4.4000000000000004</v>
      </c>
      <c r="K134" s="104">
        <f t="shared" si="22"/>
        <v>4.84</v>
      </c>
      <c r="L134" s="104">
        <f t="shared" si="32"/>
        <v>20</v>
      </c>
      <c r="M134" s="104">
        <f t="shared" si="33"/>
        <v>0.745</v>
      </c>
      <c r="T134" s="1">
        <f t="shared" si="23"/>
        <v>112</v>
      </c>
      <c r="U134" s="14" t="s">
        <v>264</v>
      </c>
      <c r="V134" s="8">
        <v>0.8</v>
      </c>
      <c r="W134" s="1">
        <f t="shared" si="18"/>
        <v>0.88</v>
      </c>
      <c r="X134" s="1">
        <f t="shared" si="24"/>
        <v>19.674999999999994</v>
      </c>
      <c r="Y134" s="1">
        <f t="shared" si="25"/>
        <v>0</v>
      </c>
      <c r="AG134" s="1">
        <f t="shared" si="26"/>
        <v>112</v>
      </c>
      <c r="AH134" s="14" t="s">
        <v>264</v>
      </c>
      <c r="AI134" s="8">
        <v>8.1999999999999993</v>
      </c>
      <c r="AJ134" s="1">
        <f t="shared" si="19"/>
        <v>9.02</v>
      </c>
      <c r="AK134" s="1">
        <f t="shared" si="27"/>
        <v>20</v>
      </c>
      <c r="AL134" s="1">
        <f t="shared" si="28"/>
        <v>0</v>
      </c>
      <c r="AS134" s="1">
        <f t="shared" si="29"/>
        <v>112</v>
      </c>
      <c r="AT134" s="14" t="s">
        <v>264</v>
      </c>
      <c r="AU134" s="8">
        <v>4.4000000000000004</v>
      </c>
      <c r="AV134" s="1">
        <f t="shared" si="20"/>
        <v>4.84</v>
      </c>
      <c r="AW134" s="1">
        <f t="shared" si="30"/>
        <v>20</v>
      </c>
      <c r="AX134" s="1">
        <f t="shared" si="31"/>
        <v>0</v>
      </c>
    </row>
    <row r="135" spans="8:50">
      <c r="H135" s="1">
        <f t="shared" si="21"/>
        <v>113</v>
      </c>
      <c r="I135" s="14" t="s">
        <v>264</v>
      </c>
      <c r="J135" s="127">
        <f>'Organized Input Output'!D130</f>
        <v>12.8</v>
      </c>
      <c r="K135" s="104">
        <f t="shared" si="22"/>
        <v>14.08</v>
      </c>
      <c r="L135" s="104">
        <f t="shared" si="32"/>
        <v>20</v>
      </c>
      <c r="M135" s="104">
        <f t="shared" si="33"/>
        <v>0.745</v>
      </c>
      <c r="T135" s="1">
        <f t="shared" si="23"/>
        <v>113</v>
      </c>
      <c r="U135" s="14" t="s">
        <v>264</v>
      </c>
      <c r="V135" s="8">
        <v>22.2</v>
      </c>
      <c r="W135" s="1">
        <f t="shared" si="18"/>
        <v>24.42</v>
      </c>
      <c r="X135" s="1">
        <f t="shared" si="24"/>
        <v>20</v>
      </c>
      <c r="Y135" s="1">
        <f t="shared" si="25"/>
        <v>0</v>
      </c>
      <c r="AG135" s="1">
        <f t="shared" si="26"/>
        <v>113</v>
      </c>
      <c r="AH135" s="14" t="s">
        <v>264</v>
      </c>
      <c r="AI135" s="8">
        <v>8.4</v>
      </c>
      <c r="AJ135" s="1">
        <f t="shared" si="19"/>
        <v>9.240000000000002</v>
      </c>
      <c r="AK135" s="1">
        <f t="shared" si="27"/>
        <v>20</v>
      </c>
      <c r="AL135" s="1">
        <f t="shared" si="28"/>
        <v>0</v>
      </c>
      <c r="AS135" s="1">
        <f t="shared" si="29"/>
        <v>113</v>
      </c>
      <c r="AT135" s="14" t="s">
        <v>264</v>
      </c>
      <c r="AU135" s="8">
        <v>12.8</v>
      </c>
      <c r="AV135" s="1">
        <f t="shared" si="20"/>
        <v>14.08</v>
      </c>
      <c r="AW135" s="1">
        <f t="shared" si="30"/>
        <v>20</v>
      </c>
      <c r="AX135" s="1">
        <f t="shared" si="31"/>
        <v>0</v>
      </c>
    </row>
    <row r="136" spans="8:50">
      <c r="H136" s="1">
        <f t="shared" si="21"/>
        <v>114</v>
      </c>
      <c r="I136" s="14" t="s">
        <v>264</v>
      </c>
      <c r="J136" s="127">
        <f>'Organized Input Output'!D131</f>
        <v>26</v>
      </c>
      <c r="K136" s="104">
        <f t="shared" si="22"/>
        <v>28.599999999999998</v>
      </c>
      <c r="L136" s="104">
        <f t="shared" si="32"/>
        <v>20</v>
      </c>
      <c r="M136" s="104">
        <f t="shared" si="33"/>
        <v>0.745</v>
      </c>
      <c r="T136" s="1">
        <f t="shared" si="23"/>
        <v>114</v>
      </c>
      <c r="U136" s="14" t="s">
        <v>264</v>
      </c>
      <c r="V136" s="8">
        <v>6.8</v>
      </c>
      <c r="W136" s="1">
        <f t="shared" si="18"/>
        <v>7.4799999999999995</v>
      </c>
      <c r="X136" s="1">
        <f t="shared" si="24"/>
        <v>20</v>
      </c>
      <c r="Y136" s="1">
        <f t="shared" si="25"/>
        <v>0</v>
      </c>
      <c r="AG136" s="1">
        <f t="shared" si="26"/>
        <v>114</v>
      </c>
      <c r="AH136" s="14" t="s">
        <v>264</v>
      </c>
      <c r="AI136" s="8">
        <v>1.8</v>
      </c>
      <c r="AJ136" s="1">
        <f t="shared" si="19"/>
        <v>1.98</v>
      </c>
      <c r="AK136" s="1">
        <f t="shared" si="27"/>
        <v>20</v>
      </c>
      <c r="AL136" s="1">
        <f t="shared" si="28"/>
        <v>0</v>
      </c>
      <c r="AS136" s="1">
        <f t="shared" si="29"/>
        <v>114</v>
      </c>
      <c r="AT136" s="14" t="s">
        <v>264</v>
      </c>
      <c r="AU136" s="8">
        <v>26</v>
      </c>
      <c r="AV136" s="1">
        <f t="shared" si="20"/>
        <v>28.599999999999998</v>
      </c>
      <c r="AW136" s="1">
        <f t="shared" si="30"/>
        <v>20</v>
      </c>
      <c r="AX136" s="1">
        <f t="shared" si="31"/>
        <v>0</v>
      </c>
    </row>
    <row r="137" spans="8:50">
      <c r="H137" s="1">
        <f t="shared" si="21"/>
        <v>115</v>
      </c>
      <c r="I137" s="14" t="s">
        <v>264</v>
      </c>
      <c r="J137" s="127">
        <f>'Organized Input Output'!D132</f>
        <v>1.8</v>
      </c>
      <c r="K137" s="104">
        <f t="shared" si="22"/>
        <v>1.98</v>
      </c>
      <c r="L137" s="104">
        <f t="shared" si="32"/>
        <v>20</v>
      </c>
      <c r="M137" s="104">
        <f t="shared" si="33"/>
        <v>0.745</v>
      </c>
      <c r="T137" s="1">
        <f t="shared" si="23"/>
        <v>115</v>
      </c>
      <c r="U137" s="14" t="s">
        <v>264</v>
      </c>
      <c r="V137" s="8">
        <v>0.6</v>
      </c>
      <c r="W137" s="1">
        <f t="shared" si="18"/>
        <v>0.65999999999999992</v>
      </c>
      <c r="X137" s="1">
        <f t="shared" si="24"/>
        <v>19.914999999999999</v>
      </c>
      <c r="Y137" s="1">
        <f t="shared" si="25"/>
        <v>4.0750000000000011</v>
      </c>
      <c r="AG137" s="1">
        <f t="shared" si="26"/>
        <v>115</v>
      </c>
      <c r="AH137" s="14" t="s">
        <v>264</v>
      </c>
      <c r="AI137" s="8">
        <v>0</v>
      </c>
      <c r="AJ137" s="1">
        <f t="shared" si="19"/>
        <v>0</v>
      </c>
      <c r="AK137" s="1">
        <f t="shared" si="27"/>
        <v>19.254999999999999</v>
      </c>
      <c r="AL137" s="1">
        <f t="shared" si="28"/>
        <v>19.254999999999999</v>
      </c>
      <c r="AS137" s="1">
        <f t="shared" si="29"/>
        <v>115</v>
      </c>
      <c r="AT137" s="14" t="s">
        <v>264</v>
      </c>
      <c r="AU137" s="8">
        <v>1.8</v>
      </c>
      <c r="AV137" s="1">
        <f t="shared" si="20"/>
        <v>1.98</v>
      </c>
      <c r="AW137" s="1">
        <f t="shared" si="30"/>
        <v>20</v>
      </c>
      <c r="AX137" s="1">
        <f t="shared" si="31"/>
        <v>0</v>
      </c>
    </row>
    <row r="138" spans="8:50">
      <c r="H138" s="1">
        <f t="shared" si="21"/>
        <v>116</v>
      </c>
      <c r="I138" s="14" t="s">
        <v>264</v>
      </c>
      <c r="J138" s="127">
        <f>'Organized Input Output'!D133</f>
        <v>35</v>
      </c>
      <c r="K138" s="104">
        <f t="shared" si="22"/>
        <v>38.500000000000007</v>
      </c>
      <c r="L138" s="104">
        <f t="shared" si="32"/>
        <v>20</v>
      </c>
      <c r="M138" s="104">
        <f t="shared" si="33"/>
        <v>0.745</v>
      </c>
      <c r="T138" s="1">
        <f t="shared" si="23"/>
        <v>116</v>
      </c>
      <c r="U138" s="14" t="s">
        <v>264</v>
      </c>
      <c r="V138" s="8">
        <v>0.4</v>
      </c>
      <c r="W138" s="1">
        <f t="shared" si="18"/>
        <v>0.44</v>
      </c>
      <c r="X138" s="1">
        <f t="shared" si="24"/>
        <v>19.61</v>
      </c>
      <c r="Y138" s="1">
        <f t="shared" si="25"/>
        <v>9.0499999999999989</v>
      </c>
      <c r="AG138" s="1">
        <f t="shared" si="26"/>
        <v>116</v>
      </c>
      <c r="AH138" s="14" t="s">
        <v>264</v>
      </c>
      <c r="AI138" s="8">
        <v>4.2</v>
      </c>
      <c r="AJ138" s="1">
        <f t="shared" si="19"/>
        <v>4.620000000000001</v>
      </c>
      <c r="AK138" s="1">
        <f t="shared" si="27"/>
        <v>20</v>
      </c>
      <c r="AL138" s="1">
        <f t="shared" si="28"/>
        <v>0</v>
      </c>
      <c r="AS138" s="1">
        <f t="shared" si="29"/>
        <v>116</v>
      </c>
      <c r="AT138" s="14" t="s">
        <v>264</v>
      </c>
      <c r="AU138" s="8">
        <v>35</v>
      </c>
      <c r="AV138" s="1">
        <f t="shared" si="20"/>
        <v>38.500000000000007</v>
      </c>
      <c r="AW138" s="1">
        <f t="shared" si="30"/>
        <v>20</v>
      </c>
      <c r="AX138" s="1">
        <f t="shared" si="31"/>
        <v>0</v>
      </c>
    </row>
    <row r="139" spans="8:50">
      <c r="H139" s="1">
        <f t="shared" si="21"/>
        <v>117</v>
      </c>
      <c r="I139" s="14" t="s">
        <v>264</v>
      </c>
      <c r="J139" s="127">
        <f>'Organized Input Output'!D134</f>
        <v>7.2</v>
      </c>
      <c r="K139" s="104">
        <f t="shared" si="22"/>
        <v>7.92</v>
      </c>
      <c r="L139" s="104">
        <f t="shared" si="32"/>
        <v>20</v>
      </c>
      <c r="M139" s="104">
        <f t="shared" si="33"/>
        <v>0.745</v>
      </c>
      <c r="T139" s="1">
        <f t="shared" si="23"/>
        <v>117</v>
      </c>
      <c r="U139" s="14" t="s">
        <v>264</v>
      </c>
      <c r="V139" s="8">
        <v>1.2</v>
      </c>
      <c r="W139" s="1">
        <f t="shared" si="18"/>
        <v>1.3199999999999998</v>
      </c>
      <c r="X139" s="1">
        <f t="shared" si="24"/>
        <v>20</v>
      </c>
      <c r="Y139" s="1">
        <f t="shared" si="25"/>
        <v>0</v>
      </c>
      <c r="AG139" s="1">
        <f t="shared" si="26"/>
        <v>117</v>
      </c>
      <c r="AH139" s="14" t="s">
        <v>264</v>
      </c>
      <c r="AI139" s="8">
        <v>22.4</v>
      </c>
      <c r="AJ139" s="1">
        <f t="shared" si="19"/>
        <v>24.64</v>
      </c>
      <c r="AK139" s="1">
        <f t="shared" si="27"/>
        <v>20</v>
      </c>
      <c r="AL139" s="1">
        <f t="shared" si="28"/>
        <v>0</v>
      </c>
      <c r="AS139" s="1">
        <f t="shared" si="29"/>
        <v>117</v>
      </c>
      <c r="AT139" s="14" t="s">
        <v>264</v>
      </c>
      <c r="AU139" s="8">
        <v>7.2</v>
      </c>
      <c r="AV139" s="1">
        <f t="shared" si="20"/>
        <v>7.92</v>
      </c>
      <c r="AW139" s="1">
        <f t="shared" si="30"/>
        <v>20</v>
      </c>
      <c r="AX139" s="1">
        <f t="shared" si="31"/>
        <v>0</v>
      </c>
    </row>
    <row r="140" spans="8:50">
      <c r="H140" s="1">
        <f t="shared" si="21"/>
        <v>118</v>
      </c>
      <c r="I140" s="14" t="s">
        <v>264</v>
      </c>
      <c r="J140" s="127">
        <f>'Organized Input Output'!D135</f>
        <v>0.8</v>
      </c>
      <c r="K140" s="104">
        <f t="shared" si="22"/>
        <v>0.88</v>
      </c>
      <c r="L140" s="104">
        <f t="shared" si="32"/>
        <v>20</v>
      </c>
      <c r="M140" s="104">
        <f t="shared" si="33"/>
        <v>0.745</v>
      </c>
      <c r="T140" s="1">
        <f t="shared" si="23"/>
        <v>118</v>
      </c>
      <c r="U140" s="14" t="s">
        <v>264</v>
      </c>
      <c r="V140" s="8">
        <v>0.8</v>
      </c>
      <c r="W140" s="1">
        <f t="shared" si="18"/>
        <v>0.88</v>
      </c>
      <c r="X140" s="1">
        <f t="shared" si="24"/>
        <v>20</v>
      </c>
      <c r="Y140" s="1">
        <f t="shared" si="25"/>
        <v>0</v>
      </c>
      <c r="AG140" s="1">
        <f t="shared" si="26"/>
        <v>118</v>
      </c>
      <c r="AH140" s="14" t="s">
        <v>264</v>
      </c>
      <c r="AI140" s="8">
        <v>15.4</v>
      </c>
      <c r="AJ140" s="1">
        <f t="shared" si="19"/>
        <v>16.940000000000001</v>
      </c>
      <c r="AK140" s="1">
        <f t="shared" si="27"/>
        <v>20</v>
      </c>
      <c r="AL140" s="1">
        <f t="shared" si="28"/>
        <v>0</v>
      </c>
      <c r="AS140" s="1">
        <f t="shared" si="29"/>
        <v>118</v>
      </c>
      <c r="AT140" s="14" t="s">
        <v>264</v>
      </c>
      <c r="AU140" s="8">
        <v>0.8</v>
      </c>
      <c r="AV140" s="1">
        <f t="shared" si="20"/>
        <v>0.88</v>
      </c>
      <c r="AW140" s="1">
        <f t="shared" si="30"/>
        <v>20</v>
      </c>
      <c r="AX140" s="1">
        <f t="shared" si="31"/>
        <v>0</v>
      </c>
    </row>
    <row r="141" spans="8:50">
      <c r="H141" s="1">
        <f t="shared" si="21"/>
        <v>119</v>
      </c>
      <c r="I141" s="14" t="s">
        <v>264</v>
      </c>
      <c r="J141" s="127">
        <f>'Organized Input Output'!D136</f>
        <v>0.1</v>
      </c>
      <c r="K141" s="104">
        <f t="shared" si="22"/>
        <v>0.11</v>
      </c>
      <c r="L141" s="104">
        <f t="shared" si="32"/>
        <v>19.364999999999998</v>
      </c>
      <c r="M141" s="104">
        <f t="shared" si="33"/>
        <v>0.745</v>
      </c>
      <c r="T141" s="1">
        <f t="shared" si="23"/>
        <v>119</v>
      </c>
      <c r="U141" s="14" t="s">
        <v>264</v>
      </c>
      <c r="V141" s="8">
        <v>0</v>
      </c>
      <c r="W141" s="1">
        <f t="shared" si="18"/>
        <v>0</v>
      </c>
      <c r="X141" s="1">
        <f t="shared" si="24"/>
        <v>19.254999999999999</v>
      </c>
      <c r="Y141" s="1">
        <f t="shared" si="25"/>
        <v>19.254999999999999</v>
      </c>
      <c r="AG141" s="1">
        <f t="shared" si="26"/>
        <v>119</v>
      </c>
      <c r="AH141" s="14" t="s">
        <v>264</v>
      </c>
      <c r="AI141" s="8">
        <v>27.6</v>
      </c>
      <c r="AJ141" s="1">
        <f t="shared" si="19"/>
        <v>30.360000000000003</v>
      </c>
      <c r="AK141" s="1">
        <f t="shared" si="27"/>
        <v>20</v>
      </c>
      <c r="AL141" s="1">
        <f t="shared" si="28"/>
        <v>0</v>
      </c>
      <c r="AS141" s="1">
        <f t="shared" si="29"/>
        <v>119</v>
      </c>
      <c r="AT141" s="14" t="s">
        <v>264</v>
      </c>
      <c r="AU141" s="8">
        <v>0.1</v>
      </c>
      <c r="AV141" s="1">
        <f t="shared" si="20"/>
        <v>0.11</v>
      </c>
      <c r="AW141" s="1">
        <f t="shared" si="30"/>
        <v>19.364999999999998</v>
      </c>
      <c r="AX141" s="1">
        <f t="shared" si="31"/>
        <v>16.724999999999998</v>
      </c>
    </row>
    <row r="142" spans="8:50">
      <c r="H142" s="1">
        <f t="shared" si="21"/>
        <v>120</v>
      </c>
      <c r="I142" s="14" t="s">
        <v>264</v>
      </c>
      <c r="J142" s="127">
        <f>'Organized Input Output'!D137</f>
        <v>0</v>
      </c>
      <c r="K142" s="104">
        <f t="shared" si="22"/>
        <v>0</v>
      </c>
      <c r="L142" s="104">
        <f t="shared" si="32"/>
        <v>18.619999999999997</v>
      </c>
      <c r="M142" s="104">
        <f t="shared" si="33"/>
        <v>0.745</v>
      </c>
      <c r="T142" s="1">
        <f t="shared" si="23"/>
        <v>120</v>
      </c>
      <c r="U142" s="14" t="s">
        <v>264</v>
      </c>
      <c r="V142" s="8">
        <v>1.6</v>
      </c>
      <c r="W142" s="1">
        <f t="shared" si="18"/>
        <v>1.76</v>
      </c>
      <c r="X142" s="1">
        <f t="shared" si="24"/>
        <v>20</v>
      </c>
      <c r="Y142" s="1">
        <f t="shared" si="25"/>
        <v>0</v>
      </c>
      <c r="AG142" s="1">
        <f t="shared" si="26"/>
        <v>120</v>
      </c>
      <c r="AH142" s="14" t="s">
        <v>264</v>
      </c>
      <c r="AI142" s="8">
        <v>4.8</v>
      </c>
      <c r="AJ142" s="1">
        <f t="shared" si="19"/>
        <v>5.2799999999999994</v>
      </c>
      <c r="AK142" s="1">
        <f t="shared" si="27"/>
        <v>20</v>
      </c>
      <c r="AL142" s="1">
        <f t="shared" si="28"/>
        <v>0</v>
      </c>
      <c r="AS142" s="1">
        <f t="shared" si="29"/>
        <v>120</v>
      </c>
      <c r="AT142" s="14" t="s">
        <v>264</v>
      </c>
      <c r="AU142" s="8">
        <v>0</v>
      </c>
      <c r="AV142" s="1">
        <f t="shared" si="20"/>
        <v>0</v>
      </c>
      <c r="AW142" s="1">
        <f t="shared" si="30"/>
        <v>18.619999999999997</v>
      </c>
      <c r="AX142" s="1">
        <f t="shared" si="31"/>
        <v>18.619999999999997</v>
      </c>
    </row>
    <row r="143" spans="8:50">
      <c r="H143" s="1">
        <f t="shared" si="21"/>
        <v>121</v>
      </c>
      <c r="I143" s="14" t="s">
        <v>267</v>
      </c>
      <c r="J143" s="127">
        <f>'Organized Input Output'!D138</f>
        <v>0</v>
      </c>
      <c r="K143" s="104">
        <f t="shared" si="22"/>
        <v>0</v>
      </c>
      <c r="L143" s="104">
        <f t="shared" si="32"/>
        <v>17.874999999999996</v>
      </c>
      <c r="M143" s="104">
        <f t="shared" si="33"/>
        <v>0.745</v>
      </c>
      <c r="T143" s="1">
        <f t="shared" si="23"/>
        <v>121</v>
      </c>
      <c r="U143" s="14" t="s">
        <v>267</v>
      </c>
      <c r="V143" s="8">
        <v>0</v>
      </c>
      <c r="W143" s="1">
        <f t="shared" si="18"/>
        <v>0</v>
      </c>
      <c r="X143" s="1">
        <f t="shared" si="24"/>
        <v>19.254999999999999</v>
      </c>
      <c r="Y143" s="1">
        <f t="shared" si="25"/>
        <v>19.254999999999999</v>
      </c>
      <c r="AG143" s="1">
        <f t="shared" si="26"/>
        <v>121</v>
      </c>
      <c r="AH143" s="14" t="s">
        <v>267</v>
      </c>
      <c r="AI143" s="8">
        <v>0.8</v>
      </c>
      <c r="AJ143" s="1">
        <f t="shared" si="19"/>
        <v>0.88</v>
      </c>
      <c r="AK143" s="1">
        <f t="shared" si="27"/>
        <v>20</v>
      </c>
      <c r="AL143" s="1">
        <f t="shared" si="28"/>
        <v>0</v>
      </c>
      <c r="AS143" s="1">
        <f t="shared" si="29"/>
        <v>121</v>
      </c>
      <c r="AT143" s="14" t="s">
        <v>267</v>
      </c>
      <c r="AU143" s="8">
        <v>0</v>
      </c>
      <c r="AV143" s="1">
        <f t="shared" si="20"/>
        <v>0</v>
      </c>
      <c r="AW143" s="1">
        <f t="shared" si="30"/>
        <v>17.874999999999996</v>
      </c>
      <c r="AX143" s="1">
        <f t="shared" si="31"/>
        <v>17.874999999999996</v>
      </c>
    </row>
    <row r="144" spans="8:50">
      <c r="H144" s="1">
        <f t="shared" si="21"/>
        <v>122</v>
      </c>
      <c r="I144" s="14" t="s">
        <v>267</v>
      </c>
      <c r="J144" s="127">
        <f>'Organized Input Output'!D139</f>
        <v>2</v>
      </c>
      <c r="K144" s="104">
        <f t="shared" si="22"/>
        <v>2.2000000000000002</v>
      </c>
      <c r="L144" s="104">
        <f t="shared" si="32"/>
        <v>19.329999999999995</v>
      </c>
      <c r="M144" s="104">
        <f t="shared" si="33"/>
        <v>0.745</v>
      </c>
      <c r="T144" s="1">
        <f t="shared" si="23"/>
        <v>122</v>
      </c>
      <c r="U144" s="14" t="s">
        <v>267</v>
      </c>
      <c r="V144" s="8">
        <v>0</v>
      </c>
      <c r="W144" s="1">
        <f t="shared" si="18"/>
        <v>0</v>
      </c>
      <c r="X144" s="1">
        <f t="shared" si="24"/>
        <v>18.509999999999998</v>
      </c>
      <c r="Y144" s="1">
        <f t="shared" si="25"/>
        <v>18.509999999999998</v>
      </c>
      <c r="AG144" s="1">
        <f t="shared" si="26"/>
        <v>122</v>
      </c>
      <c r="AH144" s="14" t="s">
        <v>267</v>
      </c>
      <c r="AI144" s="8">
        <v>0</v>
      </c>
      <c r="AJ144" s="1">
        <f t="shared" si="19"/>
        <v>0</v>
      </c>
      <c r="AK144" s="1">
        <f t="shared" si="27"/>
        <v>19.254999999999999</v>
      </c>
      <c r="AL144" s="1">
        <f t="shared" si="28"/>
        <v>19.254999999999999</v>
      </c>
      <c r="AS144" s="1">
        <f t="shared" si="29"/>
        <v>122</v>
      </c>
      <c r="AT144" s="14" t="s">
        <v>267</v>
      </c>
      <c r="AU144" s="8">
        <v>2</v>
      </c>
      <c r="AV144" s="1">
        <f t="shared" si="20"/>
        <v>2.2000000000000002</v>
      </c>
      <c r="AW144" s="1">
        <f t="shared" si="30"/>
        <v>19.329999999999995</v>
      </c>
      <c r="AX144" s="1">
        <f t="shared" si="31"/>
        <v>0</v>
      </c>
    </row>
    <row r="145" spans="8:50">
      <c r="H145" s="1">
        <f t="shared" si="21"/>
        <v>123</v>
      </c>
      <c r="I145" s="14" t="s">
        <v>267</v>
      </c>
      <c r="J145" s="127">
        <f>'Organized Input Output'!D140</f>
        <v>4.5999999999999996</v>
      </c>
      <c r="K145" s="104">
        <f t="shared" si="22"/>
        <v>5.0599999999999996</v>
      </c>
      <c r="L145" s="104">
        <f t="shared" si="32"/>
        <v>20</v>
      </c>
      <c r="M145" s="104">
        <f t="shared" si="33"/>
        <v>0.745</v>
      </c>
      <c r="T145" s="1">
        <f t="shared" si="23"/>
        <v>123</v>
      </c>
      <c r="U145" s="14" t="s">
        <v>267</v>
      </c>
      <c r="V145" s="8">
        <v>0</v>
      </c>
      <c r="W145" s="1">
        <f t="shared" si="18"/>
        <v>0</v>
      </c>
      <c r="X145" s="1">
        <f t="shared" si="24"/>
        <v>17.764999999999997</v>
      </c>
      <c r="Y145" s="1">
        <f t="shared" si="25"/>
        <v>17.764999999999997</v>
      </c>
      <c r="AG145" s="1">
        <f t="shared" si="26"/>
        <v>123</v>
      </c>
      <c r="AH145" s="14" t="s">
        <v>267</v>
      </c>
      <c r="AI145" s="8">
        <v>0</v>
      </c>
      <c r="AJ145" s="1">
        <f t="shared" si="19"/>
        <v>0</v>
      </c>
      <c r="AK145" s="1">
        <f t="shared" si="27"/>
        <v>18.509999999999998</v>
      </c>
      <c r="AL145" s="1">
        <f t="shared" si="28"/>
        <v>18.509999999999998</v>
      </c>
      <c r="AS145" s="1">
        <f t="shared" si="29"/>
        <v>123</v>
      </c>
      <c r="AT145" s="14" t="s">
        <v>267</v>
      </c>
      <c r="AU145" s="8">
        <v>4.5999999999999996</v>
      </c>
      <c r="AV145" s="1">
        <f t="shared" si="20"/>
        <v>5.0599999999999996</v>
      </c>
      <c r="AW145" s="1">
        <f t="shared" si="30"/>
        <v>20</v>
      </c>
      <c r="AX145" s="1">
        <f t="shared" si="31"/>
        <v>0</v>
      </c>
    </row>
    <row r="146" spans="8:50">
      <c r="H146" s="1">
        <f t="shared" si="21"/>
        <v>124</v>
      </c>
      <c r="I146" s="14" t="s">
        <v>267</v>
      </c>
      <c r="J146" s="127">
        <f>'Organized Input Output'!D141</f>
        <v>3.8</v>
      </c>
      <c r="K146" s="104">
        <f t="shared" si="22"/>
        <v>4.18</v>
      </c>
      <c r="L146" s="104">
        <f t="shared" si="32"/>
        <v>20</v>
      </c>
      <c r="M146" s="104">
        <f t="shared" si="33"/>
        <v>0.745</v>
      </c>
      <c r="T146" s="1">
        <f t="shared" si="23"/>
        <v>124</v>
      </c>
      <c r="U146" s="14" t="s">
        <v>267</v>
      </c>
      <c r="V146" s="8">
        <v>0.4</v>
      </c>
      <c r="W146" s="1">
        <f t="shared" si="18"/>
        <v>0.44</v>
      </c>
      <c r="X146" s="1">
        <f t="shared" si="24"/>
        <v>17.459999999999997</v>
      </c>
      <c r="Y146" s="1">
        <f t="shared" si="25"/>
        <v>6.8999999999999968</v>
      </c>
      <c r="AG146" s="1">
        <f t="shared" si="26"/>
        <v>124</v>
      </c>
      <c r="AH146" s="14" t="s">
        <v>267</v>
      </c>
      <c r="AI146" s="8">
        <v>19.8</v>
      </c>
      <c r="AJ146" s="1">
        <f t="shared" si="19"/>
        <v>21.78</v>
      </c>
      <c r="AK146" s="1">
        <f t="shared" si="27"/>
        <v>20</v>
      </c>
      <c r="AL146" s="1">
        <f t="shared" si="28"/>
        <v>0</v>
      </c>
      <c r="AS146" s="1">
        <f t="shared" si="29"/>
        <v>124</v>
      </c>
      <c r="AT146" s="14" t="s">
        <v>267</v>
      </c>
      <c r="AU146" s="8">
        <v>3.8</v>
      </c>
      <c r="AV146" s="1">
        <f t="shared" si="20"/>
        <v>4.18</v>
      </c>
      <c r="AW146" s="1">
        <f t="shared" si="30"/>
        <v>20</v>
      </c>
      <c r="AX146" s="1">
        <f t="shared" si="31"/>
        <v>0</v>
      </c>
    </row>
    <row r="147" spans="8:50">
      <c r="H147" s="1">
        <f t="shared" si="21"/>
        <v>125</v>
      </c>
      <c r="I147" s="14" t="s">
        <v>267</v>
      </c>
      <c r="J147" s="127">
        <f>'Organized Input Output'!D142</f>
        <v>0</v>
      </c>
      <c r="K147" s="104">
        <f t="shared" si="22"/>
        <v>0</v>
      </c>
      <c r="L147" s="104">
        <f t="shared" si="32"/>
        <v>19.254999999999999</v>
      </c>
      <c r="M147" s="104">
        <f t="shared" si="33"/>
        <v>0.745</v>
      </c>
      <c r="T147" s="1">
        <f t="shared" si="23"/>
        <v>125</v>
      </c>
      <c r="U147" s="14" t="s">
        <v>267</v>
      </c>
      <c r="V147" s="8">
        <v>1.6</v>
      </c>
      <c r="W147" s="1">
        <f t="shared" si="18"/>
        <v>1.76</v>
      </c>
      <c r="X147" s="1">
        <f t="shared" si="24"/>
        <v>18.474999999999998</v>
      </c>
      <c r="Y147" s="1">
        <f t="shared" si="25"/>
        <v>0</v>
      </c>
      <c r="AG147" s="1">
        <f t="shared" si="26"/>
        <v>125</v>
      </c>
      <c r="AH147" s="14" t="s">
        <v>267</v>
      </c>
      <c r="AI147" s="8">
        <v>0.4</v>
      </c>
      <c r="AJ147" s="1">
        <f t="shared" si="19"/>
        <v>0.44</v>
      </c>
      <c r="AK147" s="1">
        <f t="shared" si="27"/>
        <v>19.695</v>
      </c>
      <c r="AL147" s="1">
        <f t="shared" si="28"/>
        <v>9.1349999999999998</v>
      </c>
      <c r="AS147" s="1">
        <f t="shared" si="29"/>
        <v>125</v>
      </c>
      <c r="AT147" s="14" t="s">
        <v>267</v>
      </c>
      <c r="AU147" s="8">
        <v>0</v>
      </c>
      <c r="AV147" s="1">
        <f t="shared" si="20"/>
        <v>0</v>
      </c>
      <c r="AW147" s="1">
        <f t="shared" si="30"/>
        <v>19.254999999999999</v>
      </c>
      <c r="AX147" s="1">
        <f t="shared" si="31"/>
        <v>19.254999999999999</v>
      </c>
    </row>
    <row r="148" spans="8:50">
      <c r="H148" s="1">
        <f t="shared" si="21"/>
        <v>126</v>
      </c>
      <c r="I148" s="14" t="s">
        <v>267</v>
      </c>
      <c r="J148" s="127">
        <f>'Organized Input Output'!D143</f>
        <v>0</v>
      </c>
      <c r="K148" s="104">
        <f t="shared" si="22"/>
        <v>0</v>
      </c>
      <c r="L148" s="104">
        <f t="shared" si="32"/>
        <v>18.509999999999998</v>
      </c>
      <c r="M148" s="104">
        <f t="shared" si="33"/>
        <v>0.745</v>
      </c>
      <c r="T148" s="1">
        <f t="shared" si="23"/>
        <v>126</v>
      </c>
      <c r="U148" s="14" t="s">
        <v>267</v>
      </c>
      <c r="V148" s="8">
        <v>0</v>
      </c>
      <c r="W148" s="1">
        <f t="shared" si="18"/>
        <v>0</v>
      </c>
      <c r="X148" s="1">
        <f t="shared" si="24"/>
        <v>17.729999999999997</v>
      </c>
      <c r="Y148" s="1">
        <f t="shared" si="25"/>
        <v>17.729999999999997</v>
      </c>
      <c r="AG148" s="1">
        <f t="shared" si="26"/>
        <v>126</v>
      </c>
      <c r="AH148" s="14" t="s">
        <v>267</v>
      </c>
      <c r="AI148" s="8">
        <v>0</v>
      </c>
      <c r="AJ148" s="1">
        <f t="shared" si="19"/>
        <v>0</v>
      </c>
      <c r="AK148" s="1">
        <f t="shared" si="27"/>
        <v>18.95</v>
      </c>
      <c r="AL148" s="1">
        <f t="shared" si="28"/>
        <v>18.95</v>
      </c>
      <c r="AS148" s="1">
        <f t="shared" si="29"/>
        <v>126</v>
      </c>
      <c r="AT148" s="14" t="s">
        <v>267</v>
      </c>
      <c r="AU148" s="8">
        <v>0</v>
      </c>
      <c r="AV148" s="1">
        <f t="shared" si="20"/>
        <v>0</v>
      </c>
      <c r="AW148" s="1">
        <f t="shared" si="30"/>
        <v>18.509999999999998</v>
      </c>
      <c r="AX148" s="1">
        <f t="shared" si="31"/>
        <v>18.509999999999998</v>
      </c>
    </row>
    <row r="149" spans="8:50">
      <c r="H149" s="1">
        <f t="shared" si="21"/>
        <v>127</v>
      </c>
      <c r="I149" s="14" t="s">
        <v>267</v>
      </c>
      <c r="J149" s="127">
        <f>'Organized Input Output'!D144</f>
        <v>0</v>
      </c>
      <c r="K149" s="104">
        <f t="shared" si="22"/>
        <v>0</v>
      </c>
      <c r="L149" s="104">
        <f t="shared" si="32"/>
        <v>17.764999999999997</v>
      </c>
      <c r="M149" s="104">
        <f t="shared" si="33"/>
        <v>0.745</v>
      </c>
      <c r="T149" s="1">
        <f t="shared" si="23"/>
        <v>127</v>
      </c>
      <c r="U149" s="14" t="s">
        <v>267</v>
      </c>
      <c r="V149" s="8">
        <v>0</v>
      </c>
      <c r="W149" s="1">
        <f t="shared" si="18"/>
        <v>0</v>
      </c>
      <c r="X149" s="1">
        <f t="shared" si="24"/>
        <v>16.984999999999996</v>
      </c>
      <c r="Y149" s="1">
        <f t="shared" si="25"/>
        <v>16.984999999999996</v>
      </c>
      <c r="AG149" s="1">
        <f t="shared" si="26"/>
        <v>127</v>
      </c>
      <c r="AH149" s="14" t="s">
        <v>267</v>
      </c>
      <c r="AI149" s="8">
        <v>0</v>
      </c>
      <c r="AJ149" s="1">
        <f t="shared" si="19"/>
        <v>0</v>
      </c>
      <c r="AK149" s="1">
        <f t="shared" si="27"/>
        <v>18.204999999999998</v>
      </c>
      <c r="AL149" s="1">
        <f t="shared" si="28"/>
        <v>18.204999999999998</v>
      </c>
      <c r="AS149" s="1">
        <f t="shared" si="29"/>
        <v>127</v>
      </c>
      <c r="AT149" s="14" t="s">
        <v>267</v>
      </c>
      <c r="AU149" s="8">
        <v>0</v>
      </c>
      <c r="AV149" s="1">
        <f t="shared" si="20"/>
        <v>0</v>
      </c>
      <c r="AW149" s="1">
        <f t="shared" si="30"/>
        <v>17.764999999999997</v>
      </c>
      <c r="AX149" s="1">
        <f t="shared" si="31"/>
        <v>17.764999999999997</v>
      </c>
    </row>
    <row r="150" spans="8:50">
      <c r="H150" s="1">
        <f t="shared" si="21"/>
        <v>128</v>
      </c>
      <c r="I150" s="14" t="s">
        <v>267</v>
      </c>
      <c r="J150" s="127">
        <f>'Organized Input Output'!D145</f>
        <v>0</v>
      </c>
      <c r="K150" s="104">
        <f t="shared" si="22"/>
        <v>0</v>
      </c>
      <c r="L150" s="104">
        <f t="shared" si="32"/>
        <v>17.019999999999996</v>
      </c>
      <c r="M150" s="104">
        <f t="shared" si="33"/>
        <v>0.745</v>
      </c>
      <c r="T150" s="1">
        <f t="shared" si="23"/>
        <v>128</v>
      </c>
      <c r="U150" s="14" t="s">
        <v>267</v>
      </c>
      <c r="V150" s="8">
        <v>0</v>
      </c>
      <c r="W150" s="1">
        <f t="shared" si="18"/>
        <v>0</v>
      </c>
      <c r="X150" s="1">
        <f t="shared" si="24"/>
        <v>16.239999999999995</v>
      </c>
      <c r="Y150" s="1">
        <f t="shared" si="25"/>
        <v>16.239999999999995</v>
      </c>
      <c r="AG150" s="1">
        <f t="shared" si="26"/>
        <v>128</v>
      </c>
      <c r="AH150" s="14" t="s">
        <v>267</v>
      </c>
      <c r="AI150" s="8">
        <v>0</v>
      </c>
      <c r="AJ150" s="1">
        <f t="shared" si="19"/>
        <v>0</v>
      </c>
      <c r="AK150" s="1">
        <f t="shared" si="27"/>
        <v>17.459999999999997</v>
      </c>
      <c r="AL150" s="1">
        <f t="shared" si="28"/>
        <v>17.459999999999997</v>
      </c>
      <c r="AS150" s="1">
        <f t="shared" si="29"/>
        <v>128</v>
      </c>
      <c r="AT150" s="14" t="s">
        <v>267</v>
      </c>
      <c r="AU150" s="8">
        <v>0</v>
      </c>
      <c r="AV150" s="1">
        <f t="shared" si="20"/>
        <v>0</v>
      </c>
      <c r="AW150" s="1">
        <f t="shared" si="30"/>
        <v>17.019999999999996</v>
      </c>
      <c r="AX150" s="1">
        <f t="shared" si="31"/>
        <v>17.019999999999996</v>
      </c>
    </row>
    <row r="151" spans="8:50">
      <c r="H151" s="1">
        <f t="shared" si="21"/>
        <v>129</v>
      </c>
      <c r="I151" s="14" t="s">
        <v>267</v>
      </c>
      <c r="J151" s="127">
        <f>'Organized Input Output'!D146</f>
        <v>0</v>
      </c>
      <c r="K151" s="104">
        <f t="shared" si="22"/>
        <v>0</v>
      </c>
      <c r="L151" s="104">
        <f t="shared" si="32"/>
        <v>16.274999999999995</v>
      </c>
      <c r="M151" s="104">
        <f t="shared" si="33"/>
        <v>0.745</v>
      </c>
      <c r="T151" s="1">
        <f t="shared" si="23"/>
        <v>129</v>
      </c>
      <c r="U151" s="14" t="s">
        <v>267</v>
      </c>
      <c r="V151" s="8">
        <v>0</v>
      </c>
      <c r="W151" s="1">
        <f t="shared" ref="W151:W214" si="34">(V151/1000)*$B$7</f>
        <v>0</v>
      </c>
      <c r="X151" s="1">
        <f t="shared" si="24"/>
        <v>15.494999999999996</v>
      </c>
      <c r="Y151" s="1">
        <f t="shared" si="25"/>
        <v>15.494999999999996</v>
      </c>
      <c r="AG151" s="1">
        <f t="shared" si="26"/>
        <v>129</v>
      </c>
      <c r="AH151" s="14" t="s">
        <v>267</v>
      </c>
      <c r="AI151" s="8">
        <v>0</v>
      </c>
      <c r="AJ151" s="1">
        <f t="shared" ref="AJ151:AJ214" si="35">(AI151/1000)*$B$7</f>
        <v>0</v>
      </c>
      <c r="AK151" s="1">
        <f t="shared" si="27"/>
        <v>16.714999999999996</v>
      </c>
      <c r="AL151" s="1">
        <f t="shared" si="28"/>
        <v>16.714999999999996</v>
      </c>
      <c r="AS151" s="1">
        <f t="shared" si="29"/>
        <v>129</v>
      </c>
      <c r="AT151" s="14" t="s">
        <v>267</v>
      </c>
      <c r="AU151" s="8">
        <v>0</v>
      </c>
      <c r="AV151" s="1">
        <f t="shared" ref="AV151:AV214" si="36">(AU151/1000)*$B$7</f>
        <v>0</v>
      </c>
      <c r="AW151" s="1">
        <f t="shared" si="30"/>
        <v>16.274999999999995</v>
      </c>
      <c r="AX151" s="1">
        <f t="shared" si="31"/>
        <v>16.274999999999995</v>
      </c>
    </row>
    <row r="152" spans="8:50">
      <c r="H152" s="1">
        <f t="shared" ref="H152:H215" si="37">H151+1</f>
        <v>130</v>
      </c>
      <c r="I152" s="14" t="s">
        <v>267</v>
      </c>
      <c r="J152" s="127">
        <f>'Organized Input Output'!D147</f>
        <v>0.2</v>
      </c>
      <c r="K152" s="104">
        <f t="shared" ref="K152:K215" si="38">(J152/1000)*$B$7</f>
        <v>0.22</v>
      </c>
      <c r="L152" s="104">
        <f t="shared" si="32"/>
        <v>15.749999999999995</v>
      </c>
      <c r="M152" s="104">
        <f t="shared" si="33"/>
        <v>0.745</v>
      </c>
      <c r="T152" s="1">
        <f t="shared" ref="T152:T215" si="39">T151+1</f>
        <v>130</v>
      </c>
      <c r="U152" s="14" t="s">
        <v>267</v>
      </c>
      <c r="V152" s="8">
        <v>0</v>
      </c>
      <c r="W152" s="1">
        <f t="shared" si="34"/>
        <v>0</v>
      </c>
      <c r="X152" s="1">
        <f t="shared" ref="X152:X215" si="40">IF(MAX(0,MIN($B$8,X151 + W152 - $D$11))&gt;$B$8, $B$8, MAX(0,MIN($B$8,X151 + W152 - $D$11)))</f>
        <v>14.749999999999996</v>
      </c>
      <c r="Y152" s="1">
        <f t="shared" ref="Y152:Y215" si="41">IF(ISNUMBER(MATCH($M$7, U152:U516, 0)), 0, MAX(0, X152-(W152*24)))</f>
        <v>14.749999999999996</v>
      </c>
      <c r="AG152" s="1">
        <f t="shared" ref="AG152:AG215" si="42">AG151+1</f>
        <v>130</v>
      </c>
      <c r="AH152" s="14" t="s">
        <v>267</v>
      </c>
      <c r="AI152" s="8">
        <v>0.4</v>
      </c>
      <c r="AJ152" s="1">
        <f t="shared" si="35"/>
        <v>0.44</v>
      </c>
      <c r="AK152" s="1">
        <f t="shared" ref="AK152:AK215" si="43">IF(MAX(0,MIN($B$8,AK151 + AJ152 - $D$11))&gt;$B$8, $B$8, MAX(0,MIN($B$8,AK151 + AJ152 - $D$11)))</f>
        <v>16.409999999999997</v>
      </c>
      <c r="AL152" s="1">
        <f t="shared" ref="AL152:AL215" si="44">IF(ISNUMBER(MATCH($M$7, AH152:AH515, 0)), 0, MAX(0, AK152-(AJ152*24)))</f>
        <v>5.8499999999999961</v>
      </c>
      <c r="AS152" s="1">
        <f t="shared" ref="AS152:AS215" si="45">AS151+1</f>
        <v>130</v>
      </c>
      <c r="AT152" s="14" t="s">
        <v>267</v>
      </c>
      <c r="AU152" s="8">
        <v>0.2</v>
      </c>
      <c r="AV152" s="1">
        <f t="shared" si="36"/>
        <v>0.22</v>
      </c>
      <c r="AW152" s="1">
        <f t="shared" ref="AW152:AW215" si="46">IF(MAX(0,MIN($B$8,AW151 + AV152 - $D$11))&gt;$B$8, $B$8, MAX(0,MIN($B$8,AW151 + AV152 - $D$11)))</f>
        <v>15.749999999999995</v>
      </c>
      <c r="AX152" s="1">
        <f t="shared" ref="AX152:AX215" si="47">IF(ISNUMBER(MATCH($M$7, AT152:AT515, 0)), 0, MAX(0, (AW152-(AV152*24))))</f>
        <v>10.469999999999995</v>
      </c>
    </row>
    <row r="153" spans="8:50">
      <c r="H153" s="1">
        <f t="shared" si="37"/>
        <v>131</v>
      </c>
      <c r="I153" s="14" t="s">
        <v>267</v>
      </c>
      <c r="J153" s="127">
        <f>'Organized Input Output'!D148</f>
        <v>0</v>
      </c>
      <c r="K153" s="104">
        <f t="shared" si="38"/>
        <v>0</v>
      </c>
      <c r="L153" s="104">
        <f t="shared" ref="L153:L216" si="48">MAX(0, IF(I152 = "Jan", MIN($B$8, K153 + L152), MIN($B$8, L152 + K153 - $D$11)))</f>
        <v>15.004999999999995</v>
      </c>
      <c r="M153" s="104">
        <f t="shared" si="33"/>
        <v>0.745</v>
      </c>
      <c r="T153" s="1">
        <f t="shared" si="39"/>
        <v>131</v>
      </c>
      <c r="U153" s="14" t="s">
        <v>267</v>
      </c>
      <c r="V153" s="8">
        <v>0</v>
      </c>
      <c r="W153" s="1">
        <f t="shared" si="34"/>
        <v>0</v>
      </c>
      <c r="X153" s="1">
        <f t="shared" si="40"/>
        <v>14.004999999999997</v>
      </c>
      <c r="Y153" s="1">
        <f t="shared" si="41"/>
        <v>14.004999999999997</v>
      </c>
      <c r="AG153" s="1">
        <f t="shared" si="42"/>
        <v>131</v>
      </c>
      <c r="AH153" s="14" t="s">
        <v>267</v>
      </c>
      <c r="AI153" s="8">
        <v>0</v>
      </c>
      <c r="AJ153" s="1">
        <f t="shared" si="35"/>
        <v>0</v>
      </c>
      <c r="AK153" s="1">
        <f t="shared" si="43"/>
        <v>15.664999999999997</v>
      </c>
      <c r="AL153" s="1">
        <f t="shared" si="44"/>
        <v>15.664999999999997</v>
      </c>
      <c r="AS153" s="1">
        <f t="shared" si="45"/>
        <v>131</v>
      </c>
      <c r="AT153" s="14" t="s">
        <v>267</v>
      </c>
      <c r="AU153" s="8">
        <v>0</v>
      </c>
      <c r="AV153" s="1">
        <f t="shared" si="36"/>
        <v>0</v>
      </c>
      <c r="AW153" s="1">
        <f t="shared" si="46"/>
        <v>15.004999999999995</v>
      </c>
      <c r="AX153" s="1">
        <f t="shared" si="47"/>
        <v>15.004999999999995</v>
      </c>
    </row>
    <row r="154" spans="8:50">
      <c r="H154" s="1">
        <f t="shared" si="37"/>
        <v>132</v>
      </c>
      <c r="I154" s="14" t="s">
        <v>267</v>
      </c>
      <c r="J154" s="127">
        <f>'Organized Input Output'!D149</f>
        <v>0.2</v>
      </c>
      <c r="K154" s="104">
        <f t="shared" si="38"/>
        <v>0.22</v>
      </c>
      <c r="L154" s="104">
        <f t="shared" si="48"/>
        <v>14.479999999999997</v>
      </c>
      <c r="M154" s="104">
        <f t="shared" si="33"/>
        <v>0.745</v>
      </c>
      <c r="T154" s="1">
        <f t="shared" si="39"/>
        <v>132</v>
      </c>
      <c r="U154" s="14" t="s">
        <v>267</v>
      </c>
      <c r="V154" s="8">
        <v>9.4</v>
      </c>
      <c r="W154" s="1">
        <f t="shared" si="34"/>
        <v>10.34</v>
      </c>
      <c r="X154" s="1">
        <f t="shared" si="40"/>
        <v>20</v>
      </c>
      <c r="Y154" s="1">
        <f t="shared" si="41"/>
        <v>0</v>
      </c>
      <c r="AG154" s="1">
        <f t="shared" si="42"/>
        <v>132</v>
      </c>
      <c r="AH154" s="14" t="s">
        <v>267</v>
      </c>
      <c r="AI154" s="8">
        <v>0</v>
      </c>
      <c r="AJ154" s="1">
        <f t="shared" si="35"/>
        <v>0</v>
      </c>
      <c r="AK154" s="1">
        <f t="shared" si="43"/>
        <v>14.919999999999998</v>
      </c>
      <c r="AL154" s="1">
        <f t="shared" si="44"/>
        <v>14.919999999999998</v>
      </c>
      <c r="AS154" s="1">
        <f t="shared" si="45"/>
        <v>132</v>
      </c>
      <c r="AT154" s="14" t="s">
        <v>267</v>
      </c>
      <c r="AU154" s="8">
        <v>0.2</v>
      </c>
      <c r="AV154" s="1">
        <f t="shared" si="36"/>
        <v>0.22</v>
      </c>
      <c r="AW154" s="1">
        <f t="shared" si="46"/>
        <v>14.479999999999997</v>
      </c>
      <c r="AX154" s="1">
        <f t="shared" si="47"/>
        <v>9.1999999999999957</v>
      </c>
    </row>
    <row r="155" spans="8:50">
      <c r="H155" s="1">
        <f t="shared" si="37"/>
        <v>133</v>
      </c>
      <c r="I155" s="14" t="s">
        <v>267</v>
      </c>
      <c r="J155" s="127">
        <f>'Organized Input Output'!D150</f>
        <v>0</v>
      </c>
      <c r="K155" s="104">
        <f t="shared" si="38"/>
        <v>0</v>
      </c>
      <c r="L155" s="104">
        <f t="shared" si="48"/>
        <v>13.734999999999998</v>
      </c>
      <c r="M155" s="104">
        <f t="shared" si="33"/>
        <v>0.745</v>
      </c>
      <c r="T155" s="1">
        <f t="shared" si="39"/>
        <v>133</v>
      </c>
      <c r="U155" s="14" t="s">
        <v>267</v>
      </c>
      <c r="V155" s="8">
        <v>2.2000000000000002</v>
      </c>
      <c r="W155" s="1">
        <f t="shared" si="34"/>
        <v>2.42</v>
      </c>
      <c r="X155" s="1">
        <f t="shared" si="40"/>
        <v>20</v>
      </c>
      <c r="Y155" s="1">
        <f t="shared" si="41"/>
        <v>0</v>
      </c>
      <c r="AG155" s="1">
        <f t="shared" si="42"/>
        <v>133</v>
      </c>
      <c r="AH155" s="14" t="s">
        <v>267</v>
      </c>
      <c r="AI155" s="8">
        <v>0</v>
      </c>
      <c r="AJ155" s="1">
        <f t="shared" si="35"/>
        <v>0</v>
      </c>
      <c r="AK155" s="1">
        <f t="shared" si="43"/>
        <v>14.174999999999999</v>
      </c>
      <c r="AL155" s="1">
        <f t="shared" si="44"/>
        <v>14.174999999999999</v>
      </c>
      <c r="AS155" s="1">
        <f t="shared" si="45"/>
        <v>133</v>
      </c>
      <c r="AT155" s="14" t="s">
        <v>267</v>
      </c>
      <c r="AU155" s="8">
        <v>0</v>
      </c>
      <c r="AV155" s="1">
        <f t="shared" si="36"/>
        <v>0</v>
      </c>
      <c r="AW155" s="1">
        <f t="shared" si="46"/>
        <v>13.734999999999998</v>
      </c>
      <c r="AX155" s="1">
        <f t="shared" si="47"/>
        <v>13.734999999999998</v>
      </c>
    </row>
    <row r="156" spans="8:50">
      <c r="H156" s="1">
        <f t="shared" si="37"/>
        <v>134</v>
      </c>
      <c r="I156" s="14" t="s">
        <v>267</v>
      </c>
      <c r="J156" s="127">
        <f>'Organized Input Output'!D151</f>
        <v>0</v>
      </c>
      <c r="K156" s="104">
        <f t="shared" si="38"/>
        <v>0</v>
      </c>
      <c r="L156" s="104">
        <f t="shared" si="48"/>
        <v>12.989999999999998</v>
      </c>
      <c r="M156" s="104">
        <f t="shared" si="33"/>
        <v>0.745</v>
      </c>
      <c r="T156" s="1">
        <f t="shared" si="39"/>
        <v>134</v>
      </c>
      <c r="U156" s="14" t="s">
        <v>267</v>
      </c>
      <c r="V156" s="8">
        <v>0.4</v>
      </c>
      <c r="W156" s="1">
        <f t="shared" si="34"/>
        <v>0.44</v>
      </c>
      <c r="X156" s="1">
        <f t="shared" si="40"/>
        <v>19.695</v>
      </c>
      <c r="Y156" s="1">
        <f t="shared" si="41"/>
        <v>9.1349999999999998</v>
      </c>
      <c r="AG156" s="1">
        <f t="shared" si="42"/>
        <v>134</v>
      </c>
      <c r="AH156" s="14" t="s">
        <v>267</v>
      </c>
      <c r="AI156" s="8">
        <v>0</v>
      </c>
      <c r="AJ156" s="1">
        <f t="shared" si="35"/>
        <v>0</v>
      </c>
      <c r="AK156" s="1">
        <f t="shared" si="43"/>
        <v>13.43</v>
      </c>
      <c r="AL156" s="1">
        <f t="shared" si="44"/>
        <v>13.43</v>
      </c>
      <c r="AS156" s="1">
        <f t="shared" si="45"/>
        <v>134</v>
      </c>
      <c r="AT156" s="14" t="s">
        <v>267</v>
      </c>
      <c r="AU156" s="8">
        <v>0</v>
      </c>
      <c r="AV156" s="1">
        <f t="shared" si="36"/>
        <v>0</v>
      </c>
      <c r="AW156" s="1">
        <f t="shared" si="46"/>
        <v>12.989999999999998</v>
      </c>
      <c r="AX156" s="1">
        <f t="shared" si="47"/>
        <v>12.989999999999998</v>
      </c>
    </row>
    <row r="157" spans="8:50">
      <c r="H157" s="1">
        <f t="shared" si="37"/>
        <v>135</v>
      </c>
      <c r="I157" s="14" t="s">
        <v>267</v>
      </c>
      <c r="J157" s="127">
        <f>'Organized Input Output'!D152</f>
        <v>0</v>
      </c>
      <c r="K157" s="104">
        <f t="shared" si="38"/>
        <v>0</v>
      </c>
      <c r="L157" s="104">
        <f t="shared" si="48"/>
        <v>12.244999999999999</v>
      </c>
      <c r="M157" s="104">
        <f t="shared" si="33"/>
        <v>0.745</v>
      </c>
      <c r="T157" s="1">
        <f t="shared" si="39"/>
        <v>135</v>
      </c>
      <c r="U157" s="14" t="s">
        <v>267</v>
      </c>
      <c r="V157" s="8">
        <v>0</v>
      </c>
      <c r="W157" s="1">
        <f t="shared" si="34"/>
        <v>0</v>
      </c>
      <c r="X157" s="1">
        <f t="shared" si="40"/>
        <v>18.95</v>
      </c>
      <c r="Y157" s="1">
        <f t="shared" si="41"/>
        <v>18.95</v>
      </c>
      <c r="AG157" s="1">
        <f t="shared" si="42"/>
        <v>135</v>
      </c>
      <c r="AH157" s="14" t="s">
        <v>267</v>
      </c>
      <c r="AI157" s="8">
        <v>0</v>
      </c>
      <c r="AJ157" s="1">
        <f t="shared" si="35"/>
        <v>0</v>
      </c>
      <c r="AK157" s="1">
        <f t="shared" si="43"/>
        <v>12.685</v>
      </c>
      <c r="AL157" s="1">
        <f t="shared" si="44"/>
        <v>12.685</v>
      </c>
      <c r="AS157" s="1">
        <f t="shared" si="45"/>
        <v>135</v>
      </c>
      <c r="AT157" s="14" t="s">
        <v>267</v>
      </c>
      <c r="AU157" s="8">
        <v>0</v>
      </c>
      <c r="AV157" s="1">
        <f t="shared" si="36"/>
        <v>0</v>
      </c>
      <c r="AW157" s="1">
        <f t="shared" si="46"/>
        <v>12.244999999999999</v>
      </c>
      <c r="AX157" s="1">
        <f t="shared" si="47"/>
        <v>12.244999999999999</v>
      </c>
    </row>
    <row r="158" spans="8:50">
      <c r="H158" s="1">
        <f t="shared" si="37"/>
        <v>136</v>
      </c>
      <c r="I158" s="14" t="s">
        <v>267</v>
      </c>
      <c r="J158" s="127">
        <f>'Organized Input Output'!D153</f>
        <v>2.8</v>
      </c>
      <c r="K158" s="104">
        <f t="shared" si="38"/>
        <v>3.08</v>
      </c>
      <c r="L158" s="104">
        <f t="shared" si="48"/>
        <v>14.58</v>
      </c>
      <c r="M158" s="104">
        <f t="shared" si="33"/>
        <v>0.745</v>
      </c>
      <c r="T158" s="1">
        <f t="shared" si="39"/>
        <v>136</v>
      </c>
      <c r="U158" s="14" t="s">
        <v>267</v>
      </c>
      <c r="V158" s="8">
        <v>0</v>
      </c>
      <c r="W158" s="1">
        <f t="shared" si="34"/>
        <v>0</v>
      </c>
      <c r="X158" s="1">
        <f t="shared" si="40"/>
        <v>18.204999999999998</v>
      </c>
      <c r="Y158" s="1">
        <f t="shared" si="41"/>
        <v>18.204999999999998</v>
      </c>
      <c r="AG158" s="1">
        <f t="shared" si="42"/>
        <v>136</v>
      </c>
      <c r="AH158" s="14" t="s">
        <v>267</v>
      </c>
      <c r="AI158" s="8">
        <v>0.2</v>
      </c>
      <c r="AJ158" s="1">
        <f t="shared" si="35"/>
        <v>0.22</v>
      </c>
      <c r="AK158" s="1">
        <f t="shared" si="43"/>
        <v>12.160000000000002</v>
      </c>
      <c r="AL158" s="1">
        <f t="shared" si="44"/>
        <v>6.8800000000000017</v>
      </c>
      <c r="AS158" s="1">
        <f t="shared" si="45"/>
        <v>136</v>
      </c>
      <c r="AT158" s="14" t="s">
        <v>267</v>
      </c>
      <c r="AU158" s="8">
        <v>2.8</v>
      </c>
      <c r="AV158" s="1">
        <f t="shared" si="36"/>
        <v>3.08</v>
      </c>
      <c r="AW158" s="1">
        <f t="shared" si="46"/>
        <v>14.58</v>
      </c>
      <c r="AX158" s="1">
        <f t="shared" si="47"/>
        <v>0</v>
      </c>
    </row>
    <row r="159" spans="8:50">
      <c r="H159" s="1">
        <f t="shared" si="37"/>
        <v>137</v>
      </c>
      <c r="I159" s="14" t="s">
        <v>267</v>
      </c>
      <c r="J159" s="127">
        <f>'Organized Input Output'!D154</f>
        <v>0</v>
      </c>
      <c r="K159" s="104">
        <f t="shared" si="38"/>
        <v>0</v>
      </c>
      <c r="L159" s="104">
        <f t="shared" si="48"/>
        <v>13.835000000000001</v>
      </c>
      <c r="M159" s="104">
        <f t="shared" si="33"/>
        <v>0.745</v>
      </c>
      <c r="T159" s="1">
        <f t="shared" si="39"/>
        <v>137</v>
      </c>
      <c r="U159" s="14" t="s">
        <v>267</v>
      </c>
      <c r="V159" s="8">
        <v>0</v>
      </c>
      <c r="W159" s="1">
        <f t="shared" si="34"/>
        <v>0</v>
      </c>
      <c r="X159" s="1">
        <f t="shared" si="40"/>
        <v>17.459999999999997</v>
      </c>
      <c r="Y159" s="1">
        <f t="shared" si="41"/>
        <v>17.459999999999997</v>
      </c>
      <c r="AG159" s="1">
        <f t="shared" si="42"/>
        <v>137</v>
      </c>
      <c r="AH159" s="14" t="s">
        <v>267</v>
      </c>
      <c r="AI159" s="8">
        <v>0</v>
      </c>
      <c r="AJ159" s="1">
        <f t="shared" si="35"/>
        <v>0</v>
      </c>
      <c r="AK159" s="1">
        <f t="shared" si="43"/>
        <v>11.415000000000003</v>
      </c>
      <c r="AL159" s="1">
        <f t="shared" si="44"/>
        <v>11.415000000000003</v>
      </c>
      <c r="AS159" s="1">
        <f t="shared" si="45"/>
        <v>137</v>
      </c>
      <c r="AT159" s="14" t="s">
        <v>267</v>
      </c>
      <c r="AU159" s="8">
        <v>0</v>
      </c>
      <c r="AV159" s="1">
        <f t="shared" si="36"/>
        <v>0</v>
      </c>
      <c r="AW159" s="1">
        <f t="shared" si="46"/>
        <v>13.835000000000001</v>
      </c>
      <c r="AX159" s="1">
        <f t="shared" si="47"/>
        <v>13.835000000000001</v>
      </c>
    </row>
    <row r="160" spans="8:50">
      <c r="H160" s="1">
        <f t="shared" si="37"/>
        <v>138</v>
      </c>
      <c r="I160" s="14" t="s">
        <v>267</v>
      </c>
      <c r="J160" s="127">
        <f>'Organized Input Output'!D155</f>
        <v>0</v>
      </c>
      <c r="K160" s="104">
        <f t="shared" si="38"/>
        <v>0</v>
      </c>
      <c r="L160" s="104">
        <f t="shared" si="48"/>
        <v>13.090000000000002</v>
      </c>
      <c r="M160" s="104">
        <f t="shared" si="33"/>
        <v>0.745</v>
      </c>
      <c r="T160" s="1">
        <f t="shared" si="39"/>
        <v>138</v>
      </c>
      <c r="U160" s="14" t="s">
        <v>267</v>
      </c>
      <c r="V160" s="8">
        <v>0</v>
      </c>
      <c r="W160" s="1">
        <f t="shared" si="34"/>
        <v>0</v>
      </c>
      <c r="X160" s="1">
        <f t="shared" si="40"/>
        <v>16.714999999999996</v>
      </c>
      <c r="Y160" s="1">
        <f t="shared" si="41"/>
        <v>16.714999999999996</v>
      </c>
      <c r="AG160" s="1">
        <f t="shared" si="42"/>
        <v>138</v>
      </c>
      <c r="AH160" s="14" t="s">
        <v>267</v>
      </c>
      <c r="AI160" s="8">
        <v>0</v>
      </c>
      <c r="AJ160" s="1">
        <f t="shared" si="35"/>
        <v>0</v>
      </c>
      <c r="AK160" s="1">
        <f t="shared" si="43"/>
        <v>10.670000000000003</v>
      </c>
      <c r="AL160" s="1">
        <f t="shared" si="44"/>
        <v>10.670000000000003</v>
      </c>
      <c r="AS160" s="1">
        <f t="shared" si="45"/>
        <v>138</v>
      </c>
      <c r="AT160" s="14" t="s">
        <v>267</v>
      </c>
      <c r="AU160" s="8">
        <v>0</v>
      </c>
      <c r="AV160" s="1">
        <f t="shared" si="36"/>
        <v>0</v>
      </c>
      <c r="AW160" s="1">
        <f t="shared" si="46"/>
        <v>13.090000000000002</v>
      </c>
      <c r="AX160" s="1">
        <f t="shared" si="47"/>
        <v>13.090000000000002</v>
      </c>
    </row>
    <row r="161" spans="8:50">
      <c r="H161" s="1">
        <f t="shared" si="37"/>
        <v>139</v>
      </c>
      <c r="I161" s="14" t="s">
        <v>267</v>
      </c>
      <c r="J161" s="127">
        <f>'Organized Input Output'!D156</f>
        <v>0</v>
      </c>
      <c r="K161" s="104">
        <f t="shared" si="38"/>
        <v>0</v>
      </c>
      <c r="L161" s="104">
        <f t="shared" si="48"/>
        <v>12.345000000000002</v>
      </c>
      <c r="M161" s="104">
        <f t="shared" si="33"/>
        <v>0.745</v>
      </c>
      <c r="T161" s="1">
        <f t="shared" si="39"/>
        <v>139</v>
      </c>
      <c r="U161" s="14" t="s">
        <v>267</v>
      </c>
      <c r="V161" s="8">
        <v>0</v>
      </c>
      <c r="W161" s="1">
        <f t="shared" si="34"/>
        <v>0</v>
      </c>
      <c r="X161" s="1">
        <f t="shared" si="40"/>
        <v>15.969999999999997</v>
      </c>
      <c r="Y161" s="1">
        <f t="shared" si="41"/>
        <v>15.969999999999997</v>
      </c>
      <c r="AG161" s="1">
        <f t="shared" si="42"/>
        <v>139</v>
      </c>
      <c r="AH161" s="14" t="s">
        <v>267</v>
      </c>
      <c r="AI161" s="8">
        <v>0</v>
      </c>
      <c r="AJ161" s="1">
        <f t="shared" si="35"/>
        <v>0</v>
      </c>
      <c r="AK161" s="1">
        <f t="shared" si="43"/>
        <v>9.9250000000000043</v>
      </c>
      <c r="AL161" s="1">
        <f t="shared" si="44"/>
        <v>9.9250000000000043</v>
      </c>
      <c r="AS161" s="1">
        <f t="shared" si="45"/>
        <v>139</v>
      </c>
      <c r="AT161" s="14" t="s">
        <v>267</v>
      </c>
      <c r="AU161" s="8">
        <v>0</v>
      </c>
      <c r="AV161" s="1">
        <f t="shared" si="36"/>
        <v>0</v>
      </c>
      <c r="AW161" s="1">
        <f t="shared" si="46"/>
        <v>12.345000000000002</v>
      </c>
      <c r="AX161" s="1">
        <f t="shared" si="47"/>
        <v>12.345000000000002</v>
      </c>
    </row>
    <row r="162" spans="8:50">
      <c r="H162" s="1">
        <f t="shared" si="37"/>
        <v>140</v>
      </c>
      <c r="I162" s="14" t="s">
        <v>267</v>
      </c>
      <c r="J162" s="127">
        <f>'Organized Input Output'!D157</f>
        <v>0</v>
      </c>
      <c r="K162" s="104">
        <f t="shared" si="38"/>
        <v>0</v>
      </c>
      <c r="L162" s="104">
        <f t="shared" si="48"/>
        <v>11.600000000000003</v>
      </c>
      <c r="M162" s="104">
        <f t="shared" si="33"/>
        <v>0.745</v>
      </c>
      <c r="T162" s="1">
        <f t="shared" si="39"/>
        <v>140</v>
      </c>
      <c r="U162" s="14" t="s">
        <v>267</v>
      </c>
      <c r="V162" s="8">
        <v>0</v>
      </c>
      <c r="W162" s="1">
        <f t="shared" si="34"/>
        <v>0</v>
      </c>
      <c r="X162" s="1">
        <f t="shared" si="40"/>
        <v>15.224999999999998</v>
      </c>
      <c r="Y162" s="1">
        <f t="shared" si="41"/>
        <v>15.224999999999998</v>
      </c>
      <c r="AG162" s="1">
        <f t="shared" si="42"/>
        <v>140</v>
      </c>
      <c r="AH162" s="14" t="s">
        <v>267</v>
      </c>
      <c r="AI162" s="8">
        <v>0</v>
      </c>
      <c r="AJ162" s="1">
        <f t="shared" si="35"/>
        <v>0</v>
      </c>
      <c r="AK162" s="1">
        <f t="shared" si="43"/>
        <v>9.180000000000005</v>
      </c>
      <c r="AL162" s="1">
        <f t="shared" si="44"/>
        <v>9.180000000000005</v>
      </c>
      <c r="AS162" s="1">
        <f t="shared" si="45"/>
        <v>140</v>
      </c>
      <c r="AT162" s="14" t="s">
        <v>267</v>
      </c>
      <c r="AU162" s="8">
        <v>0</v>
      </c>
      <c r="AV162" s="1">
        <f t="shared" si="36"/>
        <v>0</v>
      </c>
      <c r="AW162" s="1">
        <f t="shared" si="46"/>
        <v>11.600000000000003</v>
      </c>
      <c r="AX162" s="1">
        <f t="shared" si="47"/>
        <v>11.600000000000003</v>
      </c>
    </row>
    <row r="163" spans="8:50">
      <c r="H163" s="1">
        <f t="shared" si="37"/>
        <v>141</v>
      </c>
      <c r="I163" s="14" t="s">
        <v>267</v>
      </c>
      <c r="J163" s="127">
        <f>'Organized Input Output'!D158</f>
        <v>8.1999999999999993</v>
      </c>
      <c r="K163" s="104">
        <f t="shared" si="38"/>
        <v>9.02</v>
      </c>
      <c r="L163" s="104">
        <f t="shared" si="48"/>
        <v>19.875000000000004</v>
      </c>
      <c r="M163" s="104">
        <f t="shared" si="33"/>
        <v>0.745</v>
      </c>
      <c r="T163" s="1">
        <f t="shared" si="39"/>
        <v>141</v>
      </c>
      <c r="U163" s="14" t="s">
        <v>267</v>
      </c>
      <c r="V163" s="8">
        <v>0</v>
      </c>
      <c r="W163" s="1">
        <f t="shared" si="34"/>
        <v>0</v>
      </c>
      <c r="X163" s="1">
        <f t="shared" si="40"/>
        <v>14.479999999999999</v>
      </c>
      <c r="Y163" s="1">
        <f t="shared" si="41"/>
        <v>14.479999999999999</v>
      </c>
      <c r="AG163" s="1">
        <f t="shared" si="42"/>
        <v>141</v>
      </c>
      <c r="AH163" s="14" t="s">
        <v>267</v>
      </c>
      <c r="AI163" s="8">
        <v>0</v>
      </c>
      <c r="AJ163" s="1">
        <f t="shared" si="35"/>
        <v>0</v>
      </c>
      <c r="AK163" s="1">
        <f t="shared" si="43"/>
        <v>8.4350000000000058</v>
      </c>
      <c r="AL163" s="1">
        <f t="shared" si="44"/>
        <v>8.4350000000000058</v>
      </c>
      <c r="AS163" s="1">
        <f t="shared" si="45"/>
        <v>141</v>
      </c>
      <c r="AT163" s="14" t="s">
        <v>267</v>
      </c>
      <c r="AU163" s="8">
        <v>8.1999999999999993</v>
      </c>
      <c r="AV163" s="1">
        <f t="shared" si="36"/>
        <v>9.02</v>
      </c>
      <c r="AW163" s="1">
        <f t="shared" si="46"/>
        <v>19.875000000000004</v>
      </c>
      <c r="AX163" s="1">
        <f t="shared" si="47"/>
        <v>0</v>
      </c>
    </row>
    <row r="164" spans="8:50">
      <c r="H164" s="1">
        <f t="shared" si="37"/>
        <v>142</v>
      </c>
      <c r="I164" s="14" t="s">
        <v>267</v>
      </c>
      <c r="J164" s="127">
        <f>'Organized Input Output'!D159</f>
        <v>29.6</v>
      </c>
      <c r="K164" s="104">
        <f t="shared" si="38"/>
        <v>32.56</v>
      </c>
      <c r="L164" s="104">
        <f t="shared" si="48"/>
        <v>20</v>
      </c>
      <c r="M164" s="104">
        <f t="shared" si="33"/>
        <v>0.745</v>
      </c>
      <c r="T164" s="1">
        <f t="shared" si="39"/>
        <v>142</v>
      </c>
      <c r="U164" s="14" t="s">
        <v>267</v>
      </c>
      <c r="V164" s="8">
        <v>0</v>
      </c>
      <c r="W164" s="1">
        <f t="shared" si="34"/>
        <v>0</v>
      </c>
      <c r="X164" s="1">
        <f t="shared" si="40"/>
        <v>13.734999999999999</v>
      </c>
      <c r="Y164" s="1">
        <f t="shared" si="41"/>
        <v>13.734999999999999</v>
      </c>
      <c r="AG164" s="1">
        <f t="shared" si="42"/>
        <v>142</v>
      </c>
      <c r="AH164" s="14" t="s">
        <v>267</v>
      </c>
      <c r="AI164" s="8">
        <v>0.2</v>
      </c>
      <c r="AJ164" s="1">
        <f t="shared" si="35"/>
        <v>0.22</v>
      </c>
      <c r="AK164" s="1">
        <f t="shared" si="43"/>
        <v>7.9100000000000064</v>
      </c>
      <c r="AL164" s="1">
        <f t="shared" si="44"/>
        <v>2.6300000000000061</v>
      </c>
      <c r="AS164" s="1">
        <f t="shared" si="45"/>
        <v>142</v>
      </c>
      <c r="AT164" s="14" t="s">
        <v>267</v>
      </c>
      <c r="AU164" s="8">
        <v>29.6</v>
      </c>
      <c r="AV164" s="1">
        <f t="shared" si="36"/>
        <v>32.56</v>
      </c>
      <c r="AW164" s="1">
        <f t="shared" si="46"/>
        <v>20</v>
      </c>
      <c r="AX164" s="1">
        <f t="shared" si="47"/>
        <v>0</v>
      </c>
    </row>
    <row r="165" spans="8:50">
      <c r="H165" s="1">
        <f t="shared" si="37"/>
        <v>143</v>
      </c>
      <c r="I165" s="14" t="s">
        <v>267</v>
      </c>
      <c r="J165" s="127">
        <f>'Organized Input Output'!D160</f>
        <v>0.8</v>
      </c>
      <c r="K165" s="104">
        <f t="shared" si="38"/>
        <v>0.88</v>
      </c>
      <c r="L165" s="104">
        <f t="shared" si="48"/>
        <v>20</v>
      </c>
      <c r="M165" s="104">
        <f t="shared" si="33"/>
        <v>0.745</v>
      </c>
      <c r="T165" s="1">
        <f t="shared" si="39"/>
        <v>143</v>
      </c>
      <c r="U165" s="14" t="s">
        <v>267</v>
      </c>
      <c r="V165" s="8">
        <v>0</v>
      </c>
      <c r="W165" s="1">
        <f t="shared" si="34"/>
        <v>0</v>
      </c>
      <c r="X165" s="1">
        <f t="shared" si="40"/>
        <v>12.99</v>
      </c>
      <c r="Y165" s="1">
        <f t="shared" si="41"/>
        <v>12.99</v>
      </c>
      <c r="AG165" s="1">
        <f t="shared" si="42"/>
        <v>143</v>
      </c>
      <c r="AH165" s="14" t="s">
        <v>267</v>
      </c>
      <c r="AI165" s="8">
        <v>0.2</v>
      </c>
      <c r="AJ165" s="1">
        <f t="shared" si="35"/>
        <v>0.22</v>
      </c>
      <c r="AK165" s="1">
        <f t="shared" si="43"/>
        <v>7.385000000000006</v>
      </c>
      <c r="AL165" s="1">
        <f t="shared" si="44"/>
        <v>2.1050000000000058</v>
      </c>
      <c r="AS165" s="1">
        <f t="shared" si="45"/>
        <v>143</v>
      </c>
      <c r="AT165" s="14" t="s">
        <v>267</v>
      </c>
      <c r="AU165" s="8">
        <v>0.8</v>
      </c>
      <c r="AV165" s="1">
        <f t="shared" si="36"/>
        <v>0.88</v>
      </c>
      <c r="AW165" s="1">
        <f t="shared" si="46"/>
        <v>20</v>
      </c>
      <c r="AX165" s="1">
        <f t="shared" si="47"/>
        <v>0</v>
      </c>
    </row>
    <row r="166" spans="8:50">
      <c r="H166" s="1">
        <f t="shared" si="37"/>
        <v>144</v>
      </c>
      <c r="I166" s="14" t="s">
        <v>267</v>
      </c>
      <c r="J166" s="127">
        <f>'Organized Input Output'!D161</f>
        <v>5.2</v>
      </c>
      <c r="K166" s="104">
        <f t="shared" si="38"/>
        <v>5.72</v>
      </c>
      <c r="L166" s="104">
        <f t="shared" si="48"/>
        <v>20</v>
      </c>
      <c r="M166" s="104">
        <f t="shared" si="33"/>
        <v>0.745</v>
      </c>
      <c r="T166" s="1">
        <f t="shared" si="39"/>
        <v>144</v>
      </c>
      <c r="U166" s="14" t="s">
        <v>267</v>
      </c>
      <c r="V166" s="8">
        <v>0</v>
      </c>
      <c r="W166" s="1">
        <f t="shared" si="34"/>
        <v>0</v>
      </c>
      <c r="X166" s="1">
        <f t="shared" si="40"/>
        <v>12.245000000000001</v>
      </c>
      <c r="Y166" s="1">
        <f t="shared" si="41"/>
        <v>12.245000000000001</v>
      </c>
      <c r="AG166" s="1">
        <f t="shared" si="42"/>
        <v>144</v>
      </c>
      <c r="AH166" s="14" t="s">
        <v>267</v>
      </c>
      <c r="AI166" s="8">
        <v>0</v>
      </c>
      <c r="AJ166" s="1">
        <f t="shared" si="35"/>
        <v>0</v>
      </c>
      <c r="AK166" s="1">
        <f t="shared" si="43"/>
        <v>6.6400000000000059</v>
      </c>
      <c r="AL166" s="1">
        <f t="shared" si="44"/>
        <v>6.6400000000000059</v>
      </c>
      <c r="AS166" s="1">
        <f t="shared" si="45"/>
        <v>144</v>
      </c>
      <c r="AT166" s="14" t="s">
        <v>267</v>
      </c>
      <c r="AU166" s="8">
        <v>5.2</v>
      </c>
      <c r="AV166" s="1">
        <f t="shared" si="36"/>
        <v>5.72</v>
      </c>
      <c r="AW166" s="1">
        <f t="shared" si="46"/>
        <v>20</v>
      </c>
      <c r="AX166" s="1">
        <f t="shared" si="47"/>
        <v>0</v>
      </c>
    </row>
    <row r="167" spans="8:50">
      <c r="H167" s="1">
        <f t="shared" si="37"/>
        <v>145</v>
      </c>
      <c r="I167" s="14" t="s">
        <v>267</v>
      </c>
      <c r="J167" s="127">
        <f>'Organized Input Output'!D162</f>
        <v>23.4</v>
      </c>
      <c r="K167" s="104">
        <f t="shared" si="38"/>
        <v>25.74</v>
      </c>
      <c r="L167" s="104">
        <f t="shared" si="48"/>
        <v>20</v>
      </c>
      <c r="M167" s="104">
        <f t="shared" si="33"/>
        <v>0.745</v>
      </c>
      <c r="T167" s="1">
        <f t="shared" si="39"/>
        <v>145</v>
      </c>
      <c r="U167" s="14" t="s">
        <v>267</v>
      </c>
      <c r="V167" s="8">
        <v>0</v>
      </c>
      <c r="W167" s="1">
        <f t="shared" si="34"/>
        <v>0</v>
      </c>
      <c r="X167" s="1">
        <f t="shared" si="40"/>
        <v>11.500000000000002</v>
      </c>
      <c r="Y167" s="1">
        <f t="shared" si="41"/>
        <v>11.500000000000002</v>
      </c>
      <c r="AG167" s="1">
        <f t="shared" si="42"/>
        <v>145</v>
      </c>
      <c r="AH167" s="14" t="s">
        <v>267</v>
      </c>
      <c r="AI167" s="8">
        <v>0</v>
      </c>
      <c r="AJ167" s="1">
        <f t="shared" si="35"/>
        <v>0</v>
      </c>
      <c r="AK167" s="1">
        <f t="shared" si="43"/>
        <v>5.8950000000000058</v>
      </c>
      <c r="AL167" s="1">
        <f t="shared" si="44"/>
        <v>5.8950000000000058</v>
      </c>
      <c r="AS167" s="1">
        <f t="shared" si="45"/>
        <v>145</v>
      </c>
      <c r="AT167" s="14" t="s">
        <v>267</v>
      </c>
      <c r="AU167" s="8">
        <v>23.4</v>
      </c>
      <c r="AV167" s="1">
        <f t="shared" si="36"/>
        <v>25.74</v>
      </c>
      <c r="AW167" s="1">
        <f t="shared" si="46"/>
        <v>20</v>
      </c>
      <c r="AX167" s="1">
        <f t="shared" si="47"/>
        <v>0</v>
      </c>
    </row>
    <row r="168" spans="8:50">
      <c r="H168" s="1">
        <f t="shared" si="37"/>
        <v>146</v>
      </c>
      <c r="I168" s="14" t="s">
        <v>267</v>
      </c>
      <c r="J168" s="127">
        <f>'Organized Input Output'!D163</f>
        <v>0</v>
      </c>
      <c r="K168" s="104">
        <f t="shared" si="38"/>
        <v>0</v>
      </c>
      <c r="L168" s="104">
        <f t="shared" si="48"/>
        <v>19.254999999999999</v>
      </c>
      <c r="M168" s="104">
        <f t="shared" si="33"/>
        <v>0.745</v>
      </c>
      <c r="T168" s="1">
        <f t="shared" si="39"/>
        <v>146</v>
      </c>
      <c r="U168" s="14" t="s">
        <v>267</v>
      </c>
      <c r="V168" s="8">
        <v>0</v>
      </c>
      <c r="W168" s="1">
        <f t="shared" si="34"/>
        <v>0</v>
      </c>
      <c r="X168" s="1">
        <f t="shared" si="40"/>
        <v>10.755000000000003</v>
      </c>
      <c r="Y168" s="1">
        <f t="shared" si="41"/>
        <v>10.755000000000003</v>
      </c>
      <c r="AG168" s="1">
        <f t="shared" si="42"/>
        <v>146</v>
      </c>
      <c r="AH168" s="14" t="s">
        <v>267</v>
      </c>
      <c r="AI168" s="8">
        <v>0</v>
      </c>
      <c r="AJ168" s="1">
        <f t="shared" si="35"/>
        <v>0</v>
      </c>
      <c r="AK168" s="1">
        <f t="shared" si="43"/>
        <v>5.1500000000000057</v>
      </c>
      <c r="AL168" s="1">
        <f t="shared" si="44"/>
        <v>5.1500000000000057</v>
      </c>
      <c r="AS168" s="1">
        <f t="shared" si="45"/>
        <v>146</v>
      </c>
      <c r="AT168" s="14" t="s">
        <v>267</v>
      </c>
      <c r="AU168" s="8">
        <v>0</v>
      </c>
      <c r="AV168" s="1">
        <f t="shared" si="36"/>
        <v>0</v>
      </c>
      <c r="AW168" s="1">
        <f t="shared" si="46"/>
        <v>19.254999999999999</v>
      </c>
      <c r="AX168" s="1">
        <f t="shared" si="47"/>
        <v>19.254999999999999</v>
      </c>
    </row>
    <row r="169" spans="8:50">
      <c r="H169" s="1">
        <f t="shared" si="37"/>
        <v>147</v>
      </c>
      <c r="I169" s="14" t="s">
        <v>267</v>
      </c>
      <c r="J169" s="127">
        <f>'Organized Input Output'!D164</f>
        <v>4.4000000000000004</v>
      </c>
      <c r="K169" s="104">
        <f t="shared" si="38"/>
        <v>4.84</v>
      </c>
      <c r="L169" s="104">
        <f t="shared" si="48"/>
        <v>20</v>
      </c>
      <c r="M169" s="104">
        <f t="shared" si="33"/>
        <v>0.745</v>
      </c>
      <c r="T169" s="1">
        <f t="shared" si="39"/>
        <v>147</v>
      </c>
      <c r="U169" s="14" t="s">
        <v>267</v>
      </c>
      <c r="V169" s="8">
        <v>0</v>
      </c>
      <c r="W169" s="1">
        <f t="shared" si="34"/>
        <v>0</v>
      </c>
      <c r="X169" s="1">
        <f t="shared" si="40"/>
        <v>10.010000000000003</v>
      </c>
      <c r="Y169" s="1">
        <f t="shared" si="41"/>
        <v>10.010000000000003</v>
      </c>
      <c r="AG169" s="1">
        <f t="shared" si="42"/>
        <v>147</v>
      </c>
      <c r="AH169" s="14" t="s">
        <v>267</v>
      </c>
      <c r="AI169" s="8">
        <v>0</v>
      </c>
      <c r="AJ169" s="1">
        <f t="shared" si="35"/>
        <v>0</v>
      </c>
      <c r="AK169" s="1">
        <f t="shared" si="43"/>
        <v>4.4050000000000056</v>
      </c>
      <c r="AL169" s="1">
        <f t="shared" si="44"/>
        <v>4.4050000000000056</v>
      </c>
      <c r="AS169" s="1">
        <f t="shared" si="45"/>
        <v>147</v>
      </c>
      <c r="AT169" s="14" t="s">
        <v>267</v>
      </c>
      <c r="AU169" s="8">
        <v>4.4000000000000004</v>
      </c>
      <c r="AV169" s="1">
        <f t="shared" si="36"/>
        <v>4.84</v>
      </c>
      <c r="AW169" s="1">
        <f t="shared" si="46"/>
        <v>20</v>
      </c>
      <c r="AX169" s="1">
        <f t="shared" si="47"/>
        <v>0</v>
      </c>
    </row>
    <row r="170" spans="8:50">
      <c r="H170" s="1">
        <f t="shared" si="37"/>
        <v>148</v>
      </c>
      <c r="I170" s="14" t="s">
        <v>267</v>
      </c>
      <c r="J170" s="127">
        <f>'Organized Input Output'!D165</f>
        <v>0</v>
      </c>
      <c r="K170" s="104">
        <f t="shared" si="38"/>
        <v>0</v>
      </c>
      <c r="L170" s="104">
        <f t="shared" si="48"/>
        <v>19.254999999999999</v>
      </c>
      <c r="M170" s="104">
        <f t="shared" si="33"/>
        <v>0.745</v>
      </c>
      <c r="T170" s="1">
        <f t="shared" si="39"/>
        <v>148</v>
      </c>
      <c r="U170" s="14" t="s">
        <v>267</v>
      </c>
      <c r="V170" s="8">
        <v>0</v>
      </c>
      <c r="W170" s="1">
        <f t="shared" si="34"/>
        <v>0</v>
      </c>
      <c r="X170" s="1">
        <f t="shared" si="40"/>
        <v>9.2650000000000041</v>
      </c>
      <c r="Y170" s="1">
        <f t="shared" si="41"/>
        <v>9.2650000000000041</v>
      </c>
      <c r="AG170" s="1">
        <f t="shared" si="42"/>
        <v>148</v>
      </c>
      <c r="AH170" s="14" t="s">
        <v>267</v>
      </c>
      <c r="AI170" s="8">
        <v>0</v>
      </c>
      <c r="AJ170" s="1">
        <f t="shared" si="35"/>
        <v>0</v>
      </c>
      <c r="AK170" s="1">
        <f t="shared" si="43"/>
        <v>3.6600000000000055</v>
      </c>
      <c r="AL170" s="1">
        <f t="shared" si="44"/>
        <v>3.6600000000000055</v>
      </c>
      <c r="AS170" s="1">
        <f t="shared" si="45"/>
        <v>148</v>
      </c>
      <c r="AT170" s="14" t="s">
        <v>267</v>
      </c>
      <c r="AU170" s="8">
        <v>0</v>
      </c>
      <c r="AV170" s="1">
        <f t="shared" si="36"/>
        <v>0</v>
      </c>
      <c r="AW170" s="1">
        <f t="shared" si="46"/>
        <v>19.254999999999999</v>
      </c>
      <c r="AX170" s="1">
        <f t="shared" si="47"/>
        <v>19.254999999999999</v>
      </c>
    </row>
    <row r="171" spans="8:50">
      <c r="H171" s="1">
        <f t="shared" si="37"/>
        <v>149</v>
      </c>
      <c r="I171" s="14" t="s">
        <v>267</v>
      </c>
      <c r="J171" s="127">
        <f>'Organized Input Output'!D166</f>
        <v>0</v>
      </c>
      <c r="K171" s="104">
        <f t="shared" si="38"/>
        <v>0</v>
      </c>
      <c r="L171" s="104">
        <f t="shared" si="48"/>
        <v>18.509999999999998</v>
      </c>
      <c r="M171" s="104">
        <f t="shared" si="33"/>
        <v>0.745</v>
      </c>
      <c r="T171" s="1">
        <f t="shared" si="39"/>
        <v>149</v>
      </c>
      <c r="U171" s="14" t="s">
        <v>267</v>
      </c>
      <c r="V171" s="8">
        <v>0</v>
      </c>
      <c r="W171" s="1">
        <f t="shared" si="34"/>
        <v>0</v>
      </c>
      <c r="X171" s="1">
        <f t="shared" si="40"/>
        <v>8.5200000000000049</v>
      </c>
      <c r="Y171" s="1">
        <f t="shared" si="41"/>
        <v>8.5200000000000049</v>
      </c>
      <c r="AG171" s="1">
        <f t="shared" si="42"/>
        <v>149</v>
      </c>
      <c r="AH171" s="14" t="s">
        <v>267</v>
      </c>
      <c r="AI171" s="8">
        <v>0</v>
      </c>
      <c r="AJ171" s="1">
        <f t="shared" si="35"/>
        <v>0</v>
      </c>
      <c r="AK171" s="1">
        <f t="shared" si="43"/>
        <v>2.9150000000000054</v>
      </c>
      <c r="AL171" s="1">
        <f t="shared" si="44"/>
        <v>2.9150000000000054</v>
      </c>
      <c r="AS171" s="1">
        <f t="shared" si="45"/>
        <v>149</v>
      </c>
      <c r="AT171" s="14" t="s">
        <v>267</v>
      </c>
      <c r="AU171" s="8">
        <v>0</v>
      </c>
      <c r="AV171" s="1">
        <f t="shared" si="36"/>
        <v>0</v>
      </c>
      <c r="AW171" s="1">
        <f t="shared" si="46"/>
        <v>18.509999999999998</v>
      </c>
      <c r="AX171" s="1">
        <f t="shared" si="47"/>
        <v>18.509999999999998</v>
      </c>
    </row>
    <row r="172" spans="8:50">
      <c r="H172" s="1">
        <f t="shared" si="37"/>
        <v>150</v>
      </c>
      <c r="I172" s="14" t="s">
        <v>267</v>
      </c>
      <c r="J172" s="127">
        <f>'Organized Input Output'!D167</f>
        <v>0</v>
      </c>
      <c r="K172" s="104">
        <f t="shared" si="38"/>
        <v>0</v>
      </c>
      <c r="L172" s="104">
        <f t="shared" si="48"/>
        <v>17.764999999999997</v>
      </c>
      <c r="M172" s="104">
        <f t="shared" si="33"/>
        <v>0.745</v>
      </c>
      <c r="T172" s="1">
        <f t="shared" si="39"/>
        <v>150</v>
      </c>
      <c r="U172" s="14" t="s">
        <v>267</v>
      </c>
      <c r="V172" s="8">
        <v>0</v>
      </c>
      <c r="W172" s="1">
        <f t="shared" si="34"/>
        <v>0</v>
      </c>
      <c r="X172" s="1">
        <f t="shared" si="40"/>
        <v>7.7750000000000048</v>
      </c>
      <c r="Y172" s="1">
        <f t="shared" si="41"/>
        <v>7.7750000000000048</v>
      </c>
      <c r="AG172" s="1">
        <f t="shared" si="42"/>
        <v>150</v>
      </c>
      <c r="AH172" s="14" t="s">
        <v>267</v>
      </c>
      <c r="AI172" s="8">
        <v>0</v>
      </c>
      <c r="AJ172" s="1">
        <f t="shared" si="35"/>
        <v>0</v>
      </c>
      <c r="AK172" s="1">
        <f t="shared" si="43"/>
        <v>2.1700000000000053</v>
      </c>
      <c r="AL172" s="1">
        <f t="shared" si="44"/>
        <v>2.1700000000000053</v>
      </c>
      <c r="AS172" s="1">
        <f t="shared" si="45"/>
        <v>150</v>
      </c>
      <c r="AT172" s="14" t="s">
        <v>267</v>
      </c>
      <c r="AU172" s="8">
        <v>0</v>
      </c>
      <c r="AV172" s="1">
        <f t="shared" si="36"/>
        <v>0</v>
      </c>
      <c r="AW172" s="1">
        <f t="shared" si="46"/>
        <v>17.764999999999997</v>
      </c>
      <c r="AX172" s="1">
        <f t="shared" si="47"/>
        <v>17.764999999999997</v>
      </c>
    </row>
    <row r="173" spans="8:50">
      <c r="H173" s="1">
        <f t="shared" si="37"/>
        <v>151</v>
      </c>
      <c r="I173" s="14" t="s">
        <v>267</v>
      </c>
      <c r="J173" s="127">
        <f>'Organized Input Output'!D168</f>
        <v>0</v>
      </c>
      <c r="K173" s="104">
        <f t="shared" si="38"/>
        <v>0</v>
      </c>
      <c r="L173" s="104">
        <f t="shared" si="48"/>
        <v>17.019999999999996</v>
      </c>
      <c r="M173" s="104">
        <f t="shared" si="33"/>
        <v>0.745</v>
      </c>
      <c r="T173" s="1">
        <f t="shared" si="39"/>
        <v>151</v>
      </c>
      <c r="U173" s="14" t="s">
        <v>267</v>
      </c>
      <c r="V173" s="8">
        <v>0</v>
      </c>
      <c r="W173" s="1">
        <f t="shared" si="34"/>
        <v>0</v>
      </c>
      <c r="X173" s="1">
        <f t="shared" si="40"/>
        <v>7.0300000000000047</v>
      </c>
      <c r="Y173" s="1">
        <f t="shared" si="41"/>
        <v>7.0300000000000047</v>
      </c>
      <c r="AG173" s="1">
        <f t="shared" si="42"/>
        <v>151</v>
      </c>
      <c r="AH173" s="14" t="s">
        <v>267</v>
      </c>
      <c r="AI173" s="8">
        <v>0</v>
      </c>
      <c r="AJ173" s="1">
        <f t="shared" si="35"/>
        <v>0</v>
      </c>
      <c r="AK173" s="1">
        <f t="shared" si="43"/>
        <v>1.4250000000000052</v>
      </c>
      <c r="AL173" s="1">
        <f t="shared" si="44"/>
        <v>1.4250000000000052</v>
      </c>
      <c r="AS173" s="1">
        <f t="shared" si="45"/>
        <v>151</v>
      </c>
      <c r="AT173" s="14" t="s">
        <v>267</v>
      </c>
      <c r="AU173" s="8">
        <v>0</v>
      </c>
      <c r="AV173" s="1">
        <f t="shared" si="36"/>
        <v>0</v>
      </c>
      <c r="AW173" s="1">
        <f t="shared" si="46"/>
        <v>17.019999999999996</v>
      </c>
      <c r="AX173" s="1">
        <f t="shared" si="47"/>
        <v>17.019999999999996</v>
      </c>
    </row>
    <row r="174" spans="8:50">
      <c r="H174" s="1">
        <f t="shared" si="37"/>
        <v>152</v>
      </c>
      <c r="I174" s="14" t="s">
        <v>269</v>
      </c>
      <c r="J174" s="127">
        <f>'Organized Input Output'!D169</f>
        <v>0</v>
      </c>
      <c r="K174" s="104">
        <f t="shared" si="38"/>
        <v>0</v>
      </c>
      <c r="L174" s="104">
        <f t="shared" si="48"/>
        <v>16.274999999999995</v>
      </c>
      <c r="M174" s="104">
        <f t="shared" si="33"/>
        <v>0.745</v>
      </c>
      <c r="T174" s="1">
        <f t="shared" si="39"/>
        <v>152</v>
      </c>
      <c r="U174" s="14" t="s">
        <v>269</v>
      </c>
      <c r="V174" s="8">
        <v>5.8</v>
      </c>
      <c r="W174" s="1">
        <f t="shared" si="34"/>
        <v>6.38</v>
      </c>
      <c r="X174" s="1">
        <f t="shared" si="40"/>
        <v>12.665000000000004</v>
      </c>
      <c r="Y174" s="1">
        <f t="shared" si="41"/>
        <v>0</v>
      </c>
      <c r="AG174" s="1">
        <f t="shared" si="42"/>
        <v>152</v>
      </c>
      <c r="AH174" s="14" t="s">
        <v>269</v>
      </c>
      <c r="AI174" s="8">
        <v>7.4</v>
      </c>
      <c r="AJ174" s="1">
        <f t="shared" si="35"/>
        <v>8.14</v>
      </c>
      <c r="AK174" s="1">
        <f t="shared" si="43"/>
        <v>8.8200000000000056</v>
      </c>
      <c r="AL174" s="1">
        <f t="shared" si="44"/>
        <v>0</v>
      </c>
      <c r="AS174" s="1">
        <f t="shared" si="45"/>
        <v>152</v>
      </c>
      <c r="AT174" s="14" t="s">
        <v>269</v>
      </c>
      <c r="AU174" s="8">
        <v>0</v>
      </c>
      <c r="AV174" s="1">
        <f t="shared" si="36"/>
        <v>0</v>
      </c>
      <c r="AW174" s="1">
        <f t="shared" si="46"/>
        <v>16.274999999999995</v>
      </c>
      <c r="AX174" s="1">
        <f t="shared" si="47"/>
        <v>16.274999999999995</v>
      </c>
    </row>
    <row r="175" spans="8:50">
      <c r="H175" s="1">
        <f t="shared" si="37"/>
        <v>153</v>
      </c>
      <c r="I175" s="14" t="s">
        <v>269</v>
      </c>
      <c r="J175" s="127">
        <f>'Organized Input Output'!D170</f>
        <v>0</v>
      </c>
      <c r="K175" s="104">
        <f t="shared" si="38"/>
        <v>0</v>
      </c>
      <c r="L175" s="104">
        <f t="shared" si="48"/>
        <v>15.529999999999996</v>
      </c>
      <c r="M175" s="104">
        <f t="shared" si="33"/>
        <v>0.745</v>
      </c>
      <c r="T175" s="1">
        <f t="shared" si="39"/>
        <v>153</v>
      </c>
      <c r="U175" s="14" t="s">
        <v>269</v>
      </c>
      <c r="V175" s="8">
        <v>9.1999999999999993</v>
      </c>
      <c r="W175" s="1">
        <f t="shared" si="34"/>
        <v>10.119999999999999</v>
      </c>
      <c r="X175" s="1">
        <f t="shared" si="40"/>
        <v>20</v>
      </c>
      <c r="Y175" s="1">
        <f t="shared" si="41"/>
        <v>0</v>
      </c>
      <c r="AG175" s="1">
        <f t="shared" si="42"/>
        <v>153</v>
      </c>
      <c r="AH175" s="14" t="s">
        <v>269</v>
      </c>
      <c r="AI175" s="8">
        <v>2.8</v>
      </c>
      <c r="AJ175" s="1">
        <f t="shared" si="35"/>
        <v>3.08</v>
      </c>
      <c r="AK175" s="1">
        <f t="shared" si="43"/>
        <v>11.155000000000006</v>
      </c>
      <c r="AL175" s="1">
        <f t="shared" si="44"/>
        <v>0</v>
      </c>
      <c r="AS175" s="1">
        <f t="shared" si="45"/>
        <v>153</v>
      </c>
      <c r="AT175" s="14" t="s">
        <v>269</v>
      </c>
      <c r="AU175" s="8">
        <v>0</v>
      </c>
      <c r="AV175" s="1">
        <f t="shared" si="36"/>
        <v>0</v>
      </c>
      <c r="AW175" s="1">
        <f t="shared" si="46"/>
        <v>15.529999999999996</v>
      </c>
      <c r="AX175" s="1">
        <f t="shared" si="47"/>
        <v>15.529999999999996</v>
      </c>
    </row>
    <row r="176" spans="8:50">
      <c r="H176" s="1">
        <f t="shared" si="37"/>
        <v>154</v>
      </c>
      <c r="I176" s="14" t="s">
        <v>269</v>
      </c>
      <c r="J176" s="127">
        <f>'Organized Input Output'!D171</f>
        <v>0</v>
      </c>
      <c r="K176" s="104">
        <f t="shared" si="38"/>
        <v>0</v>
      </c>
      <c r="L176" s="104">
        <f t="shared" si="48"/>
        <v>14.784999999999997</v>
      </c>
      <c r="M176" s="104">
        <f t="shared" si="33"/>
        <v>0.745</v>
      </c>
      <c r="T176" s="1">
        <f t="shared" si="39"/>
        <v>154</v>
      </c>
      <c r="U176" s="14" t="s">
        <v>269</v>
      </c>
      <c r="V176" s="8">
        <v>0</v>
      </c>
      <c r="W176" s="1">
        <f t="shared" si="34"/>
        <v>0</v>
      </c>
      <c r="X176" s="1">
        <f t="shared" si="40"/>
        <v>19.254999999999999</v>
      </c>
      <c r="Y176" s="1">
        <f t="shared" si="41"/>
        <v>19.254999999999999</v>
      </c>
      <c r="AG176" s="1">
        <f t="shared" si="42"/>
        <v>154</v>
      </c>
      <c r="AH176" s="14" t="s">
        <v>269</v>
      </c>
      <c r="AI176" s="8">
        <v>0</v>
      </c>
      <c r="AJ176" s="1">
        <f t="shared" si="35"/>
        <v>0</v>
      </c>
      <c r="AK176" s="1">
        <f t="shared" si="43"/>
        <v>10.410000000000007</v>
      </c>
      <c r="AL176" s="1">
        <f t="shared" si="44"/>
        <v>10.410000000000007</v>
      </c>
      <c r="AS176" s="1">
        <f t="shared" si="45"/>
        <v>154</v>
      </c>
      <c r="AT176" s="14" t="s">
        <v>269</v>
      </c>
      <c r="AU176" s="8">
        <v>0</v>
      </c>
      <c r="AV176" s="1">
        <f t="shared" si="36"/>
        <v>0</v>
      </c>
      <c r="AW176" s="1">
        <f t="shared" si="46"/>
        <v>14.784999999999997</v>
      </c>
      <c r="AX176" s="1">
        <f t="shared" si="47"/>
        <v>14.784999999999997</v>
      </c>
    </row>
    <row r="177" spans="8:50">
      <c r="H177" s="1">
        <f t="shared" si="37"/>
        <v>155</v>
      </c>
      <c r="I177" s="14" t="s">
        <v>269</v>
      </c>
      <c r="J177" s="127">
        <f>'Organized Input Output'!D172</f>
        <v>0</v>
      </c>
      <c r="K177" s="104">
        <f t="shared" si="38"/>
        <v>0</v>
      </c>
      <c r="L177" s="104">
        <f t="shared" si="48"/>
        <v>14.039999999999997</v>
      </c>
      <c r="M177" s="104">
        <f t="shared" si="33"/>
        <v>0.745</v>
      </c>
      <c r="T177" s="1">
        <f t="shared" si="39"/>
        <v>155</v>
      </c>
      <c r="U177" s="14" t="s">
        <v>269</v>
      </c>
      <c r="V177" s="8">
        <v>0</v>
      </c>
      <c r="W177" s="1">
        <f t="shared" si="34"/>
        <v>0</v>
      </c>
      <c r="X177" s="1">
        <f t="shared" si="40"/>
        <v>18.509999999999998</v>
      </c>
      <c r="Y177" s="1">
        <f t="shared" si="41"/>
        <v>18.509999999999998</v>
      </c>
      <c r="AG177" s="1">
        <f t="shared" si="42"/>
        <v>155</v>
      </c>
      <c r="AH177" s="14" t="s">
        <v>269</v>
      </c>
      <c r="AI177" s="8">
        <v>0</v>
      </c>
      <c r="AJ177" s="1">
        <f t="shared" si="35"/>
        <v>0</v>
      </c>
      <c r="AK177" s="1">
        <f t="shared" si="43"/>
        <v>9.665000000000008</v>
      </c>
      <c r="AL177" s="1">
        <f t="shared" si="44"/>
        <v>9.665000000000008</v>
      </c>
      <c r="AS177" s="1">
        <f t="shared" si="45"/>
        <v>155</v>
      </c>
      <c r="AT177" s="14" t="s">
        <v>269</v>
      </c>
      <c r="AU177" s="8">
        <v>0</v>
      </c>
      <c r="AV177" s="1">
        <f t="shared" si="36"/>
        <v>0</v>
      </c>
      <c r="AW177" s="1">
        <f t="shared" si="46"/>
        <v>14.039999999999997</v>
      </c>
      <c r="AX177" s="1">
        <f t="shared" si="47"/>
        <v>14.039999999999997</v>
      </c>
    </row>
    <row r="178" spans="8:50">
      <c r="H178" s="1">
        <f t="shared" si="37"/>
        <v>156</v>
      </c>
      <c r="I178" s="14" t="s">
        <v>269</v>
      </c>
      <c r="J178" s="127">
        <f>'Organized Input Output'!D173</f>
        <v>0</v>
      </c>
      <c r="K178" s="104">
        <f t="shared" si="38"/>
        <v>0</v>
      </c>
      <c r="L178" s="104">
        <f t="shared" si="48"/>
        <v>13.294999999999998</v>
      </c>
      <c r="M178" s="104">
        <f t="shared" si="33"/>
        <v>0.745</v>
      </c>
      <c r="T178" s="1">
        <f t="shared" si="39"/>
        <v>156</v>
      </c>
      <c r="U178" s="14" t="s">
        <v>269</v>
      </c>
      <c r="V178" s="8">
        <v>0</v>
      </c>
      <c r="W178" s="1">
        <f t="shared" si="34"/>
        <v>0</v>
      </c>
      <c r="X178" s="1">
        <f t="shared" si="40"/>
        <v>17.764999999999997</v>
      </c>
      <c r="Y178" s="1">
        <f t="shared" si="41"/>
        <v>17.764999999999997</v>
      </c>
      <c r="AG178" s="1">
        <f t="shared" si="42"/>
        <v>156</v>
      </c>
      <c r="AH178" s="14" t="s">
        <v>269</v>
      </c>
      <c r="AI178" s="8">
        <v>0</v>
      </c>
      <c r="AJ178" s="1">
        <f t="shared" si="35"/>
        <v>0</v>
      </c>
      <c r="AK178" s="1">
        <f t="shared" si="43"/>
        <v>8.9200000000000088</v>
      </c>
      <c r="AL178" s="1">
        <f t="shared" si="44"/>
        <v>8.9200000000000088</v>
      </c>
      <c r="AS178" s="1">
        <f t="shared" si="45"/>
        <v>156</v>
      </c>
      <c r="AT178" s="14" t="s">
        <v>269</v>
      </c>
      <c r="AU178" s="8">
        <v>0</v>
      </c>
      <c r="AV178" s="1">
        <f t="shared" si="36"/>
        <v>0</v>
      </c>
      <c r="AW178" s="1">
        <f t="shared" si="46"/>
        <v>13.294999999999998</v>
      </c>
      <c r="AX178" s="1">
        <f t="shared" si="47"/>
        <v>13.294999999999998</v>
      </c>
    </row>
    <row r="179" spans="8:50">
      <c r="H179" s="1">
        <f t="shared" si="37"/>
        <v>157</v>
      </c>
      <c r="I179" s="14" t="s">
        <v>269</v>
      </c>
      <c r="J179" s="127">
        <f>'Organized Input Output'!D174</f>
        <v>0</v>
      </c>
      <c r="K179" s="104">
        <f t="shared" si="38"/>
        <v>0</v>
      </c>
      <c r="L179" s="104">
        <f t="shared" si="48"/>
        <v>12.549999999999999</v>
      </c>
      <c r="M179" s="104">
        <f t="shared" si="33"/>
        <v>0.745</v>
      </c>
      <c r="T179" s="1">
        <f t="shared" si="39"/>
        <v>157</v>
      </c>
      <c r="U179" s="14" t="s">
        <v>269</v>
      </c>
      <c r="V179" s="8">
        <v>0</v>
      </c>
      <c r="W179" s="1">
        <f t="shared" si="34"/>
        <v>0</v>
      </c>
      <c r="X179" s="1">
        <f t="shared" si="40"/>
        <v>17.019999999999996</v>
      </c>
      <c r="Y179" s="1">
        <f t="shared" si="41"/>
        <v>17.019999999999996</v>
      </c>
      <c r="AG179" s="1">
        <f t="shared" si="42"/>
        <v>157</v>
      </c>
      <c r="AH179" s="14" t="s">
        <v>269</v>
      </c>
      <c r="AI179" s="8">
        <v>0</v>
      </c>
      <c r="AJ179" s="1">
        <f t="shared" si="35"/>
        <v>0</v>
      </c>
      <c r="AK179" s="1">
        <f t="shared" si="43"/>
        <v>8.1750000000000096</v>
      </c>
      <c r="AL179" s="1">
        <f t="shared" si="44"/>
        <v>8.1750000000000096</v>
      </c>
      <c r="AS179" s="1">
        <f t="shared" si="45"/>
        <v>157</v>
      </c>
      <c r="AT179" s="14" t="s">
        <v>269</v>
      </c>
      <c r="AU179" s="8">
        <v>0</v>
      </c>
      <c r="AV179" s="1">
        <f t="shared" si="36"/>
        <v>0</v>
      </c>
      <c r="AW179" s="1">
        <f t="shared" si="46"/>
        <v>12.549999999999999</v>
      </c>
      <c r="AX179" s="1">
        <f t="shared" si="47"/>
        <v>12.549999999999999</v>
      </c>
    </row>
    <row r="180" spans="8:50">
      <c r="H180" s="1">
        <f t="shared" si="37"/>
        <v>158</v>
      </c>
      <c r="I180" s="14" t="s">
        <v>269</v>
      </c>
      <c r="J180" s="127">
        <f>'Organized Input Output'!D175</f>
        <v>0</v>
      </c>
      <c r="K180" s="104">
        <f t="shared" si="38"/>
        <v>0</v>
      </c>
      <c r="L180" s="104">
        <f t="shared" si="48"/>
        <v>11.805</v>
      </c>
      <c r="M180" s="104">
        <f t="shared" si="33"/>
        <v>0.745</v>
      </c>
      <c r="T180" s="1">
        <f t="shared" si="39"/>
        <v>158</v>
      </c>
      <c r="U180" s="14" t="s">
        <v>269</v>
      </c>
      <c r="V180" s="8">
        <v>0</v>
      </c>
      <c r="W180" s="1">
        <f t="shared" si="34"/>
        <v>0</v>
      </c>
      <c r="X180" s="1">
        <f t="shared" si="40"/>
        <v>16.274999999999995</v>
      </c>
      <c r="Y180" s="1">
        <f t="shared" si="41"/>
        <v>16.274999999999995</v>
      </c>
      <c r="AG180" s="1">
        <f t="shared" si="42"/>
        <v>158</v>
      </c>
      <c r="AH180" s="14" t="s">
        <v>269</v>
      </c>
      <c r="AI180" s="8">
        <v>0</v>
      </c>
      <c r="AJ180" s="1">
        <f t="shared" si="35"/>
        <v>0</v>
      </c>
      <c r="AK180" s="1">
        <f t="shared" si="43"/>
        <v>7.4300000000000095</v>
      </c>
      <c r="AL180" s="1">
        <f t="shared" si="44"/>
        <v>7.4300000000000095</v>
      </c>
      <c r="AS180" s="1">
        <f t="shared" si="45"/>
        <v>158</v>
      </c>
      <c r="AT180" s="14" t="s">
        <v>269</v>
      </c>
      <c r="AU180" s="8">
        <v>0</v>
      </c>
      <c r="AV180" s="1">
        <f t="shared" si="36"/>
        <v>0</v>
      </c>
      <c r="AW180" s="1">
        <f t="shared" si="46"/>
        <v>11.805</v>
      </c>
      <c r="AX180" s="1">
        <f t="shared" si="47"/>
        <v>11.805</v>
      </c>
    </row>
    <row r="181" spans="8:50">
      <c r="H181" s="1">
        <f t="shared" si="37"/>
        <v>159</v>
      </c>
      <c r="I181" s="14" t="s">
        <v>269</v>
      </c>
      <c r="J181" s="127">
        <f>'Organized Input Output'!D176</f>
        <v>0.2</v>
      </c>
      <c r="K181" s="104">
        <f t="shared" si="38"/>
        <v>0.22</v>
      </c>
      <c r="L181" s="104">
        <f t="shared" si="48"/>
        <v>11.280000000000001</v>
      </c>
      <c r="M181" s="104">
        <f t="shared" si="33"/>
        <v>0.745</v>
      </c>
      <c r="T181" s="1">
        <f t="shared" si="39"/>
        <v>159</v>
      </c>
      <c r="U181" s="14" t="s">
        <v>269</v>
      </c>
      <c r="V181" s="8">
        <v>0</v>
      </c>
      <c r="W181" s="1">
        <f t="shared" si="34"/>
        <v>0</v>
      </c>
      <c r="X181" s="1">
        <f t="shared" si="40"/>
        <v>15.529999999999996</v>
      </c>
      <c r="Y181" s="1">
        <f t="shared" si="41"/>
        <v>15.529999999999996</v>
      </c>
      <c r="AG181" s="1">
        <f t="shared" si="42"/>
        <v>159</v>
      </c>
      <c r="AH181" s="14" t="s">
        <v>269</v>
      </c>
      <c r="AI181" s="8">
        <v>0</v>
      </c>
      <c r="AJ181" s="1">
        <f t="shared" si="35"/>
        <v>0</v>
      </c>
      <c r="AK181" s="1">
        <f t="shared" si="43"/>
        <v>6.6850000000000094</v>
      </c>
      <c r="AL181" s="1">
        <f t="shared" si="44"/>
        <v>6.6850000000000094</v>
      </c>
      <c r="AS181" s="1">
        <f t="shared" si="45"/>
        <v>159</v>
      </c>
      <c r="AT181" s="14" t="s">
        <v>269</v>
      </c>
      <c r="AU181" s="8">
        <v>0.2</v>
      </c>
      <c r="AV181" s="1">
        <f t="shared" si="36"/>
        <v>0.22</v>
      </c>
      <c r="AW181" s="1">
        <f t="shared" si="46"/>
        <v>11.280000000000001</v>
      </c>
      <c r="AX181" s="1">
        <f t="shared" si="47"/>
        <v>6.0000000000000009</v>
      </c>
    </row>
    <row r="182" spans="8:50">
      <c r="H182" s="1">
        <f t="shared" si="37"/>
        <v>160</v>
      </c>
      <c r="I182" s="14" t="s">
        <v>269</v>
      </c>
      <c r="J182" s="127">
        <f>'Organized Input Output'!D177</f>
        <v>0</v>
      </c>
      <c r="K182" s="104">
        <f t="shared" si="38"/>
        <v>0</v>
      </c>
      <c r="L182" s="104">
        <f t="shared" si="48"/>
        <v>10.535000000000002</v>
      </c>
      <c r="M182" s="104">
        <f t="shared" ref="M182:M245" si="49">IF(I182="Jan", 0, $D$11)</f>
        <v>0.745</v>
      </c>
      <c r="T182" s="1">
        <f t="shared" si="39"/>
        <v>160</v>
      </c>
      <c r="U182" s="14" t="s">
        <v>269</v>
      </c>
      <c r="V182" s="8">
        <v>0</v>
      </c>
      <c r="W182" s="1">
        <f t="shared" si="34"/>
        <v>0</v>
      </c>
      <c r="X182" s="1">
        <f t="shared" si="40"/>
        <v>14.784999999999997</v>
      </c>
      <c r="Y182" s="1">
        <f t="shared" si="41"/>
        <v>14.784999999999997</v>
      </c>
      <c r="AG182" s="1">
        <f t="shared" si="42"/>
        <v>160</v>
      </c>
      <c r="AH182" s="14" t="s">
        <v>269</v>
      </c>
      <c r="AI182" s="8">
        <v>0</v>
      </c>
      <c r="AJ182" s="1">
        <f t="shared" si="35"/>
        <v>0</v>
      </c>
      <c r="AK182" s="1">
        <f t="shared" si="43"/>
        <v>5.9400000000000093</v>
      </c>
      <c r="AL182" s="1">
        <f t="shared" si="44"/>
        <v>5.9400000000000093</v>
      </c>
      <c r="AS182" s="1">
        <f t="shared" si="45"/>
        <v>160</v>
      </c>
      <c r="AT182" s="14" t="s">
        <v>269</v>
      </c>
      <c r="AU182" s="8">
        <v>0</v>
      </c>
      <c r="AV182" s="1">
        <f t="shared" si="36"/>
        <v>0</v>
      </c>
      <c r="AW182" s="1">
        <f t="shared" si="46"/>
        <v>10.535000000000002</v>
      </c>
      <c r="AX182" s="1">
        <f t="shared" si="47"/>
        <v>10.535000000000002</v>
      </c>
    </row>
    <row r="183" spans="8:50">
      <c r="H183" s="1">
        <f t="shared" si="37"/>
        <v>161</v>
      </c>
      <c r="I183" s="14" t="s">
        <v>269</v>
      </c>
      <c r="J183" s="127">
        <f>'Organized Input Output'!D178</f>
        <v>0</v>
      </c>
      <c r="K183" s="104">
        <f t="shared" si="38"/>
        <v>0</v>
      </c>
      <c r="L183" s="104">
        <f t="shared" si="48"/>
        <v>9.7900000000000027</v>
      </c>
      <c r="M183" s="104">
        <f t="shared" si="49"/>
        <v>0.745</v>
      </c>
      <c r="T183" s="1">
        <f t="shared" si="39"/>
        <v>161</v>
      </c>
      <c r="U183" s="14" t="s">
        <v>269</v>
      </c>
      <c r="V183" s="8">
        <v>0</v>
      </c>
      <c r="W183" s="1">
        <f t="shared" si="34"/>
        <v>0</v>
      </c>
      <c r="X183" s="1">
        <f t="shared" si="40"/>
        <v>14.039999999999997</v>
      </c>
      <c r="Y183" s="1">
        <f t="shared" si="41"/>
        <v>14.039999999999997</v>
      </c>
      <c r="AG183" s="1">
        <f t="shared" si="42"/>
        <v>161</v>
      </c>
      <c r="AH183" s="14" t="s">
        <v>269</v>
      </c>
      <c r="AI183" s="8">
        <v>0</v>
      </c>
      <c r="AJ183" s="1">
        <f t="shared" si="35"/>
        <v>0</v>
      </c>
      <c r="AK183" s="1">
        <f t="shared" si="43"/>
        <v>5.1950000000000092</v>
      </c>
      <c r="AL183" s="1">
        <f t="shared" si="44"/>
        <v>5.1950000000000092</v>
      </c>
      <c r="AS183" s="1">
        <f t="shared" si="45"/>
        <v>161</v>
      </c>
      <c r="AT183" s="14" t="s">
        <v>269</v>
      </c>
      <c r="AU183" s="8">
        <v>0</v>
      </c>
      <c r="AV183" s="1">
        <f t="shared" si="36"/>
        <v>0</v>
      </c>
      <c r="AW183" s="1">
        <f t="shared" si="46"/>
        <v>9.7900000000000027</v>
      </c>
      <c r="AX183" s="1">
        <f t="shared" si="47"/>
        <v>9.7900000000000027</v>
      </c>
    </row>
    <row r="184" spans="8:50">
      <c r="H184" s="1">
        <f t="shared" si="37"/>
        <v>162</v>
      </c>
      <c r="I184" s="14" t="s">
        <v>269</v>
      </c>
      <c r="J184" s="127">
        <f>'Organized Input Output'!D179</f>
        <v>0</v>
      </c>
      <c r="K184" s="104">
        <f t="shared" si="38"/>
        <v>0</v>
      </c>
      <c r="L184" s="104">
        <f t="shared" si="48"/>
        <v>9.0450000000000035</v>
      </c>
      <c r="M184" s="104">
        <f t="shared" si="49"/>
        <v>0.745</v>
      </c>
      <c r="T184" s="1">
        <f t="shared" si="39"/>
        <v>162</v>
      </c>
      <c r="U184" s="14" t="s">
        <v>269</v>
      </c>
      <c r="V184" s="8">
        <v>0</v>
      </c>
      <c r="W184" s="1">
        <f t="shared" si="34"/>
        <v>0</v>
      </c>
      <c r="X184" s="1">
        <f t="shared" si="40"/>
        <v>13.294999999999998</v>
      </c>
      <c r="Y184" s="1">
        <f t="shared" si="41"/>
        <v>13.294999999999998</v>
      </c>
      <c r="AG184" s="1">
        <f t="shared" si="42"/>
        <v>162</v>
      </c>
      <c r="AH184" s="14" t="s">
        <v>269</v>
      </c>
      <c r="AI184" s="8">
        <v>0</v>
      </c>
      <c r="AJ184" s="1">
        <f t="shared" si="35"/>
        <v>0</v>
      </c>
      <c r="AK184" s="1">
        <f t="shared" si="43"/>
        <v>4.4500000000000091</v>
      </c>
      <c r="AL184" s="1">
        <f t="shared" si="44"/>
        <v>4.4500000000000091</v>
      </c>
      <c r="AS184" s="1">
        <f t="shared" si="45"/>
        <v>162</v>
      </c>
      <c r="AT184" s="14" t="s">
        <v>269</v>
      </c>
      <c r="AU184" s="8">
        <v>0</v>
      </c>
      <c r="AV184" s="1">
        <f t="shared" si="36"/>
        <v>0</v>
      </c>
      <c r="AW184" s="1">
        <f t="shared" si="46"/>
        <v>9.0450000000000035</v>
      </c>
      <c r="AX184" s="1">
        <f t="shared" si="47"/>
        <v>9.0450000000000035</v>
      </c>
    </row>
    <row r="185" spans="8:50">
      <c r="H185" s="1">
        <f t="shared" si="37"/>
        <v>163</v>
      </c>
      <c r="I185" s="14" t="s">
        <v>269</v>
      </c>
      <c r="J185" s="127">
        <f>'Organized Input Output'!D180</f>
        <v>0</v>
      </c>
      <c r="K185" s="104">
        <f t="shared" si="38"/>
        <v>0</v>
      </c>
      <c r="L185" s="104">
        <f t="shared" si="48"/>
        <v>8.3000000000000043</v>
      </c>
      <c r="M185" s="104">
        <f t="shared" si="49"/>
        <v>0.745</v>
      </c>
      <c r="T185" s="1">
        <f t="shared" si="39"/>
        <v>163</v>
      </c>
      <c r="U185" s="14" t="s">
        <v>269</v>
      </c>
      <c r="V185" s="8">
        <v>0</v>
      </c>
      <c r="W185" s="1">
        <f t="shared" si="34"/>
        <v>0</v>
      </c>
      <c r="X185" s="1">
        <f t="shared" si="40"/>
        <v>12.549999999999999</v>
      </c>
      <c r="Y185" s="1">
        <f t="shared" si="41"/>
        <v>12.549999999999999</v>
      </c>
      <c r="AG185" s="1">
        <f t="shared" si="42"/>
        <v>163</v>
      </c>
      <c r="AH185" s="14" t="s">
        <v>269</v>
      </c>
      <c r="AI185" s="8">
        <v>0</v>
      </c>
      <c r="AJ185" s="1">
        <f t="shared" si="35"/>
        <v>0</v>
      </c>
      <c r="AK185" s="1">
        <f t="shared" si="43"/>
        <v>3.705000000000009</v>
      </c>
      <c r="AL185" s="1">
        <f t="shared" si="44"/>
        <v>3.705000000000009</v>
      </c>
      <c r="AS185" s="1">
        <f t="shared" si="45"/>
        <v>163</v>
      </c>
      <c r="AT185" s="14" t="s">
        <v>269</v>
      </c>
      <c r="AU185" s="8">
        <v>0</v>
      </c>
      <c r="AV185" s="1">
        <f t="shared" si="36"/>
        <v>0</v>
      </c>
      <c r="AW185" s="1">
        <f t="shared" si="46"/>
        <v>8.3000000000000043</v>
      </c>
      <c r="AX185" s="1">
        <f t="shared" si="47"/>
        <v>8.3000000000000043</v>
      </c>
    </row>
    <row r="186" spans="8:50">
      <c r="H186" s="1">
        <f t="shared" si="37"/>
        <v>164</v>
      </c>
      <c r="I186" s="14" t="s">
        <v>269</v>
      </c>
      <c r="J186" s="127">
        <f>'Organized Input Output'!D181</f>
        <v>0</v>
      </c>
      <c r="K186" s="104">
        <f t="shared" si="38"/>
        <v>0</v>
      </c>
      <c r="L186" s="104">
        <f t="shared" si="48"/>
        <v>7.5550000000000042</v>
      </c>
      <c r="M186" s="104">
        <f t="shared" si="49"/>
        <v>0.745</v>
      </c>
      <c r="T186" s="1">
        <f t="shared" si="39"/>
        <v>164</v>
      </c>
      <c r="U186" s="14" t="s">
        <v>269</v>
      </c>
      <c r="V186" s="8">
        <v>0</v>
      </c>
      <c r="W186" s="1">
        <f t="shared" si="34"/>
        <v>0</v>
      </c>
      <c r="X186" s="1">
        <f t="shared" si="40"/>
        <v>11.805</v>
      </c>
      <c r="Y186" s="1">
        <f t="shared" si="41"/>
        <v>11.805</v>
      </c>
      <c r="AG186" s="1">
        <f t="shared" si="42"/>
        <v>164</v>
      </c>
      <c r="AH186" s="14" t="s">
        <v>269</v>
      </c>
      <c r="AI186" s="8">
        <v>0</v>
      </c>
      <c r="AJ186" s="1">
        <f t="shared" si="35"/>
        <v>0</v>
      </c>
      <c r="AK186" s="1">
        <f t="shared" si="43"/>
        <v>2.9600000000000088</v>
      </c>
      <c r="AL186" s="1">
        <f t="shared" si="44"/>
        <v>2.9600000000000088</v>
      </c>
      <c r="AS186" s="1">
        <f t="shared" si="45"/>
        <v>164</v>
      </c>
      <c r="AT186" s="14" t="s">
        <v>269</v>
      </c>
      <c r="AU186" s="8">
        <v>0</v>
      </c>
      <c r="AV186" s="1">
        <f t="shared" si="36"/>
        <v>0</v>
      </c>
      <c r="AW186" s="1">
        <f t="shared" si="46"/>
        <v>7.5550000000000042</v>
      </c>
      <c r="AX186" s="1">
        <f t="shared" si="47"/>
        <v>7.5550000000000042</v>
      </c>
    </row>
    <row r="187" spans="8:50">
      <c r="H187" s="1">
        <f t="shared" si="37"/>
        <v>165</v>
      </c>
      <c r="I187" s="14" t="s">
        <v>269</v>
      </c>
      <c r="J187" s="127">
        <f>'Organized Input Output'!D182</f>
        <v>3.6</v>
      </c>
      <c r="K187" s="104">
        <f t="shared" si="38"/>
        <v>3.96</v>
      </c>
      <c r="L187" s="104">
        <f t="shared" si="48"/>
        <v>10.770000000000005</v>
      </c>
      <c r="M187" s="104">
        <f t="shared" si="49"/>
        <v>0.745</v>
      </c>
      <c r="T187" s="1">
        <f t="shared" si="39"/>
        <v>165</v>
      </c>
      <c r="U187" s="14" t="s">
        <v>269</v>
      </c>
      <c r="V187" s="8">
        <v>0</v>
      </c>
      <c r="W187" s="1">
        <f t="shared" si="34"/>
        <v>0</v>
      </c>
      <c r="X187" s="1">
        <f t="shared" si="40"/>
        <v>11.06</v>
      </c>
      <c r="Y187" s="1">
        <f t="shared" si="41"/>
        <v>11.06</v>
      </c>
      <c r="AG187" s="1">
        <f t="shared" si="42"/>
        <v>165</v>
      </c>
      <c r="AH187" s="14" t="s">
        <v>269</v>
      </c>
      <c r="AI187" s="8">
        <v>0</v>
      </c>
      <c r="AJ187" s="1">
        <f t="shared" si="35"/>
        <v>0</v>
      </c>
      <c r="AK187" s="1">
        <f t="shared" si="43"/>
        <v>2.2150000000000087</v>
      </c>
      <c r="AL187" s="1">
        <f t="shared" si="44"/>
        <v>2.2150000000000087</v>
      </c>
      <c r="AS187" s="1">
        <f t="shared" si="45"/>
        <v>165</v>
      </c>
      <c r="AT187" s="14" t="s">
        <v>269</v>
      </c>
      <c r="AU187" s="8">
        <v>3.6</v>
      </c>
      <c r="AV187" s="1">
        <f t="shared" si="36"/>
        <v>3.96</v>
      </c>
      <c r="AW187" s="1">
        <f t="shared" si="46"/>
        <v>10.770000000000005</v>
      </c>
      <c r="AX187" s="1">
        <f t="shared" si="47"/>
        <v>0</v>
      </c>
    </row>
    <row r="188" spans="8:50">
      <c r="H188" s="1">
        <f t="shared" si="37"/>
        <v>166</v>
      </c>
      <c r="I188" s="14" t="s">
        <v>269</v>
      </c>
      <c r="J188" s="127">
        <f>'Organized Input Output'!D183</f>
        <v>0</v>
      </c>
      <c r="K188" s="104">
        <f t="shared" si="38"/>
        <v>0</v>
      </c>
      <c r="L188" s="104">
        <f t="shared" si="48"/>
        <v>10.025000000000006</v>
      </c>
      <c r="M188" s="104">
        <f t="shared" si="49"/>
        <v>0.745</v>
      </c>
      <c r="T188" s="1">
        <f t="shared" si="39"/>
        <v>166</v>
      </c>
      <c r="U188" s="14" t="s">
        <v>269</v>
      </c>
      <c r="V188" s="8">
        <v>0</v>
      </c>
      <c r="W188" s="1">
        <f t="shared" si="34"/>
        <v>0</v>
      </c>
      <c r="X188" s="1">
        <f t="shared" si="40"/>
        <v>10.315000000000001</v>
      </c>
      <c r="Y188" s="1">
        <f t="shared" si="41"/>
        <v>10.315000000000001</v>
      </c>
      <c r="AG188" s="1">
        <f t="shared" si="42"/>
        <v>166</v>
      </c>
      <c r="AH188" s="14" t="s">
        <v>269</v>
      </c>
      <c r="AI188" s="8">
        <v>0</v>
      </c>
      <c r="AJ188" s="1">
        <f t="shared" si="35"/>
        <v>0</v>
      </c>
      <c r="AK188" s="1">
        <f t="shared" si="43"/>
        <v>1.4700000000000086</v>
      </c>
      <c r="AL188" s="1">
        <f t="shared" si="44"/>
        <v>1.4700000000000086</v>
      </c>
      <c r="AS188" s="1">
        <f t="shared" si="45"/>
        <v>166</v>
      </c>
      <c r="AT188" s="14" t="s">
        <v>269</v>
      </c>
      <c r="AU188" s="8">
        <v>0</v>
      </c>
      <c r="AV188" s="1">
        <f t="shared" si="36"/>
        <v>0</v>
      </c>
      <c r="AW188" s="1">
        <f t="shared" si="46"/>
        <v>10.025000000000006</v>
      </c>
      <c r="AX188" s="1">
        <f t="shared" si="47"/>
        <v>10.025000000000006</v>
      </c>
    </row>
    <row r="189" spans="8:50">
      <c r="H189" s="1">
        <f t="shared" si="37"/>
        <v>167</v>
      </c>
      <c r="I189" s="14" t="s">
        <v>269</v>
      </c>
      <c r="J189" s="127">
        <f>'Organized Input Output'!D184</f>
        <v>0</v>
      </c>
      <c r="K189" s="104">
        <f t="shared" si="38"/>
        <v>0</v>
      </c>
      <c r="L189" s="104">
        <f t="shared" si="48"/>
        <v>9.2800000000000065</v>
      </c>
      <c r="M189" s="104">
        <f t="shared" si="49"/>
        <v>0.745</v>
      </c>
      <c r="T189" s="1">
        <f t="shared" si="39"/>
        <v>167</v>
      </c>
      <c r="U189" s="14" t="s">
        <v>269</v>
      </c>
      <c r="V189" s="8">
        <v>0</v>
      </c>
      <c r="W189" s="1">
        <f t="shared" si="34"/>
        <v>0</v>
      </c>
      <c r="X189" s="1">
        <f t="shared" si="40"/>
        <v>9.5700000000000021</v>
      </c>
      <c r="Y189" s="1">
        <f t="shared" si="41"/>
        <v>9.5700000000000021</v>
      </c>
      <c r="AG189" s="1">
        <f t="shared" si="42"/>
        <v>167</v>
      </c>
      <c r="AH189" s="14" t="s">
        <v>269</v>
      </c>
      <c r="AI189" s="8">
        <v>0</v>
      </c>
      <c r="AJ189" s="1">
        <f t="shared" si="35"/>
        <v>0</v>
      </c>
      <c r="AK189" s="1">
        <f t="shared" si="43"/>
        <v>0.72500000000000864</v>
      </c>
      <c r="AL189" s="1">
        <f t="shared" si="44"/>
        <v>0.72500000000000864</v>
      </c>
      <c r="AS189" s="1">
        <f t="shared" si="45"/>
        <v>167</v>
      </c>
      <c r="AT189" s="14" t="s">
        <v>269</v>
      </c>
      <c r="AU189" s="8">
        <v>0</v>
      </c>
      <c r="AV189" s="1">
        <f t="shared" si="36"/>
        <v>0</v>
      </c>
      <c r="AW189" s="1">
        <f t="shared" si="46"/>
        <v>9.2800000000000065</v>
      </c>
      <c r="AX189" s="1">
        <f t="shared" si="47"/>
        <v>9.2800000000000065</v>
      </c>
    </row>
    <row r="190" spans="8:50">
      <c r="H190" s="1">
        <f t="shared" si="37"/>
        <v>168</v>
      </c>
      <c r="I190" s="14" t="s">
        <v>269</v>
      </c>
      <c r="J190" s="127">
        <f>'Organized Input Output'!D185</f>
        <v>0</v>
      </c>
      <c r="K190" s="104">
        <f t="shared" si="38"/>
        <v>0</v>
      </c>
      <c r="L190" s="104">
        <f t="shared" si="48"/>
        <v>8.5350000000000072</v>
      </c>
      <c r="M190" s="104">
        <f t="shared" si="49"/>
        <v>0.745</v>
      </c>
      <c r="T190" s="1">
        <f t="shared" si="39"/>
        <v>168</v>
      </c>
      <c r="U190" s="14" t="s">
        <v>269</v>
      </c>
      <c r="V190" s="8">
        <v>0</v>
      </c>
      <c r="W190" s="1">
        <f t="shared" si="34"/>
        <v>0</v>
      </c>
      <c r="X190" s="1">
        <f t="shared" si="40"/>
        <v>8.8250000000000028</v>
      </c>
      <c r="Y190" s="1">
        <f t="shared" si="41"/>
        <v>8.8250000000000028</v>
      </c>
      <c r="AG190" s="1">
        <f t="shared" si="42"/>
        <v>168</v>
      </c>
      <c r="AH190" s="14" t="s">
        <v>269</v>
      </c>
      <c r="AI190" s="8">
        <v>0</v>
      </c>
      <c r="AJ190" s="1">
        <f t="shared" si="35"/>
        <v>0</v>
      </c>
      <c r="AK190" s="1">
        <f t="shared" si="43"/>
        <v>0</v>
      </c>
      <c r="AL190" s="1">
        <f t="shared" si="44"/>
        <v>0</v>
      </c>
      <c r="AS190" s="1">
        <f t="shared" si="45"/>
        <v>168</v>
      </c>
      <c r="AT190" s="14" t="s">
        <v>269</v>
      </c>
      <c r="AU190" s="8">
        <v>0</v>
      </c>
      <c r="AV190" s="1">
        <f t="shared" si="36"/>
        <v>0</v>
      </c>
      <c r="AW190" s="1">
        <f t="shared" si="46"/>
        <v>8.5350000000000072</v>
      </c>
      <c r="AX190" s="1">
        <f t="shared" si="47"/>
        <v>8.5350000000000072</v>
      </c>
    </row>
    <row r="191" spans="8:50">
      <c r="H191" s="1">
        <f t="shared" si="37"/>
        <v>169</v>
      </c>
      <c r="I191" s="14" t="s">
        <v>269</v>
      </c>
      <c r="J191" s="127">
        <f>'Organized Input Output'!D186</f>
        <v>1.6</v>
      </c>
      <c r="K191" s="104">
        <f t="shared" si="38"/>
        <v>1.76</v>
      </c>
      <c r="L191" s="104">
        <f t="shared" si="48"/>
        <v>9.5500000000000078</v>
      </c>
      <c r="M191" s="104">
        <f t="shared" si="49"/>
        <v>0.745</v>
      </c>
      <c r="T191" s="1">
        <f t="shared" si="39"/>
        <v>169</v>
      </c>
      <c r="U191" s="14" t="s">
        <v>269</v>
      </c>
      <c r="V191" s="8">
        <v>1.6</v>
      </c>
      <c r="W191" s="1">
        <f t="shared" si="34"/>
        <v>1.76</v>
      </c>
      <c r="X191" s="1">
        <f t="shared" si="40"/>
        <v>9.8400000000000034</v>
      </c>
      <c r="Y191" s="1">
        <f t="shared" si="41"/>
        <v>0</v>
      </c>
      <c r="AG191" s="1">
        <f t="shared" si="42"/>
        <v>169</v>
      </c>
      <c r="AH191" s="14" t="s">
        <v>269</v>
      </c>
      <c r="AI191" s="8">
        <v>7</v>
      </c>
      <c r="AJ191" s="1">
        <f t="shared" si="35"/>
        <v>7.7</v>
      </c>
      <c r="AK191" s="1">
        <f t="shared" si="43"/>
        <v>6.9550000000000001</v>
      </c>
      <c r="AL191" s="1">
        <f t="shared" si="44"/>
        <v>0</v>
      </c>
      <c r="AS191" s="1">
        <f t="shared" si="45"/>
        <v>169</v>
      </c>
      <c r="AT191" s="14" t="s">
        <v>269</v>
      </c>
      <c r="AU191" s="8">
        <v>1.6</v>
      </c>
      <c r="AV191" s="1">
        <f t="shared" si="36"/>
        <v>1.76</v>
      </c>
      <c r="AW191" s="1">
        <f t="shared" si="46"/>
        <v>9.5500000000000078</v>
      </c>
      <c r="AX191" s="1">
        <f t="shared" si="47"/>
        <v>0</v>
      </c>
    </row>
    <row r="192" spans="8:50">
      <c r="H192" s="1">
        <f t="shared" si="37"/>
        <v>170</v>
      </c>
      <c r="I192" s="14" t="s">
        <v>269</v>
      </c>
      <c r="J192" s="127">
        <f>'Organized Input Output'!D187</f>
        <v>20.8</v>
      </c>
      <c r="K192" s="104">
        <f t="shared" si="38"/>
        <v>22.88</v>
      </c>
      <c r="L192" s="104">
        <f t="shared" si="48"/>
        <v>20</v>
      </c>
      <c r="M192" s="104">
        <f t="shared" si="49"/>
        <v>0.745</v>
      </c>
      <c r="T192" s="1">
        <f t="shared" si="39"/>
        <v>170</v>
      </c>
      <c r="U192" s="14" t="s">
        <v>269</v>
      </c>
      <c r="V192" s="8">
        <v>0.4</v>
      </c>
      <c r="W192" s="1">
        <f t="shared" si="34"/>
        <v>0.44</v>
      </c>
      <c r="X192" s="1">
        <f t="shared" si="40"/>
        <v>9.5350000000000037</v>
      </c>
      <c r="Y192" s="1">
        <f t="shared" si="41"/>
        <v>0</v>
      </c>
      <c r="AG192" s="1">
        <f t="shared" si="42"/>
        <v>170</v>
      </c>
      <c r="AH192" s="14" t="s">
        <v>269</v>
      </c>
      <c r="AI192" s="8">
        <v>0</v>
      </c>
      <c r="AJ192" s="1">
        <f t="shared" si="35"/>
        <v>0</v>
      </c>
      <c r="AK192" s="1">
        <f t="shared" si="43"/>
        <v>6.21</v>
      </c>
      <c r="AL192" s="1">
        <f t="shared" si="44"/>
        <v>6.21</v>
      </c>
      <c r="AS192" s="1">
        <f t="shared" si="45"/>
        <v>170</v>
      </c>
      <c r="AT192" s="14" t="s">
        <v>269</v>
      </c>
      <c r="AU192" s="8">
        <v>20.8</v>
      </c>
      <c r="AV192" s="1">
        <f t="shared" si="36"/>
        <v>22.88</v>
      </c>
      <c r="AW192" s="1">
        <f t="shared" si="46"/>
        <v>20</v>
      </c>
      <c r="AX192" s="1">
        <f t="shared" si="47"/>
        <v>0</v>
      </c>
    </row>
    <row r="193" spans="8:50">
      <c r="H193" s="1">
        <f t="shared" si="37"/>
        <v>171</v>
      </c>
      <c r="I193" s="14" t="s">
        <v>269</v>
      </c>
      <c r="J193" s="127">
        <f>'Organized Input Output'!D188</f>
        <v>3.2</v>
      </c>
      <c r="K193" s="104">
        <f t="shared" si="38"/>
        <v>3.52</v>
      </c>
      <c r="L193" s="104">
        <f t="shared" si="48"/>
        <v>20</v>
      </c>
      <c r="M193" s="104">
        <f t="shared" si="49"/>
        <v>0.745</v>
      </c>
      <c r="T193" s="1">
        <f t="shared" si="39"/>
        <v>171</v>
      </c>
      <c r="U193" s="14" t="s">
        <v>269</v>
      </c>
      <c r="V193" s="8">
        <v>0</v>
      </c>
      <c r="W193" s="1">
        <f t="shared" si="34"/>
        <v>0</v>
      </c>
      <c r="X193" s="1">
        <f t="shared" si="40"/>
        <v>8.7900000000000045</v>
      </c>
      <c r="Y193" s="1">
        <f t="shared" si="41"/>
        <v>8.7900000000000045</v>
      </c>
      <c r="AG193" s="1">
        <f t="shared" si="42"/>
        <v>171</v>
      </c>
      <c r="AH193" s="14" t="s">
        <v>269</v>
      </c>
      <c r="AI193" s="8">
        <v>0</v>
      </c>
      <c r="AJ193" s="1">
        <f t="shared" si="35"/>
        <v>0</v>
      </c>
      <c r="AK193" s="1">
        <f t="shared" si="43"/>
        <v>5.4649999999999999</v>
      </c>
      <c r="AL193" s="1">
        <f t="shared" si="44"/>
        <v>5.4649999999999999</v>
      </c>
      <c r="AS193" s="1">
        <f t="shared" si="45"/>
        <v>171</v>
      </c>
      <c r="AT193" s="14" t="s">
        <v>269</v>
      </c>
      <c r="AU193" s="8">
        <v>3.2</v>
      </c>
      <c r="AV193" s="1">
        <f t="shared" si="36"/>
        <v>3.52</v>
      </c>
      <c r="AW193" s="1">
        <f t="shared" si="46"/>
        <v>20</v>
      </c>
      <c r="AX193" s="1">
        <f t="shared" si="47"/>
        <v>0</v>
      </c>
    </row>
    <row r="194" spans="8:50">
      <c r="H194" s="1">
        <f t="shared" si="37"/>
        <v>172</v>
      </c>
      <c r="I194" s="14" t="s">
        <v>269</v>
      </c>
      <c r="J194" s="127">
        <f>'Organized Input Output'!D189</f>
        <v>1.2</v>
      </c>
      <c r="K194" s="104">
        <f t="shared" si="38"/>
        <v>1.3199999999999998</v>
      </c>
      <c r="L194" s="104">
        <f t="shared" si="48"/>
        <v>20</v>
      </c>
      <c r="M194" s="104">
        <f t="shared" si="49"/>
        <v>0.745</v>
      </c>
      <c r="T194" s="1">
        <f t="shared" si="39"/>
        <v>172</v>
      </c>
      <c r="U194" s="14" t="s">
        <v>269</v>
      </c>
      <c r="V194" s="8">
        <v>0</v>
      </c>
      <c r="W194" s="1">
        <f t="shared" si="34"/>
        <v>0</v>
      </c>
      <c r="X194" s="1">
        <f t="shared" si="40"/>
        <v>8.0450000000000053</v>
      </c>
      <c r="Y194" s="1">
        <f t="shared" si="41"/>
        <v>8.0450000000000053</v>
      </c>
      <c r="AG194" s="1">
        <f t="shared" si="42"/>
        <v>172</v>
      </c>
      <c r="AH194" s="14" t="s">
        <v>269</v>
      </c>
      <c r="AI194" s="8">
        <v>0</v>
      </c>
      <c r="AJ194" s="1">
        <f t="shared" si="35"/>
        <v>0</v>
      </c>
      <c r="AK194" s="1">
        <f t="shared" si="43"/>
        <v>4.72</v>
      </c>
      <c r="AL194" s="1">
        <f t="shared" si="44"/>
        <v>4.72</v>
      </c>
      <c r="AS194" s="1">
        <f t="shared" si="45"/>
        <v>172</v>
      </c>
      <c r="AT194" s="14" t="s">
        <v>269</v>
      </c>
      <c r="AU194" s="8">
        <v>1.2</v>
      </c>
      <c r="AV194" s="1">
        <f t="shared" si="36"/>
        <v>1.3199999999999998</v>
      </c>
      <c r="AW194" s="1">
        <f t="shared" si="46"/>
        <v>20</v>
      </c>
      <c r="AX194" s="1">
        <f t="shared" si="47"/>
        <v>0</v>
      </c>
    </row>
    <row r="195" spans="8:50">
      <c r="H195" s="1">
        <f t="shared" si="37"/>
        <v>173</v>
      </c>
      <c r="I195" s="14" t="s">
        <v>269</v>
      </c>
      <c r="J195" s="127">
        <f>'Organized Input Output'!D190</f>
        <v>0</v>
      </c>
      <c r="K195" s="104">
        <f t="shared" si="38"/>
        <v>0</v>
      </c>
      <c r="L195" s="104">
        <f t="shared" si="48"/>
        <v>19.254999999999999</v>
      </c>
      <c r="M195" s="104">
        <f t="shared" si="49"/>
        <v>0.745</v>
      </c>
      <c r="T195" s="1">
        <f t="shared" si="39"/>
        <v>173</v>
      </c>
      <c r="U195" s="14" t="s">
        <v>269</v>
      </c>
      <c r="V195" s="8">
        <v>0</v>
      </c>
      <c r="W195" s="1">
        <f t="shared" si="34"/>
        <v>0</v>
      </c>
      <c r="X195" s="1">
        <f t="shared" si="40"/>
        <v>7.3000000000000052</v>
      </c>
      <c r="Y195" s="1">
        <f t="shared" si="41"/>
        <v>7.3000000000000052</v>
      </c>
      <c r="AG195" s="1">
        <f t="shared" si="42"/>
        <v>173</v>
      </c>
      <c r="AH195" s="14" t="s">
        <v>269</v>
      </c>
      <c r="AI195" s="8">
        <v>0</v>
      </c>
      <c r="AJ195" s="1">
        <f t="shared" si="35"/>
        <v>0</v>
      </c>
      <c r="AK195" s="1">
        <f t="shared" si="43"/>
        <v>3.9749999999999996</v>
      </c>
      <c r="AL195" s="1">
        <f t="shared" si="44"/>
        <v>3.9749999999999996</v>
      </c>
      <c r="AS195" s="1">
        <f t="shared" si="45"/>
        <v>173</v>
      </c>
      <c r="AT195" s="14" t="s">
        <v>269</v>
      </c>
      <c r="AU195" s="8">
        <v>0</v>
      </c>
      <c r="AV195" s="1">
        <f t="shared" si="36"/>
        <v>0</v>
      </c>
      <c r="AW195" s="1">
        <f t="shared" si="46"/>
        <v>19.254999999999999</v>
      </c>
      <c r="AX195" s="1">
        <f t="shared" si="47"/>
        <v>19.254999999999999</v>
      </c>
    </row>
    <row r="196" spans="8:50">
      <c r="H196" s="1">
        <f t="shared" si="37"/>
        <v>174</v>
      </c>
      <c r="I196" s="14" t="s">
        <v>269</v>
      </c>
      <c r="J196" s="127">
        <f>'Organized Input Output'!D191</f>
        <v>15.4</v>
      </c>
      <c r="K196" s="104">
        <f t="shared" si="38"/>
        <v>16.940000000000001</v>
      </c>
      <c r="L196" s="104">
        <f t="shared" si="48"/>
        <v>20</v>
      </c>
      <c r="M196" s="104">
        <f t="shared" si="49"/>
        <v>0.745</v>
      </c>
      <c r="T196" s="1">
        <f t="shared" si="39"/>
        <v>174</v>
      </c>
      <c r="U196" s="14" t="s">
        <v>269</v>
      </c>
      <c r="V196" s="8">
        <v>0</v>
      </c>
      <c r="W196" s="1">
        <f t="shared" si="34"/>
        <v>0</v>
      </c>
      <c r="X196" s="1">
        <f t="shared" si="40"/>
        <v>6.555000000000005</v>
      </c>
      <c r="Y196" s="1">
        <f t="shared" si="41"/>
        <v>6.555000000000005</v>
      </c>
      <c r="AG196" s="1">
        <f t="shared" si="42"/>
        <v>174</v>
      </c>
      <c r="AH196" s="14" t="s">
        <v>269</v>
      </c>
      <c r="AI196" s="8">
        <v>1.4</v>
      </c>
      <c r="AJ196" s="1">
        <f t="shared" si="35"/>
        <v>1.54</v>
      </c>
      <c r="AK196" s="1">
        <f t="shared" si="43"/>
        <v>4.7699999999999996</v>
      </c>
      <c r="AL196" s="1">
        <f t="shared" si="44"/>
        <v>0</v>
      </c>
      <c r="AS196" s="1">
        <f t="shared" si="45"/>
        <v>174</v>
      </c>
      <c r="AT196" s="14" t="s">
        <v>269</v>
      </c>
      <c r="AU196" s="8">
        <v>15.4</v>
      </c>
      <c r="AV196" s="1">
        <f t="shared" si="36"/>
        <v>16.940000000000001</v>
      </c>
      <c r="AW196" s="1">
        <f t="shared" si="46"/>
        <v>20</v>
      </c>
      <c r="AX196" s="1">
        <f t="shared" si="47"/>
        <v>0</v>
      </c>
    </row>
    <row r="197" spans="8:50">
      <c r="H197" s="1">
        <f t="shared" si="37"/>
        <v>175</v>
      </c>
      <c r="I197" s="14" t="s">
        <v>269</v>
      </c>
      <c r="J197" s="127">
        <f>'Organized Input Output'!D192</f>
        <v>1.2</v>
      </c>
      <c r="K197" s="104">
        <f t="shared" si="38"/>
        <v>1.3199999999999998</v>
      </c>
      <c r="L197" s="104">
        <f t="shared" si="48"/>
        <v>20</v>
      </c>
      <c r="M197" s="104">
        <f t="shared" si="49"/>
        <v>0.745</v>
      </c>
      <c r="T197" s="1">
        <f t="shared" si="39"/>
        <v>175</v>
      </c>
      <c r="U197" s="14" t="s">
        <v>269</v>
      </c>
      <c r="V197" s="8">
        <v>0</v>
      </c>
      <c r="W197" s="1">
        <f t="shared" si="34"/>
        <v>0</v>
      </c>
      <c r="X197" s="1">
        <f t="shared" si="40"/>
        <v>5.8100000000000049</v>
      </c>
      <c r="Y197" s="1">
        <f t="shared" si="41"/>
        <v>5.8100000000000049</v>
      </c>
      <c r="AG197" s="1">
        <f t="shared" si="42"/>
        <v>175</v>
      </c>
      <c r="AH197" s="14" t="s">
        <v>269</v>
      </c>
      <c r="AI197" s="8">
        <v>13.4</v>
      </c>
      <c r="AJ197" s="1">
        <f t="shared" si="35"/>
        <v>14.74</v>
      </c>
      <c r="AK197" s="1">
        <f t="shared" si="43"/>
        <v>18.764999999999997</v>
      </c>
      <c r="AL197" s="1">
        <f t="shared" si="44"/>
        <v>0</v>
      </c>
      <c r="AS197" s="1">
        <f t="shared" si="45"/>
        <v>175</v>
      </c>
      <c r="AT197" s="14" t="s">
        <v>269</v>
      </c>
      <c r="AU197" s="8">
        <v>1.2</v>
      </c>
      <c r="AV197" s="1">
        <f t="shared" si="36"/>
        <v>1.3199999999999998</v>
      </c>
      <c r="AW197" s="1">
        <f t="shared" si="46"/>
        <v>20</v>
      </c>
      <c r="AX197" s="1">
        <f t="shared" si="47"/>
        <v>0</v>
      </c>
    </row>
    <row r="198" spans="8:50">
      <c r="H198" s="1">
        <f t="shared" si="37"/>
        <v>176</v>
      </c>
      <c r="I198" s="14" t="s">
        <v>269</v>
      </c>
      <c r="J198" s="127">
        <f>'Organized Input Output'!D193</f>
        <v>0</v>
      </c>
      <c r="K198" s="104">
        <f t="shared" si="38"/>
        <v>0</v>
      </c>
      <c r="L198" s="104">
        <f t="shared" si="48"/>
        <v>19.254999999999999</v>
      </c>
      <c r="M198" s="104">
        <f t="shared" si="49"/>
        <v>0.745</v>
      </c>
      <c r="T198" s="1">
        <f t="shared" si="39"/>
        <v>176</v>
      </c>
      <c r="U198" s="14" t="s">
        <v>269</v>
      </c>
      <c r="V198" s="8">
        <v>0</v>
      </c>
      <c r="W198" s="1">
        <f t="shared" si="34"/>
        <v>0</v>
      </c>
      <c r="X198" s="1">
        <f t="shared" si="40"/>
        <v>5.0650000000000048</v>
      </c>
      <c r="Y198" s="1">
        <f t="shared" si="41"/>
        <v>5.0650000000000048</v>
      </c>
      <c r="AG198" s="1">
        <f t="shared" si="42"/>
        <v>176</v>
      </c>
      <c r="AH198" s="14" t="s">
        <v>269</v>
      </c>
      <c r="AI198" s="8">
        <v>4</v>
      </c>
      <c r="AJ198" s="1">
        <f t="shared" si="35"/>
        <v>4.4000000000000004</v>
      </c>
      <c r="AK198" s="1">
        <f t="shared" si="43"/>
        <v>20</v>
      </c>
      <c r="AL198" s="1">
        <f t="shared" si="44"/>
        <v>0</v>
      </c>
      <c r="AS198" s="1">
        <f t="shared" si="45"/>
        <v>176</v>
      </c>
      <c r="AT198" s="14" t="s">
        <v>269</v>
      </c>
      <c r="AU198" s="8">
        <v>0</v>
      </c>
      <c r="AV198" s="1">
        <f t="shared" si="36"/>
        <v>0</v>
      </c>
      <c r="AW198" s="1">
        <f t="shared" si="46"/>
        <v>19.254999999999999</v>
      </c>
      <c r="AX198" s="1">
        <f t="shared" si="47"/>
        <v>19.254999999999999</v>
      </c>
    </row>
    <row r="199" spans="8:50">
      <c r="H199" s="1">
        <f t="shared" si="37"/>
        <v>177</v>
      </c>
      <c r="I199" s="14" t="s">
        <v>269</v>
      </c>
      <c r="J199" s="127">
        <f>'Organized Input Output'!D194</f>
        <v>5.8</v>
      </c>
      <c r="K199" s="104">
        <f t="shared" si="38"/>
        <v>6.38</v>
      </c>
      <c r="L199" s="104">
        <f t="shared" si="48"/>
        <v>20</v>
      </c>
      <c r="M199" s="104">
        <f t="shared" si="49"/>
        <v>0.745</v>
      </c>
      <c r="T199" s="1">
        <f t="shared" si="39"/>
        <v>177</v>
      </c>
      <c r="U199" s="14" t="s">
        <v>269</v>
      </c>
      <c r="V199" s="8">
        <v>0</v>
      </c>
      <c r="W199" s="1">
        <f t="shared" si="34"/>
        <v>0</v>
      </c>
      <c r="X199" s="1">
        <f t="shared" si="40"/>
        <v>4.3200000000000047</v>
      </c>
      <c r="Y199" s="1">
        <f t="shared" si="41"/>
        <v>4.3200000000000047</v>
      </c>
      <c r="AG199" s="1">
        <f t="shared" si="42"/>
        <v>177</v>
      </c>
      <c r="AH199" s="14" t="s">
        <v>269</v>
      </c>
      <c r="AI199" s="8">
        <v>0</v>
      </c>
      <c r="AJ199" s="1">
        <f t="shared" si="35"/>
        <v>0</v>
      </c>
      <c r="AK199" s="1">
        <f t="shared" si="43"/>
        <v>19.254999999999999</v>
      </c>
      <c r="AL199" s="1">
        <f t="shared" si="44"/>
        <v>19.254999999999999</v>
      </c>
      <c r="AS199" s="1">
        <f t="shared" si="45"/>
        <v>177</v>
      </c>
      <c r="AT199" s="14" t="s">
        <v>269</v>
      </c>
      <c r="AU199" s="8">
        <v>5.8</v>
      </c>
      <c r="AV199" s="1">
        <f t="shared" si="36"/>
        <v>6.38</v>
      </c>
      <c r="AW199" s="1">
        <f t="shared" si="46"/>
        <v>20</v>
      </c>
      <c r="AX199" s="1">
        <f t="shared" si="47"/>
        <v>0</v>
      </c>
    </row>
    <row r="200" spans="8:50">
      <c r="H200" s="1">
        <f t="shared" si="37"/>
        <v>178</v>
      </c>
      <c r="I200" s="14" t="s">
        <v>269</v>
      </c>
      <c r="J200" s="127">
        <f>'Organized Input Output'!D195</f>
        <v>20.399999999999999</v>
      </c>
      <c r="K200" s="104">
        <f t="shared" si="38"/>
        <v>22.439999999999998</v>
      </c>
      <c r="L200" s="104">
        <f t="shared" si="48"/>
        <v>20</v>
      </c>
      <c r="M200" s="104">
        <f t="shared" si="49"/>
        <v>0.745</v>
      </c>
      <c r="T200" s="1">
        <f t="shared" si="39"/>
        <v>178</v>
      </c>
      <c r="U200" s="14" t="s">
        <v>269</v>
      </c>
      <c r="V200" s="8">
        <v>0</v>
      </c>
      <c r="W200" s="1">
        <f t="shared" si="34"/>
        <v>0</v>
      </c>
      <c r="X200" s="1">
        <f t="shared" si="40"/>
        <v>3.5750000000000046</v>
      </c>
      <c r="Y200" s="1">
        <f t="shared" si="41"/>
        <v>3.5750000000000046</v>
      </c>
      <c r="AG200" s="1">
        <f t="shared" si="42"/>
        <v>178</v>
      </c>
      <c r="AH200" s="14" t="s">
        <v>269</v>
      </c>
      <c r="AI200" s="8">
        <v>0</v>
      </c>
      <c r="AJ200" s="1">
        <f t="shared" si="35"/>
        <v>0</v>
      </c>
      <c r="AK200" s="1">
        <f t="shared" si="43"/>
        <v>18.509999999999998</v>
      </c>
      <c r="AL200" s="1">
        <f t="shared" si="44"/>
        <v>18.509999999999998</v>
      </c>
      <c r="AS200" s="1">
        <f t="shared" si="45"/>
        <v>178</v>
      </c>
      <c r="AT200" s="14" t="s">
        <v>269</v>
      </c>
      <c r="AU200" s="8">
        <v>20.399999999999999</v>
      </c>
      <c r="AV200" s="1">
        <f t="shared" si="36"/>
        <v>22.439999999999998</v>
      </c>
      <c r="AW200" s="1">
        <f t="shared" si="46"/>
        <v>20</v>
      </c>
      <c r="AX200" s="1">
        <f t="shared" si="47"/>
        <v>0</v>
      </c>
    </row>
    <row r="201" spans="8:50">
      <c r="H201" s="1">
        <f t="shared" si="37"/>
        <v>179</v>
      </c>
      <c r="I201" s="14" t="s">
        <v>269</v>
      </c>
      <c r="J201" s="127">
        <f>'Organized Input Output'!D196</f>
        <v>20.399999999999999</v>
      </c>
      <c r="K201" s="104">
        <f t="shared" si="38"/>
        <v>22.439999999999998</v>
      </c>
      <c r="L201" s="104">
        <f t="shared" si="48"/>
        <v>20</v>
      </c>
      <c r="M201" s="104">
        <f t="shared" si="49"/>
        <v>0.745</v>
      </c>
      <c r="T201" s="1">
        <f t="shared" si="39"/>
        <v>179</v>
      </c>
      <c r="U201" s="14" t="s">
        <v>269</v>
      </c>
      <c r="V201" s="8">
        <v>0</v>
      </c>
      <c r="W201" s="1">
        <f t="shared" si="34"/>
        <v>0</v>
      </c>
      <c r="X201" s="1">
        <f t="shared" si="40"/>
        <v>2.8300000000000045</v>
      </c>
      <c r="Y201" s="1">
        <f t="shared" si="41"/>
        <v>2.8300000000000045</v>
      </c>
      <c r="AG201" s="1">
        <f t="shared" si="42"/>
        <v>179</v>
      </c>
      <c r="AH201" s="14" t="s">
        <v>269</v>
      </c>
      <c r="AI201" s="8">
        <v>0</v>
      </c>
      <c r="AJ201" s="1">
        <f t="shared" si="35"/>
        <v>0</v>
      </c>
      <c r="AK201" s="1">
        <f t="shared" si="43"/>
        <v>17.764999999999997</v>
      </c>
      <c r="AL201" s="1">
        <f t="shared" si="44"/>
        <v>17.764999999999997</v>
      </c>
      <c r="AS201" s="1">
        <f t="shared" si="45"/>
        <v>179</v>
      </c>
      <c r="AT201" s="14" t="s">
        <v>269</v>
      </c>
      <c r="AU201" s="8">
        <v>20.399999999999999</v>
      </c>
      <c r="AV201" s="1">
        <f t="shared" si="36"/>
        <v>22.439999999999998</v>
      </c>
      <c r="AW201" s="1">
        <f t="shared" si="46"/>
        <v>20</v>
      </c>
      <c r="AX201" s="1">
        <f t="shared" si="47"/>
        <v>0</v>
      </c>
    </row>
    <row r="202" spans="8:50">
      <c r="H202" s="1">
        <f t="shared" si="37"/>
        <v>180</v>
      </c>
      <c r="I202" s="14" t="s">
        <v>269</v>
      </c>
      <c r="J202" s="127">
        <f>'Organized Input Output'!D197</f>
        <v>0.6</v>
      </c>
      <c r="K202" s="104">
        <f t="shared" si="38"/>
        <v>0.65999999999999992</v>
      </c>
      <c r="L202" s="104">
        <f t="shared" si="48"/>
        <v>19.914999999999999</v>
      </c>
      <c r="M202" s="104">
        <f t="shared" si="49"/>
        <v>0.745</v>
      </c>
      <c r="T202" s="1">
        <f t="shared" si="39"/>
        <v>180</v>
      </c>
      <c r="U202" s="14" t="s">
        <v>269</v>
      </c>
      <c r="V202" s="8">
        <v>0</v>
      </c>
      <c r="W202" s="1">
        <f t="shared" si="34"/>
        <v>0</v>
      </c>
      <c r="X202" s="1">
        <f t="shared" si="40"/>
        <v>2.0850000000000044</v>
      </c>
      <c r="Y202" s="1">
        <f t="shared" si="41"/>
        <v>2.0850000000000044</v>
      </c>
      <c r="AG202" s="1">
        <f t="shared" si="42"/>
        <v>180</v>
      </c>
      <c r="AH202" s="14" t="s">
        <v>269</v>
      </c>
      <c r="AI202" s="8">
        <v>0</v>
      </c>
      <c r="AJ202" s="1">
        <f t="shared" si="35"/>
        <v>0</v>
      </c>
      <c r="AK202" s="1">
        <f t="shared" si="43"/>
        <v>17.019999999999996</v>
      </c>
      <c r="AL202" s="1">
        <f t="shared" si="44"/>
        <v>17.019999999999996</v>
      </c>
      <c r="AS202" s="1">
        <f t="shared" si="45"/>
        <v>180</v>
      </c>
      <c r="AT202" s="14" t="s">
        <v>269</v>
      </c>
      <c r="AU202" s="8">
        <v>0.6</v>
      </c>
      <c r="AV202" s="1">
        <f t="shared" si="36"/>
        <v>0.65999999999999992</v>
      </c>
      <c r="AW202" s="1">
        <f t="shared" si="46"/>
        <v>19.914999999999999</v>
      </c>
      <c r="AX202" s="1">
        <f t="shared" si="47"/>
        <v>4.0750000000000011</v>
      </c>
    </row>
    <row r="203" spans="8:50">
      <c r="H203" s="1">
        <f t="shared" si="37"/>
        <v>181</v>
      </c>
      <c r="I203" s="6" t="s">
        <v>269</v>
      </c>
      <c r="J203" s="127">
        <f>'Organized Input Output'!D198</f>
        <v>0</v>
      </c>
      <c r="K203" s="104">
        <f t="shared" si="38"/>
        <v>0</v>
      </c>
      <c r="L203" s="104">
        <f t="shared" si="48"/>
        <v>19.169999999999998</v>
      </c>
      <c r="M203" s="104">
        <f t="shared" si="49"/>
        <v>0.745</v>
      </c>
      <c r="T203" s="1">
        <f t="shared" si="39"/>
        <v>181</v>
      </c>
      <c r="U203" s="6" t="s">
        <v>269</v>
      </c>
      <c r="V203" s="8">
        <v>0</v>
      </c>
      <c r="W203" s="1">
        <f t="shared" si="34"/>
        <v>0</v>
      </c>
      <c r="X203" s="1">
        <f t="shared" si="40"/>
        <v>1.3400000000000043</v>
      </c>
      <c r="Y203" s="1">
        <f t="shared" si="41"/>
        <v>1.3400000000000043</v>
      </c>
      <c r="AG203" s="1">
        <f t="shared" si="42"/>
        <v>181</v>
      </c>
      <c r="AH203" s="6" t="s">
        <v>269</v>
      </c>
      <c r="AI203" s="8">
        <v>0</v>
      </c>
      <c r="AJ203" s="1">
        <f t="shared" si="35"/>
        <v>0</v>
      </c>
      <c r="AK203" s="1">
        <f t="shared" si="43"/>
        <v>16.274999999999995</v>
      </c>
      <c r="AL203" s="1">
        <f t="shared" si="44"/>
        <v>16.274999999999995</v>
      </c>
      <c r="AS203" s="1">
        <f t="shared" si="45"/>
        <v>181</v>
      </c>
      <c r="AT203" s="6" t="s">
        <v>269</v>
      </c>
      <c r="AU203" s="8">
        <v>0</v>
      </c>
      <c r="AV203" s="1">
        <f t="shared" si="36"/>
        <v>0</v>
      </c>
      <c r="AW203" s="1">
        <f t="shared" si="46"/>
        <v>19.169999999999998</v>
      </c>
      <c r="AX203" s="1">
        <f t="shared" si="47"/>
        <v>19.169999999999998</v>
      </c>
    </row>
    <row r="204" spans="8:50">
      <c r="H204" s="1">
        <f t="shared" si="37"/>
        <v>182</v>
      </c>
      <c r="I204" s="14" t="s">
        <v>270</v>
      </c>
      <c r="J204" s="127">
        <f>'Organized Input Output'!D199</f>
        <v>0</v>
      </c>
      <c r="K204" s="104">
        <f t="shared" si="38"/>
        <v>0</v>
      </c>
      <c r="L204" s="104">
        <f t="shared" si="48"/>
        <v>18.424999999999997</v>
      </c>
      <c r="M204" s="104">
        <f t="shared" si="49"/>
        <v>0.745</v>
      </c>
      <c r="T204" s="1">
        <f t="shared" si="39"/>
        <v>182</v>
      </c>
      <c r="U204" s="14" t="s">
        <v>270</v>
      </c>
      <c r="V204" s="8">
        <v>0</v>
      </c>
      <c r="W204" s="1">
        <f t="shared" si="34"/>
        <v>0</v>
      </c>
      <c r="X204" s="1">
        <f t="shared" si="40"/>
        <v>0.5950000000000043</v>
      </c>
      <c r="Y204" s="1">
        <f t="shared" si="41"/>
        <v>0.5950000000000043</v>
      </c>
      <c r="AG204" s="1">
        <f t="shared" si="42"/>
        <v>182</v>
      </c>
      <c r="AH204" s="14" t="s">
        <v>270</v>
      </c>
      <c r="AI204" s="8">
        <v>0</v>
      </c>
      <c r="AJ204" s="1">
        <f t="shared" si="35"/>
        <v>0</v>
      </c>
      <c r="AK204" s="1">
        <f t="shared" si="43"/>
        <v>15.529999999999996</v>
      </c>
      <c r="AL204" s="1">
        <f t="shared" si="44"/>
        <v>15.529999999999996</v>
      </c>
      <c r="AS204" s="1">
        <f t="shared" si="45"/>
        <v>182</v>
      </c>
      <c r="AT204" s="14" t="s">
        <v>270</v>
      </c>
      <c r="AU204" s="8">
        <v>0</v>
      </c>
      <c r="AV204" s="1">
        <f t="shared" si="36"/>
        <v>0</v>
      </c>
      <c r="AW204" s="1">
        <f t="shared" si="46"/>
        <v>18.424999999999997</v>
      </c>
      <c r="AX204" s="1">
        <f t="shared" si="47"/>
        <v>18.424999999999997</v>
      </c>
    </row>
    <row r="205" spans="8:50">
      <c r="H205" s="1">
        <f t="shared" si="37"/>
        <v>183</v>
      </c>
      <c r="I205" s="14" t="s">
        <v>270</v>
      </c>
      <c r="J205" s="127">
        <f>'Organized Input Output'!D200</f>
        <v>1.8</v>
      </c>
      <c r="K205" s="104">
        <f t="shared" si="38"/>
        <v>1.98</v>
      </c>
      <c r="L205" s="104">
        <f t="shared" si="48"/>
        <v>19.659999999999997</v>
      </c>
      <c r="M205" s="104">
        <f t="shared" si="49"/>
        <v>0.745</v>
      </c>
      <c r="T205" s="1">
        <f t="shared" si="39"/>
        <v>183</v>
      </c>
      <c r="U205" s="14" t="s">
        <v>270</v>
      </c>
      <c r="V205" s="8">
        <v>0</v>
      </c>
      <c r="W205" s="1">
        <f t="shared" si="34"/>
        <v>0</v>
      </c>
      <c r="X205" s="1">
        <f t="shared" si="40"/>
        <v>0</v>
      </c>
      <c r="Y205" s="1">
        <f t="shared" si="41"/>
        <v>0</v>
      </c>
      <c r="AG205" s="1">
        <f t="shared" si="42"/>
        <v>183</v>
      </c>
      <c r="AH205" s="14" t="s">
        <v>270</v>
      </c>
      <c r="AI205" s="8">
        <v>0</v>
      </c>
      <c r="AJ205" s="1">
        <f t="shared" si="35"/>
        <v>0</v>
      </c>
      <c r="AK205" s="1">
        <f t="shared" si="43"/>
        <v>14.784999999999997</v>
      </c>
      <c r="AL205" s="1">
        <f t="shared" si="44"/>
        <v>14.784999999999997</v>
      </c>
      <c r="AS205" s="1">
        <f t="shared" si="45"/>
        <v>183</v>
      </c>
      <c r="AT205" s="14" t="s">
        <v>270</v>
      </c>
      <c r="AU205" s="8">
        <v>1.8</v>
      </c>
      <c r="AV205" s="1">
        <f t="shared" si="36"/>
        <v>1.98</v>
      </c>
      <c r="AW205" s="1">
        <f t="shared" si="46"/>
        <v>19.659999999999997</v>
      </c>
      <c r="AX205" s="1">
        <f t="shared" si="47"/>
        <v>0</v>
      </c>
    </row>
    <row r="206" spans="8:50">
      <c r="H206" s="1">
        <f t="shared" si="37"/>
        <v>184</v>
      </c>
      <c r="I206" s="14" t="s">
        <v>270</v>
      </c>
      <c r="J206" s="127">
        <f>'Organized Input Output'!D201</f>
        <v>6.2</v>
      </c>
      <c r="K206" s="104">
        <f t="shared" si="38"/>
        <v>6.8199999999999994</v>
      </c>
      <c r="L206" s="104">
        <f t="shared" si="48"/>
        <v>20</v>
      </c>
      <c r="M206" s="104">
        <f t="shared" si="49"/>
        <v>0.745</v>
      </c>
      <c r="T206" s="1">
        <f t="shared" si="39"/>
        <v>184</v>
      </c>
      <c r="U206" s="14" t="s">
        <v>270</v>
      </c>
      <c r="V206" s="8">
        <v>0</v>
      </c>
      <c r="W206" s="1">
        <f t="shared" si="34"/>
        <v>0</v>
      </c>
      <c r="X206" s="1">
        <f t="shared" si="40"/>
        <v>0</v>
      </c>
      <c r="Y206" s="1">
        <f t="shared" si="41"/>
        <v>0</v>
      </c>
      <c r="AG206" s="1">
        <f t="shared" si="42"/>
        <v>184</v>
      </c>
      <c r="AH206" s="14" t="s">
        <v>270</v>
      </c>
      <c r="AI206" s="8">
        <v>0</v>
      </c>
      <c r="AJ206" s="1">
        <f t="shared" si="35"/>
        <v>0</v>
      </c>
      <c r="AK206" s="1">
        <f t="shared" si="43"/>
        <v>14.039999999999997</v>
      </c>
      <c r="AL206" s="1">
        <f t="shared" si="44"/>
        <v>14.039999999999997</v>
      </c>
      <c r="AS206" s="1">
        <f t="shared" si="45"/>
        <v>184</v>
      </c>
      <c r="AT206" s="14" t="s">
        <v>270</v>
      </c>
      <c r="AU206" s="8">
        <v>6.2</v>
      </c>
      <c r="AV206" s="1">
        <f t="shared" si="36"/>
        <v>6.8199999999999994</v>
      </c>
      <c r="AW206" s="1">
        <f t="shared" si="46"/>
        <v>20</v>
      </c>
      <c r="AX206" s="1">
        <f t="shared" si="47"/>
        <v>0</v>
      </c>
    </row>
    <row r="207" spans="8:50">
      <c r="H207" s="1">
        <f t="shared" si="37"/>
        <v>185</v>
      </c>
      <c r="I207" s="14" t="s">
        <v>270</v>
      </c>
      <c r="J207" s="127">
        <f>'Organized Input Output'!D202</f>
        <v>9.4</v>
      </c>
      <c r="K207" s="104">
        <f t="shared" si="38"/>
        <v>10.34</v>
      </c>
      <c r="L207" s="104">
        <f t="shared" si="48"/>
        <v>20</v>
      </c>
      <c r="M207" s="104">
        <f t="shared" si="49"/>
        <v>0.745</v>
      </c>
      <c r="T207" s="1">
        <f t="shared" si="39"/>
        <v>185</v>
      </c>
      <c r="U207" s="14" t="s">
        <v>270</v>
      </c>
      <c r="V207" s="8">
        <v>0</v>
      </c>
      <c r="W207" s="1">
        <f t="shared" si="34"/>
        <v>0</v>
      </c>
      <c r="X207" s="1">
        <f t="shared" si="40"/>
        <v>0</v>
      </c>
      <c r="Y207" s="1">
        <f t="shared" si="41"/>
        <v>0</v>
      </c>
      <c r="AG207" s="1">
        <f t="shared" si="42"/>
        <v>185</v>
      </c>
      <c r="AH207" s="14" t="s">
        <v>270</v>
      </c>
      <c r="AI207" s="8">
        <v>0</v>
      </c>
      <c r="AJ207" s="1">
        <f t="shared" si="35"/>
        <v>0</v>
      </c>
      <c r="AK207" s="1">
        <f t="shared" si="43"/>
        <v>13.294999999999998</v>
      </c>
      <c r="AL207" s="1">
        <f t="shared" si="44"/>
        <v>13.294999999999998</v>
      </c>
      <c r="AS207" s="1">
        <f t="shared" si="45"/>
        <v>185</v>
      </c>
      <c r="AT207" s="14" t="s">
        <v>270</v>
      </c>
      <c r="AU207" s="8">
        <v>9.4</v>
      </c>
      <c r="AV207" s="1">
        <f t="shared" si="36"/>
        <v>10.34</v>
      </c>
      <c r="AW207" s="1">
        <f t="shared" si="46"/>
        <v>20</v>
      </c>
      <c r="AX207" s="1">
        <f t="shared" si="47"/>
        <v>0</v>
      </c>
    </row>
    <row r="208" spans="8:50">
      <c r="H208" s="1">
        <f t="shared" si="37"/>
        <v>186</v>
      </c>
      <c r="I208" s="14" t="s">
        <v>270</v>
      </c>
      <c r="J208" s="127">
        <f>'Organized Input Output'!D203</f>
        <v>26.6</v>
      </c>
      <c r="K208" s="104">
        <f t="shared" si="38"/>
        <v>29.26</v>
      </c>
      <c r="L208" s="104">
        <f t="shared" si="48"/>
        <v>20</v>
      </c>
      <c r="M208" s="104">
        <f t="shared" si="49"/>
        <v>0.745</v>
      </c>
      <c r="T208" s="1">
        <f t="shared" si="39"/>
        <v>186</v>
      </c>
      <c r="U208" s="14" t="s">
        <v>270</v>
      </c>
      <c r="V208" s="8">
        <v>0</v>
      </c>
      <c r="W208" s="1">
        <f t="shared" si="34"/>
        <v>0</v>
      </c>
      <c r="X208" s="1">
        <f t="shared" si="40"/>
        <v>0</v>
      </c>
      <c r="Y208" s="1">
        <f t="shared" si="41"/>
        <v>0</v>
      </c>
      <c r="AG208" s="1">
        <f t="shared" si="42"/>
        <v>186</v>
      </c>
      <c r="AH208" s="14" t="s">
        <v>270</v>
      </c>
      <c r="AI208" s="8">
        <v>0</v>
      </c>
      <c r="AJ208" s="1">
        <f t="shared" si="35"/>
        <v>0</v>
      </c>
      <c r="AK208" s="1">
        <f t="shared" si="43"/>
        <v>12.549999999999999</v>
      </c>
      <c r="AL208" s="1">
        <f t="shared" si="44"/>
        <v>12.549999999999999</v>
      </c>
      <c r="AS208" s="1">
        <f t="shared" si="45"/>
        <v>186</v>
      </c>
      <c r="AT208" s="14" t="s">
        <v>270</v>
      </c>
      <c r="AU208" s="8">
        <v>26.6</v>
      </c>
      <c r="AV208" s="1">
        <f t="shared" si="36"/>
        <v>29.26</v>
      </c>
      <c r="AW208" s="1">
        <f t="shared" si="46"/>
        <v>20</v>
      </c>
      <c r="AX208" s="1">
        <f t="shared" si="47"/>
        <v>0</v>
      </c>
    </row>
    <row r="209" spans="8:50">
      <c r="H209" s="1">
        <f t="shared" si="37"/>
        <v>187</v>
      </c>
      <c r="I209" s="14" t="s">
        <v>270</v>
      </c>
      <c r="J209" s="127">
        <f>'Organized Input Output'!D204</f>
        <v>13.6</v>
      </c>
      <c r="K209" s="104">
        <f t="shared" si="38"/>
        <v>14.959999999999999</v>
      </c>
      <c r="L209" s="104">
        <f t="shared" si="48"/>
        <v>20</v>
      </c>
      <c r="M209" s="104">
        <f t="shared" si="49"/>
        <v>0.745</v>
      </c>
      <c r="T209" s="1">
        <f t="shared" si="39"/>
        <v>187</v>
      </c>
      <c r="U209" s="14" t="s">
        <v>270</v>
      </c>
      <c r="V209" s="8">
        <v>0</v>
      </c>
      <c r="W209" s="1">
        <f t="shared" si="34"/>
        <v>0</v>
      </c>
      <c r="X209" s="1">
        <f t="shared" si="40"/>
        <v>0</v>
      </c>
      <c r="Y209" s="1">
        <f t="shared" si="41"/>
        <v>0</v>
      </c>
      <c r="AG209" s="1">
        <f t="shared" si="42"/>
        <v>187</v>
      </c>
      <c r="AH209" s="14" t="s">
        <v>270</v>
      </c>
      <c r="AI209" s="8">
        <v>0</v>
      </c>
      <c r="AJ209" s="1">
        <f t="shared" si="35"/>
        <v>0</v>
      </c>
      <c r="AK209" s="1">
        <f t="shared" si="43"/>
        <v>11.805</v>
      </c>
      <c r="AL209" s="1">
        <f t="shared" si="44"/>
        <v>11.805</v>
      </c>
      <c r="AS209" s="1">
        <f t="shared" si="45"/>
        <v>187</v>
      </c>
      <c r="AT209" s="14" t="s">
        <v>270</v>
      </c>
      <c r="AU209" s="8">
        <v>13.6</v>
      </c>
      <c r="AV209" s="1">
        <f t="shared" si="36"/>
        <v>14.959999999999999</v>
      </c>
      <c r="AW209" s="1">
        <f t="shared" si="46"/>
        <v>20</v>
      </c>
      <c r="AX209" s="1">
        <f t="shared" si="47"/>
        <v>0</v>
      </c>
    </row>
    <row r="210" spans="8:50">
      <c r="H210" s="1">
        <f t="shared" si="37"/>
        <v>188</v>
      </c>
      <c r="I210" s="14" t="s">
        <v>270</v>
      </c>
      <c r="J210" s="127">
        <f>'Organized Input Output'!D205</f>
        <v>0</v>
      </c>
      <c r="K210" s="104">
        <f t="shared" si="38"/>
        <v>0</v>
      </c>
      <c r="L210" s="104">
        <f t="shared" si="48"/>
        <v>19.254999999999999</v>
      </c>
      <c r="M210" s="104">
        <f t="shared" si="49"/>
        <v>0.745</v>
      </c>
      <c r="T210" s="1">
        <f t="shared" si="39"/>
        <v>188</v>
      </c>
      <c r="U210" s="14" t="s">
        <v>270</v>
      </c>
      <c r="V210" s="8">
        <v>0</v>
      </c>
      <c r="W210" s="1">
        <f t="shared" si="34"/>
        <v>0</v>
      </c>
      <c r="X210" s="1">
        <f t="shared" si="40"/>
        <v>0</v>
      </c>
      <c r="Y210" s="1">
        <f t="shared" si="41"/>
        <v>0</v>
      </c>
      <c r="AG210" s="1">
        <f t="shared" si="42"/>
        <v>188</v>
      </c>
      <c r="AH210" s="14" t="s">
        <v>270</v>
      </c>
      <c r="AI210" s="8">
        <v>0.2</v>
      </c>
      <c r="AJ210" s="1">
        <f t="shared" si="35"/>
        <v>0.22</v>
      </c>
      <c r="AK210" s="1">
        <f t="shared" si="43"/>
        <v>11.280000000000001</v>
      </c>
      <c r="AL210" s="1">
        <f t="shared" si="44"/>
        <v>6.0000000000000009</v>
      </c>
      <c r="AS210" s="1">
        <f t="shared" si="45"/>
        <v>188</v>
      </c>
      <c r="AT210" s="14" t="s">
        <v>270</v>
      </c>
      <c r="AU210" s="8">
        <v>0</v>
      </c>
      <c r="AV210" s="1">
        <f t="shared" si="36"/>
        <v>0</v>
      </c>
      <c r="AW210" s="1">
        <f t="shared" si="46"/>
        <v>19.254999999999999</v>
      </c>
      <c r="AX210" s="1">
        <f t="shared" si="47"/>
        <v>19.254999999999999</v>
      </c>
    </row>
    <row r="211" spans="8:50">
      <c r="H211" s="1">
        <f t="shared" si="37"/>
        <v>189</v>
      </c>
      <c r="I211" s="14" t="s">
        <v>270</v>
      </c>
      <c r="J211" s="127">
        <f>'Organized Input Output'!D206</f>
        <v>0</v>
      </c>
      <c r="K211" s="104">
        <f t="shared" si="38"/>
        <v>0</v>
      </c>
      <c r="L211" s="104">
        <f t="shared" si="48"/>
        <v>18.509999999999998</v>
      </c>
      <c r="M211" s="104">
        <f t="shared" si="49"/>
        <v>0.745</v>
      </c>
      <c r="T211" s="1">
        <f t="shared" si="39"/>
        <v>189</v>
      </c>
      <c r="U211" s="14" t="s">
        <v>270</v>
      </c>
      <c r="V211" s="8">
        <v>0</v>
      </c>
      <c r="W211" s="1">
        <f t="shared" si="34"/>
        <v>0</v>
      </c>
      <c r="X211" s="1">
        <f t="shared" si="40"/>
        <v>0</v>
      </c>
      <c r="Y211" s="1">
        <f t="shared" si="41"/>
        <v>0</v>
      </c>
      <c r="AG211" s="1">
        <f t="shared" si="42"/>
        <v>189</v>
      </c>
      <c r="AH211" s="14" t="s">
        <v>270</v>
      </c>
      <c r="AI211" s="8">
        <v>0</v>
      </c>
      <c r="AJ211" s="1">
        <f t="shared" si="35"/>
        <v>0</v>
      </c>
      <c r="AK211" s="1">
        <f t="shared" si="43"/>
        <v>10.535000000000002</v>
      </c>
      <c r="AL211" s="1">
        <f t="shared" si="44"/>
        <v>10.535000000000002</v>
      </c>
      <c r="AS211" s="1">
        <f t="shared" si="45"/>
        <v>189</v>
      </c>
      <c r="AT211" s="14" t="s">
        <v>270</v>
      </c>
      <c r="AU211" s="8">
        <v>0</v>
      </c>
      <c r="AV211" s="1">
        <f t="shared" si="36"/>
        <v>0</v>
      </c>
      <c r="AW211" s="1">
        <f t="shared" si="46"/>
        <v>18.509999999999998</v>
      </c>
      <c r="AX211" s="1">
        <f t="shared" si="47"/>
        <v>18.509999999999998</v>
      </c>
    </row>
    <row r="212" spans="8:50">
      <c r="H212" s="1">
        <f t="shared" si="37"/>
        <v>190</v>
      </c>
      <c r="I212" s="14" t="s">
        <v>270</v>
      </c>
      <c r="J212" s="127">
        <f>'Organized Input Output'!D207</f>
        <v>0</v>
      </c>
      <c r="K212" s="104">
        <f t="shared" si="38"/>
        <v>0</v>
      </c>
      <c r="L212" s="104">
        <f t="shared" si="48"/>
        <v>17.764999999999997</v>
      </c>
      <c r="M212" s="104">
        <f t="shared" si="49"/>
        <v>0.745</v>
      </c>
      <c r="T212" s="1">
        <f t="shared" si="39"/>
        <v>190</v>
      </c>
      <c r="U212" s="14" t="s">
        <v>270</v>
      </c>
      <c r="V212" s="8">
        <v>0</v>
      </c>
      <c r="W212" s="1">
        <f t="shared" si="34"/>
        <v>0</v>
      </c>
      <c r="X212" s="1">
        <f t="shared" si="40"/>
        <v>0</v>
      </c>
      <c r="Y212" s="1">
        <f t="shared" si="41"/>
        <v>0</v>
      </c>
      <c r="AG212" s="1">
        <f t="shared" si="42"/>
        <v>190</v>
      </c>
      <c r="AH212" s="14" t="s">
        <v>270</v>
      </c>
      <c r="AI212" s="8">
        <v>1</v>
      </c>
      <c r="AJ212" s="1">
        <f t="shared" si="35"/>
        <v>1.1000000000000001</v>
      </c>
      <c r="AK212" s="1">
        <f t="shared" si="43"/>
        <v>10.890000000000002</v>
      </c>
      <c r="AL212" s="1">
        <f t="shared" si="44"/>
        <v>0</v>
      </c>
      <c r="AS212" s="1">
        <f t="shared" si="45"/>
        <v>190</v>
      </c>
      <c r="AT212" s="14" t="s">
        <v>270</v>
      </c>
      <c r="AU212" s="8">
        <v>0</v>
      </c>
      <c r="AV212" s="1">
        <f t="shared" si="36"/>
        <v>0</v>
      </c>
      <c r="AW212" s="1">
        <f t="shared" si="46"/>
        <v>17.764999999999997</v>
      </c>
      <c r="AX212" s="1">
        <f t="shared" si="47"/>
        <v>17.764999999999997</v>
      </c>
    </row>
    <row r="213" spans="8:50">
      <c r="H213" s="1">
        <f t="shared" si="37"/>
        <v>191</v>
      </c>
      <c r="I213" s="14" t="s">
        <v>270</v>
      </c>
      <c r="J213" s="127">
        <f>'Organized Input Output'!D208</f>
        <v>0</v>
      </c>
      <c r="K213" s="104">
        <f t="shared" si="38"/>
        <v>0</v>
      </c>
      <c r="L213" s="104">
        <f t="shared" si="48"/>
        <v>17.019999999999996</v>
      </c>
      <c r="M213" s="104">
        <f t="shared" si="49"/>
        <v>0.745</v>
      </c>
      <c r="T213" s="1">
        <f t="shared" si="39"/>
        <v>191</v>
      </c>
      <c r="U213" s="14" t="s">
        <v>270</v>
      </c>
      <c r="V213" s="8">
        <v>0</v>
      </c>
      <c r="W213" s="1">
        <f t="shared" si="34"/>
        <v>0</v>
      </c>
      <c r="X213" s="1">
        <f t="shared" si="40"/>
        <v>0</v>
      </c>
      <c r="Y213" s="1">
        <f t="shared" si="41"/>
        <v>0</v>
      </c>
      <c r="AG213" s="1">
        <f t="shared" si="42"/>
        <v>191</v>
      </c>
      <c r="AH213" s="14" t="s">
        <v>270</v>
      </c>
      <c r="AI213" s="8">
        <v>1.2</v>
      </c>
      <c r="AJ213" s="1">
        <f t="shared" si="35"/>
        <v>1.3199999999999998</v>
      </c>
      <c r="AK213" s="1">
        <f t="shared" si="43"/>
        <v>11.465000000000003</v>
      </c>
      <c r="AL213" s="1">
        <f t="shared" si="44"/>
        <v>0</v>
      </c>
      <c r="AS213" s="1">
        <f t="shared" si="45"/>
        <v>191</v>
      </c>
      <c r="AT213" s="14" t="s">
        <v>270</v>
      </c>
      <c r="AU213" s="8">
        <v>0</v>
      </c>
      <c r="AV213" s="1">
        <f t="shared" si="36"/>
        <v>0</v>
      </c>
      <c r="AW213" s="1">
        <f t="shared" si="46"/>
        <v>17.019999999999996</v>
      </c>
      <c r="AX213" s="1">
        <f t="shared" si="47"/>
        <v>17.019999999999996</v>
      </c>
    </row>
    <row r="214" spans="8:50">
      <c r="H214" s="1">
        <f t="shared" si="37"/>
        <v>192</v>
      </c>
      <c r="I214" s="14" t="s">
        <v>270</v>
      </c>
      <c r="J214" s="127">
        <f>'Organized Input Output'!D209</f>
        <v>0</v>
      </c>
      <c r="K214" s="104">
        <f t="shared" si="38"/>
        <v>0</v>
      </c>
      <c r="L214" s="104">
        <f t="shared" si="48"/>
        <v>16.274999999999995</v>
      </c>
      <c r="M214" s="104">
        <f t="shared" si="49"/>
        <v>0.745</v>
      </c>
      <c r="T214" s="1">
        <f t="shared" si="39"/>
        <v>192</v>
      </c>
      <c r="U214" s="14" t="s">
        <v>270</v>
      </c>
      <c r="V214" s="8">
        <v>10.8</v>
      </c>
      <c r="W214" s="1">
        <f t="shared" si="34"/>
        <v>11.88</v>
      </c>
      <c r="X214" s="1">
        <f t="shared" si="40"/>
        <v>11.135000000000002</v>
      </c>
      <c r="Y214" s="1">
        <f t="shared" si="41"/>
        <v>0</v>
      </c>
      <c r="AG214" s="1">
        <f t="shared" si="42"/>
        <v>192</v>
      </c>
      <c r="AH214" s="14" t="s">
        <v>270</v>
      </c>
      <c r="AI214" s="8">
        <v>2.4</v>
      </c>
      <c r="AJ214" s="1">
        <f t="shared" si="35"/>
        <v>2.6399999999999997</v>
      </c>
      <c r="AK214" s="1">
        <f t="shared" si="43"/>
        <v>13.360000000000005</v>
      </c>
      <c r="AL214" s="1">
        <f t="shared" si="44"/>
        <v>0</v>
      </c>
      <c r="AS214" s="1">
        <f t="shared" si="45"/>
        <v>192</v>
      </c>
      <c r="AT214" s="14" t="s">
        <v>270</v>
      </c>
      <c r="AU214" s="8">
        <v>0</v>
      </c>
      <c r="AV214" s="1">
        <f t="shared" si="36"/>
        <v>0</v>
      </c>
      <c r="AW214" s="1">
        <f t="shared" si="46"/>
        <v>16.274999999999995</v>
      </c>
      <c r="AX214" s="1">
        <f t="shared" si="47"/>
        <v>16.274999999999995</v>
      </c>
    </row>
    <row r="215" spans="8:50">
      <c r="H215" s="1">
        <f t="shared" si="37"/>
        <v>193</v>
      </c>
      <c r="I215" s="14" t="s">
        <v>270</v>
      </c>
      <c r="J215" s="127">
        <f>'Organized Input Output'!D210</f>
        <v>0</v>
      </c>
      <c r="K215" s="104">
        <f t="shared" si="38"/>
        <v>0</v>
      </c>
      <c r="L215" s="104">
        <f t="shared" si="48"/>
        <v>15.529999999999996</v>
      </c>
      <c r="M215" s="104">
        <f t="shared" si="49"/>
        <v>0.745</v>
      </c>
      <c r="T215" s="1">
        <f t="shared" si="39"/>
        <v>193</v>
      </c>
      <c r="U215" s="14" t="s">
        <v>270</v>
      </c>
      <c r="V215" s="8">
        <v>12</v>
      </c>
      <c r="W215" s="1">
        <f t="shared" ref="W215:W278" si="50">(V215/1000)*$B$7</f>
        <v>13.200000000000001</v>
      </c>
      <c r="X215" s="1">
        <f t="shared" si="40"/>
        <v>20</v>
      </c>
      <c r="Y215" s="1">
        <f t="shared" si="41"/>
        <v>0</v>
      </c>
      <c r="AG215" s="1">
        <f t="shared" si="42"/>
        <v>193</v>
      </c>
      <c r="AH215" s="14" t="s">
        <v>270</v>
      </c>
      <c r="AI215" s="8">
        <v>4</v>
      </c>
      <c r="AJ215" s="1">
        <f t="shared" ref="AJ215:AJ278" si="51">(AI215/1000)*$B$7</f>
        <v>4.4000000000000004</v>
      </c>
      <c r="AK215" s="1">
        <f t="shared" si="43"/>
        <v>17.015000000000004</v>
      </c>
      <c r="AL215" s="1">
        <f t="shared" si="44"/>
        <v>0</v>
      </c>
      <c r="AS215" s="1">
        <f t="shared" si="45"/>
        <v>193</v>
      </c>
      <c r="AT215" s="14" t="s">
        <v>270</v>
      </c>
      <c r="AU215" s="8">
        <v>0</v>
      </c>
      <c r="AV215" s="1">
        <f t="shared" ref="AV215:AV278" si="52">(AU215/1000)*$B$7</f>
        <v>0</v>
      </c>
      <c r="AW215" s="1">
        <f t="shared" si="46"/>
        <v>15.529999999999996</v>
      </c>
      <c r="AX215" s="1">
        <f t="shared" si="47"/>
        <v>15.529999999999996</v>
      </c>
    </row>
    <row r="216" spans="8:50">
      <c r="H216" s="1">
        <f t="shared" ref="H216:H279" si="53">H215+1</f>
        <v>194</v>
      </c>
      <c r="I216" s="14" t="s">
        <v>270</v>
      </c>
      <c r="J216" s="127">
        <f>'Organized Input Output'!D211</f>
        <v>0</v>
      </c>
      <c r="K216" s="104">
        <f t="shared" ref="K216:K279" si="54">(J216/1000)*$B$7</f>
        <v>0</v>
      </c>
      <c r="L216" s="104">
        <f t="shared" si="48"/>
        <v>14.784999999999997</v>
      </c>
      <c r="M216" s="104">
        <f t="shared" si="49"/>
        <v>0.745</v>
      </c>
      <c r="T216" s="1">
        <f t="shared" ref="T216:T279" si="55">T215+1</f>
        <v>194</v>
      </c>
      <c r="U216" s="14" t="s">
        <v>270</v>
      </c>
      <c r="V216" s="8">
        <v>0</v>
      </c>
      <c r="W216" s="1">
        <f t="shared" si="50"/>
        <v>0</v>
      </c>
      <c r="X216" s="1">
        <f t="shared" ref="X216:X279" si="56">IF(MAX(0,MIN($B$8,X215 + W216 - $D$11))&gt;$B$8, $B$8, MAX(0,MIN($B$8,X215 + W216 - $D$11)))</f>
        <v>19.254999999999999</v>
      </c>
      <c r="Y216" s="1">
        <f t="shared" ref="Y216:Y279" si="57">IF(ISNUMBER(MATCH($M$7, U216:U580, 0)), 0, MAX(0, X216-(W216*24)))</f>
        <v>19.254999999999999</v>
      </c>
      <c r="AG216" s="1">
        <f t="shared" ref="AG216:AG279" si="58">AG215+1</f>
        <v>194</v>
      </c>
      <c r="AH216" s="14" t="s">
        <v>270</v>
      </c>
      <c r="AI216" s="8">
        <v>0</v>
      </c>
      <c r="AJ216" s="1">
        <f t="shared" si="51"/>
        <v>0</v>
      </c>
      <c r="AK216" s="1">
        <f t="shared" ref="AK216:AK279" si="59">IF(MAX(0,MIN($B$8,AK215 + AJ216 - $D$11))&gt;$B$8, $B$8, MAX(0,MIN($B$8,AK215 + AJ216 - $D$11)))</f>
        <v>16.270000000000003</v>
      </c>
      <c r="AL216" s="1">
        <f t="shared" ref="AL216:AL279" si="60">IF(ISNUMBER(MATCH($M$7, AH216:AH579, 0)), 0, MAX(0, AK216-(AJ216*24)))</f>
        <v>16.270000000000003</v>
      </c>
      <c r="AS216" s="1">
        <f t="shared" ref="AS216:AS279" si="61">AS215+1</f>
        <v>194</v>
      </c>
      <c r="AT216" s="14" t="s">
        <v>270</v>
      </c>
      <c r="AU216" s="8">
        <v>0</v>
      </c>
      <c r="AV216" s="1">
        <f t="shared" si="52"/>
        <v>0</v>
      </c>
      <c r="AW216" s="1">
        <f t="shared" ref="AW216:AW279" si="62">IF(MAX(0,MIN($B$8,AW215 + AV216 - $D$11))&gt;$B$8, $B$8, MAX(0,MIN($B$8,AW215 + AV216 - $D$11)))</f>
        <v>14.784999999999997</v>
      </c>
      <c r="AX216" s="1">
        <f t="shared" ref="AX216:AX279" si="63">IF(ISNUMBER(MATCH($M$7, AT216:AT579, 0)), 0, MAX(0, (AW216-(AV216*24))))</f>
        <v>14.784999999999997</v>
      </c>
    </row>
    <row r="217" spans="8:50">
      <c r="H217" s="1">
        <f t="shared" si="53"/>
        <v>195</v>
      </c>
      <c r="I217" s="14" t="s">
        <v>270</v>
      </c>
      <c r="J217" s="127">
        <f>'Organized Input Output'!D212</f>
        <v>0</v>
      </c>
      <c r="K217" s="104">
        <f t="shared" si="54"/>
        <v>0</v>
      </c>
      <c r="L217" s="104">
        <f t="shared" ref="L217:L280" si="64">MAX(0, IF(I216 = "Jan", MIN($B$8, K217 + L216), MIN($B$8, L216 + K217 - $D$11)))</f>
        <v>14.039999999999997</v>
      </c>
      <c r="M217" s="104">
        <f t="shared" si="49"/>
        <v>0.745</v>
      </c>
      <c r="T217" s="1">
        <f t="shared" si="55"/>
        <v>195</v>
      </c>
      <c r="U217" s="14" t="s">
        <v>270</v>
      </c>
      <c r="V217" s="8">
        <v>0</v>
      </c>
      <c r="W217" s="1">
        <f t="shared" si="50"/>
        <v>0</v>
      </c>
      <c r="X217" s="1">
        <f t="shared" si="56"/>
        <v>18.509999999999998</v>
      </c>
      <c r="Y217" s="1">
        <f t="shared" si="57"/>
        <v>18.509999999999998</v>
      </c>
      <c r="AG217" s="1">
        <f t="shared" si="58"/>
        <v>195</v>
      </c>
      <c r="AH217" s="14" t="s">
        <v>270</v>
      </c>
      <c r="AI217" s="8">
        <v>0</v>
      </c>
      <c r="AJ217" s="1">
        <f t="shared" si="51"/>
        <v>0</v>
      </c>
      <c r="AK217" s="1">
        <f t="shared" si="59"/>
        <v>15.525000000000004</v>
      </c>
      <c r="AL217" s="1">
        <f t="shared" si="60"/>
        <v>15.525000000000004</v>
      </c>
      <c r="AS217" s="1">
        <f t="shared" si="61"/>
        <v>195</v>
      </c>
      <c r="AT217" s="14" t="s">
        <v>270</v>
      </c>
      <c r="AU217" s="8">
        <v>0</v>
      </c>
      <c r="AV217" s="1">
        <f t="shared" si="52"/>
        <v>0</v>
      </c>
      <c r="AW217" s="1">
        <f t="shared" si="62"/>
        <v>14.039999999999997</v>
      </c>
      <c r="AX217" s="1">
        <f t="shared" si="63"/>
        <v>14.039999999999997</v>
      </c>
    </row>
    <row r="218" spans="8:50">
      <c r="H218" s="1">
        <f t="shared" si="53"/>
        <v>196</v>
      </c>
      <c r="I218" s="14" t="s">
        <v>270</v>
      </c>
      <c r="J218" s="127">
        <f>'Organized Input Output'!D213</f>
        <v>0</v>
      </c>
      <c r="K218" s="104">
        <f t="shared" si="54"/>
        <v>0</v>
      </c>
      <c r="L218" s="104">
        <f t="shared" si="64"/>
        <v>13.294999999999998</v>
      </c>
      <c r="M218" s="104">
        <f t="shared" si="49"/>
        <v>0.745</v>
      </c>
      <c r="T218" s="1">
        <f t="shared" si="55"/>
        <v>196</v>
      </c>
      <c r="U218" s="14" t="s">
        <v>270</v>
      </c>
      <c r="V218" s="8">
        <v>0</v>
      </c>
      <c r="W218" s="1">
        <f t="shared" si="50"/>
        <v>0</v>
      </c>
      <c r="X218" s="1">
        <f t="shared" si="56"/>
        <v>17.764999999999997</v>
      </c>
      <c r="Y218" s="1">
        <f t="shared" si="57"/>
        <v>17.764999999999997</v>
      </c>
      <c r="AG218" s="1">
        <f t="shared" si="58"/>
        <v>196</v>
      </c>
      <c r="AH218" s="14" t="s">
        <v>270</v>
      </c>
      <c r="AI218" s="8">
        <v>0</v>
      </c>
      <c r="AJ218" s="1">
        <f t="shared" si="51"/>
        <v>0</v>
      </c>
      <c r="AK218" s="1">
        <f t="shared" si="59"/>
        <v>14.780000000000005</v>
      </c>
      <c r="AL218" s="1">
        <f t="shared" si="60"/>
        <v>14.780000000000005</v>
      </c>
      <c r="AS218" s="1">
        <f t="shared" si="61"/>
        <v>196</v>
      </c>
      <c r="AT218" s="14" t="s">
        <v>270</v>
      </c>
      <c r="AU218" s="8">
        <v>0</v>
      </c>
      <c r="AV218" s="1">
        <f t="shared" si="52"/>
        <v>0</v>
      </c>
      <c r="AW218" s="1">
        <f t="shared" si="62"/>
        <v>13.294999999999998</v>
      </c>
      <c r="AX218" s="1">
        <f t="shared" si="63"/>
        <v>13.294999999999998</v>
      </c>
    </row>
    <row r="219" spans="8:50">
      <c r="H219" s="1">
        <f t="shared" si="53"/>
        <v>197</v>
      </c>
      <c r="I219" s="14" t="s">
        <v>270</v>
      </c>
      <c r="J219" s="127">
        <f>'Organized Input Output'!D214</f>
        <v>0</v>
      </c>
      <c r="K219" s="104">
        <f t="shared" si="54"/>
        <v>0</v>
      </c>
      <c r="L219" s="104">
        <f t="shared" si="64"/>
        <v>12.549999999999999</v>
      </c>
      <c r="M219" s="104">
        <f t="shared" si="49"/>
        <v>0.745</v>
      </c>
      <c r="T219" s="1">
        <f t="shared" si="55"/>
        <v>197</v>
      </c>
      <c r="U219" s="14" t="s">
        <v>270</v>
      </c>
      <c r="V219" s="8">
        <v>0</v>
      </c>
      <c r="W219" s="1">
        <f t="shared" si="50"/>
        <v>0</v>
      </c>
      <c r="X219" s="1">
        <f t="shared" si="56"/>
        <v>17.019999999999996</v>
      </c>
      <c r="Y219" s="1">
        <f t="shared" si="57"/>
        <v>17.019999999999996</v>
      </c>
      <c r="AG219" s="1">
        <f t="shared" si="58"/>
        <v>197</v>
      </c>
      <c r="AH219" s="14" t="s">
        <v>270</v>
      </c>
      <c r="AI219" s="8">
        <v>0</v>
      </c>
      <c r="AJ219" s="1">
        <f t="shared" si="51"/>
        <v>0</v>
      </c>
      <c r="AK219" s="1">
        <f t="shared" si="59"/>
        <v>14.035000000000005</v>
      </c>
      <c r="AL219" s="1">
        <f t="shared" si="60"/>
        <v>14.035000000000005</v>
      </c>
      <c r="AS219" s="1">
        <f t="shared" si="61"/>
        <v>197</v>
      </c>
      <c r="AT219" s="14" t="s">
        <v>270</v>
      </c>
      <c r="AU219" s="8">
        <v>0</v>
      </c>
      <c r="AV219" s="1">
        <f t="shared" si="52"/>
        <v>0</v>
      </c>
      <c r="AW219" s="1">
        <f t="shared" si="62"/>
        <v>12.549999999999999</v>
      </c>
      <c r="AX219" s="1">
        <f t="shared" si="63"/>
        <v>12.549999999999999</v>
      </c>
    </row>
    <row r="220" spans="8:50">
      <c r="H220" s="1">
        <f t="shared" si="53"/>
        <v>198</v>
      </c>
      <c r="I220" s="14" t="s">
        <v>270</v>
      </c>
      <c r="J220" s="127">
        <f>'Organized Input Output'!D215</f>
        <v>0</v>
      </c>
      <c r="K220" s="104">
        <f t="shared" si="54"/>
        <v>0</v>
      </c>
      <c r="L220" s="104">
        <f t="shared" si="64"/>
        <v>11.805</v>
      </c>
      <c r="M220" s="104">
        <f t="shared" si="49"/>
        <v>0.745</v>
      </c>
      <c r="T220" s="1">
        <f t="shared" si="55"/>
        <v>198</v>
      </c>
      <c r="U220" s="14" t="s">
        <v>270</v>
      </c>
      <c r="V220" s="8">
        <v>0</v>
      </c>
      <c r="W220" s="1">
        <f t="shared" si="50"/>
        <v>0</v>
      </c>
      <c r="X220" s="1">
        <f t="shared" si="56"/>
        <v>16.274999999999995</v>
      </c>
      <c r="Y220" s="1">
        <f t="shared" si="57"/>
        <v>16.274999999999995</v>
      </c>
      <c r="AG220" s="1">
        <f t="shared" si="58"/>
        <v>198</v>
      </c>
      <c r="AH220" s="14" t="s">
        <v>270</v>
      </c>
      <c r="AI220" s="8">
        <v>0</v>
      </c>
      <c r="AJ220" s="1">
        <f t="shared" si="51"/>
        <v>0</v>
      </c>
      <c r="AK220" s="1">
        <f t="shared" si="59"/>
        <v>13.290000000000006</v>
      </c>
      <c r="AL220" s="1">
        <f t="shared" si="60"/>
        <v>13.290000000000006</v>
      </c>
      <c r="AS220" s="1">
        <f t="shared" si="61"/>
        <v>198</v>
      </c>
      <c r="AT220" s="14" t="s">
        <v>270</v>
      </c>
      <c r="AU220" s="8">
        <v>0</v>
      </c>
      <c r="AV220" s="1">
        <f t="shared" si="52"/>
        <v>0</v>
      </c>
      <c r="AW220" s="1">
        <f t="shared" si="62"/>
        <v>11.805</v>
      </c>
      <c r="AX220" s="1">
        <f t="shared" si="63"/>
        <v>11.805</v>
      </c>
    </row>
    <row r="221" spans="8:50">
      <c r="H221" s="1">
        <f t="shared" si="53"/>
        <v>199</v>
      </c>
      <c r="I221" s="14" t="s">
        <v>270</v>
      </c>
      <c r="J221" s="127">
        <f>'Organized Input Output'!D216</f>
        <v>37</v>
      </c>
      <c r="K221" s="104">
        <f t="shared" si="54"/>
        <v>40.699999999999996</v>
      </c>
      <c r="L221" s="104">
        <f t="shared" si="64"/>
        <v>20</v>
      </c>
      <c r="M221" s="104">
        <f t="shared" si="49"/>
        <v>0.745</v>
      </c>
      <c r="T221" s="1">
        <f t="shared" si="55"/>
        <v>199</v>
      </c>
      <c r="U221" s="14" t="s">
        <v>270</v>
      </c>
      <c r="V221" s="8">
        <v>0</v>
      </c>
      <c r="W221" s="1">
        <f t="shared" si="50"/>
        <v>0</v>
      </c>
      <c r="X221" s="1">
        <f t="shared" si="56"/>
        <v>15.529999999999996</v>
      </c>
      <c r="Y221" s="1">
        <f t="shared" si="57"/>
        <v>15.529999999999996</v>
      </c>
      <c r="AG221" s="1">
        <f t="shared" si="58"/>
        <v>199</v>
      </c>
      <c r="AH221" s="14" t="s">
        <v>270</v>
      </c>
      <c r="AI221" s="8">
        <v>0</v>
      </c>
      <c r="AJ221" s="1">
        <f t="shared" si="51"/>
        <v>0</v>
      </c>
      <c r="AK221" s="1">
        <f t="shared" si="59"/>
        <v>12.545000000000007</v>
      </c>
      <c r="AL221" s="1">
        <f t="shared" si="60"/>
        <v>12.545000000000007</v>
      </c>
      <c r="AS221" s="1">
        <f t="shared" si="61"/>
        <v>199</v>
      </c>
      <c r="AT221" s="14" t="s">
        <v>270</v>
      </c>
      <c r="AU221" s="8">
        <v>37</v>
      </c>
      <c r="AV221" s="1">
        <f t="shared" si="52"/>
        <v>40.699999999999996</v>
      </c>
      <c r="AW221" s="1">
        <f t="shared" si="62"/>
        <v>20</v>
      </c>
      <c r="AX221" s="1">
        <f t="shared" si="63"/>
        <v>0</v>
      </c>
    </row>
    <row r="222" spans="8:50">
      <c r="H222" s="1">
        <f t="shared" si="53"/>
        <v>200</v>
      </c>
      <c r="I222" s="14" t="s">
        <v>270</v>
      </c>
      <c r="J222" s="127">
        <f>'Organized Input Output'!D217</f>
        <v>1.8</v>
      </c>
      <c r="K222" s="104">
        <f t="shared" si="54"/>
        <v>1.98</v>
      </c>
      <c r="L222" s="104">
        <f t="shared" si="64"/>
        <v>20</v>
      </c>
      <c r="M222" s="104">
        <f t="shared" si="49"/>
        <v>0.745</v>
      </c>
      <c r="T222" s="1">
        <f t="shared" si="55"/>
        <v>200</v>
      </c>
      <c r="U222" s="14" t="s">
        <v>270</v>
      </c>
      <c r="V222" s="8">
        <v>0</v>
      </c>
      <c r="W222" s="1">
        <f t="shared" si="50"/>
        <v>0</v>
      </c>
      <c r="X222" s="1">
        <f t="shared" si="56"/>
        <v>14.784999999999997</v>
      </c>
      <c r="Y222" s="1">
        <f t="shared" si="57"/>
        <v>14.784999999999997</v>
      </c>
      <c r="AG222" s="1">
        <f t="shared" si="58"/>
        <v>200</v>
      </c>
      <c r="AH222" s="14" t="s">
        <v>270</v>
      </c>
      <c r="AI222" s="8">
        <v>0</v>
      </c>
      <c r="AJ222" s="1">
        <f t="shared" si="51"/>
        <v>0</v>
      </c>
      <c r="AK222" s="1">
        <f t="shared" si="59"/>
        <v>11.800000000000008</v>
      </c>
      <c r="AL222" s="1">
        <f t="shared" si="60"/>
        <v>11.800000000000008</v>
      </c>
      <c r="AS222" s="1">
        <f t="shared" si="61"/>
        <v>200</v>
      </c>
      <c r="AT222" s="14" t="s">
        <v>270</v>
      </c>
      <c r="AU222" s="8">
        <v>1.8</v>
      </c>
      <c r="AV222" s="1">
        <f t="shared" si="52"/>
        <v>1.98</v>
      </c>
      <c r="AW222" s="1">
        <f t="shared" si="62"/>
        <v>20</v>
      </c>
      <c r="AX222" s="1">
        <f t="shared" si="63"/>
        <v>0</v>
      </c>
    </row>
    <row r="223" spans="8:50">
      <c r="H223" s="1">
        <f t="shared" si="53"/>
        <v>201</v>
      </c>
      <c r="I223" s="14" t="s">
        <v>270</v>
      </c>
      <c r="J223" s="127">
        <f>'Organized Input Output'!D218</f>
        <v>0</v>
      </c>
      <c r="K223" s="104">
        <f t="shared" si="54"/>
        <v>0</v>
      </c>
      <c r="L223" s="104">
        <f t="shared" si="64"/>
        <v>19.254999999999999</v>
      </c>
      <c r="M223" s="104">
        <f t="shared" si="49"/>
        <v>0.745</v>
      </c>
      <c r="T223" s="1">
        <f t="shared" si="55"/>
        <v>201</v>
      </c>
      <c r="U223" s="14" t="s">
        <v>270</v>
      </c>
      <c r="V223" s="8">
        <v>0</v>
      </c>
      <c r="W223" s="1">
        <f t="shared" si="50"/>
        <v>0</v>
      </c>
      <c r="X223" s="1">
        <f t="shared" si="56"/>
        <v>14.039999999999997</v>
      </c>
      <c r="Y223" s="1">
        <f t="shared" si="57"/>
        <v>14.039999999999997</v>
      </c>
      <c r="AG223" s="1">
        <f t="shared" si="58"/>
        <v>201</v>
      </c>
      <c r="AH223" s="14" t="s">
        <v>270</v>
      </c>
      <c r="AI223" s="8">
        <v>0.6</v>
      </c>
      <c r="AJ223" s="1">
        <f t="shared" si="51"/>
        <v>0.65999999999999992</v>
      </c>
      <c r="AK223" s="1">
        <f t="shared" si="59"/>
        <v>11.715000000000009</v>
      </c>
      <c r="AL223" s="1">
        <f t="shared" si="60"/>
        <v>0</v>
      </c>
      <c r="AS223" s="1">
        <f t="shared" si="61"/>
        <v>201</v>
      </c>
      <c r="AT223" s="14" t="s">
        <v>270</v>
      </c>
      <c r="AU223" s="8">
        <v>0</v>
      </c>
      <c r="AV223" s="1">
        <f t="shared" si="52"/>
        <v>0</v>
      </c>
      <c r="AW223" s="1">
        <f t="shared" si="62"/>
        <v>19.254999999999999</v>
      </c>
      <c r="AX223" s="1">
        <f t="shared" si="63"/>
        <v>19.254999999999999</v>
      </c>
    </row>
    <row r="224" spans="8:50">
      <c r="H224" s="1">
        <f t="shared" si="53"/>
        <v>202</v>
      </c>
      <c r="I224" s="14" t="s">
        <v>270</v>
      </c>
      <c r="J224" s="127">
        <f>'Organized Input Output'!D219</f>
        <v>0</v>
      </c>
      <c r="K224" s="104">
        <f t="shared" si="54"/>
        <v>0</v>
      </c>
      <c r="L224" s="104">
        <f t="shared" si="64"/>
        <v>18.509999999999998</v>
      </c>
      <c r="M224" s="104">
        <f t="shared" si="49"/>
        <v>0.745</v>
      </c>
      <c r="T224" s="1">
        <f t="shared" si="55"/>
        <v>202</v>
      </c>
      <c r="U224" s="14" t="s">
        <v>270</v>
      </c>
      <c r="V224" s="8">
        <v>0</v>
      </c>
      <c r="W224" s="1">
        <f t="shared" si="50"/>
        <v>0</v>
      </c>
      <c r="X224" s="1">
        <f t="shared" si="56"/>
        <v>13.294999999999998</v>
      </c>
      <c r="Y224" s="1">
        <f t="shared" si="57"/>
        <v>13.294999999999998</v>
      </c>
      <c r="AG224" s="1">
        <f t="shared" si="58"/>
        <v>202</v>
      </c>
      <c r="AH224" s="14" t="s">
        <v>270</v>
      </c>
      <c r="AI224" s="8">
        <v>0</v>
      </c>
      <c r="AJ224" s="1">
        <f t="shared" si="51"/>
        <v>0</v>
      </c>
      <c r="AK224" s="1">
        <f t="shared" si="59"/>
        <v>10.97000000000001</v>
      </c>
      <c r="AL224" s="1">
        <f t="shared" si="60"/>
        <v>10.97000000000001</v>
      </c>
      <c r="AS224" s="1">
        <f t="shared" si="61"/>
        <v>202</v>
      </c>
      <c r="AT224" s="14" t="s">
        <v>270</v>
      </c>
      <c r="AU224" s="8">
        <v>0</v>
      </c>
      <c r="AV224" s="1">
        <f t="shared" si="52"/>
        <v>0</v>
      </c>
      <c r="AW224" s="1">
        <f t="shared" si="62"/>
        <v>18.509999999999998</v>
      </c>
      <c r="AX224" s="1">
        <f t="shared" si="63"/>
        <v>18.509999999999998</v>
      </c>
    </row>
    <row r="225" spans="8:50">
      <c r="H225" s="1">
        <f t="shared" si="53"/>
        <v>203</v>
      </c>
      <c r="I225" s="14" t="s">
        <v>270</v>
      </c>
      <c r="J225" s="127">
        <f>'Organized Input Output'!D220</f>
        <v>8</v>
      </c>
      <c r="K225" s="104">
        <f t="shared" si="54"/>
        <v>8.8000000000000007</v>
      </c>
      <c r="L225" s="104">
        <f t="shared" si="64"/>
        <v>20</v>
      </c>
      <c r="M225" s="104">
        <f t="shared" si="49"/>
        <v>0.745</v>
      </c>
      <c r="T225" s="1">
        <f t="shared" si="55"/>
        <v>203</v>
      </c>
      <c r="U225" s="14" t="s">
        <v>270</v>
      </c>
      <c r="V225" s="8">
        <v>0</v>
      </c>
      <c r="W225" s="1">
        <f t="shared" si="50"/>
        <v>0</v>
      </c>
      <c r="X225" s="1">
        <f t="shared" si="56"/>
        <v>12.549999999999999</v>
      </c>
      <c r="Y225" s="1">
        <f t="shared" si="57"/>
        <v>12.549999999999999</v>
      </c>
      <c r="AG225" s="1">
        <f t="shared" si="58"/>
        <v>203</v>
      </c>
      <c r="AH225" s="14" t="s">
        <v>270</v>
      </c>
      <c r="AI225" s="8">
        <v>0</v>
      </c>
      <c r="AJ225" s="1">
        <f t="shared" si="51"/>
        <v>0</v>
      </c>
      <c r="AK225" s="1">
        <f t="shared" si="59"/>
        <v>10.22500000000001</v>
      </c>
      <c r="AL225" s="1">
        <f t="shared" si="60"/>
        <v>10.22500000000001</v>
      </c>
      <c r="AS225" s="1">
        <f t="shared" si="61"/>
        <v>203</v>
      </c>
      <c r="AT225" s="14" t="s">
        <v>270</v>
      </c>
      <c r="AU225" s="8">
        <v>8</v>
      </c>
      <c r="AV225" s="1">
        <f t="shared" si="52"/>
        <v>8.8000000000000007</v>
      </c>
      <c r="AW225" s="1">
        <f t="shared" si="62"/>
        <v>20</v>
      </c>
      <c r="AX225" s="1">
        <f t="shared" si="63"/>
        <v>0</v>
      </c>
    </row>
    <row r="226" spans="8:50">
      <c r="H226" s="1">
        <f t="shared" si="53"/>
        <v>204</v>
      </c>
      <c r="I226" s="14" t="s">
        <v>270</v>
      </c>
      <c r="J226" s="127">
        <f>'Organized Input Output'!D221</f>
        <v>18.2</v>
      </c>
      <c r="K226" s="104">
        <f t="shared" si="54"/>
        <v>20.02</v>
      </c>
      <c r="L226" s="104">
        <f t="shared" si="64"/>
        <v>20</v>
      </c>
      <c r="M226" s="104">
        <f t="shared" si="49"/>
        <v>0.745</v>
      </c>
      <c r="T226" s="1">
        <f t="shared" si="55"/>
        <v>204</v>
      </c>
      <c r="U226" s="14" t="s">
        <v>270</v>
      </c>
      <c r="V226" s="8">
        <v>0.4</v>
      </c>
      <c r="W226" s="1">
        <f t="shared" si="50"/>
        <v>0.44</v>
      </c>
      <c r="X226" s="1">
        <f t="shared" si="56"/>
        <v>12.244999999999999</v>
      </c>
      <c r="Y226" s="1">
        <f t="shared" si="57"/>
        <v>1.6849999999999987</v>
      </c>
      <c r="AG226" s="1">
        <f t="shared" si="58"/>
        <v>204</v>
      </c>
      <c r="AH226" s="14" t="s">
        <v>270</v>
      </c>
      <c r="AI226" s="8">
        <v>8.4</v>
      </c>
      <c r="AJ226" s="1">
        <f t="shared" si="51"/>
        <v>9.240000000000002</v>
      </c>
      <c r="AK226" s="1">
        <f t="shared" si="59"/>
        <v>18.72000000000001</v>
      </c>
      <c r="AL226" s="1">
        <f t="shared" si="60"/>
        <v>0</v>
      </c>
      <c r="AS226" s="1">
        <f t="shared" si="61"/>
        <v>204</v>
      </c>
      <c r="AT226" s="14" t="s">
        <v>270</v>
      </c>
      <c r="AU226" s="8">
        <v>18.2</v>
      </c>
      <c r="AV226" s="1">
        <f t="shared" si="52"/>
        <v>20.02</v>
      </c>
      <c r="AW226" s="1">
        <f t="shared" si="62"/>
        <v>20</v>
      </c>
      <c r="AX226" s="1">
        <f t="shared" si="63"/>
        <v>0</v>
      </c>
    </row>
    <row r="227" spans="8:50">
      <c r="H227" s="1">
        <f t="shared" si="53"/>
        <v>205</v>
      </c>
      <c r="I227" s="14" t="s">
        <v>270</v>
      </c>
      <c r="J227" s="127">
        <f>'Organized Input Output'!D222</f>
        <v>0.6</v>
      </c>
      <c r="K227" s="104">
        <f t="shared" si="54"/>
        <v>0.65999999999999992</v>
      </c>
      <c r="L227" s="104">
        <f t="shared" si="64"/>
        <v>19.914999999999999</v>
      </c>
      <c r="M227" s="104">
        <f t="shared" si="49"/>
        <v>0.745</v>
      </c>
      <c r="T227" s="1">
        <f t="shared" si="55"/>
        <v>205</v>
      </c>
      <c r="U227" s="14" t="s">
        <v>270</v>
      </c>
      <c r="V227" s="8">
        <v>1</v>
      </c>
      <c r="W227" s="1">
        <f t="shared" si="50"/>
        <v>1.1000000000000001</v>
      </c>
      <c r="X227" s="1">
        <f t="shared" si="56"/>
        <v>12.6</v>
      </c>
      <c r="Y227" s="1">
        <f t="shared" si="57"/>
        <v>0</v>
      </c>
      <c r="AG227" s="1">
        <f t="shared" si="58"/>
        <v>205</v>
      </c>
      <c r="AH227" s="14" t="s">
        <v>270</v>
      </c>
      <c r="AI227" s="8">
        <v>4</v>
      </c>
      <c r="AJ227" s="1">
        <f t="shared" si="51"/>
        <v>4.4000000000000004</v>
      </c>
      <c r="AK227" s="1">
        <f t="shared" si="59"/>
        <v>20</v>
      </c>
      <c r="AL227" s="1">
        <f t="shared" si="60"/>
        <v>0</v>
      </c>
      <c r="AS227" s="1">
        <f t="shared" si="61"/>
        <v>205</v>
      </c>
      <c r="AT227" s="14" t="s">
        <v>270</v>
      </c>
      <c r="AU227" s="8">
        <v>0.6</v>
      </c>
      <c r="AV227" s="1">
        <f t="shared" si="52"/>
        <v>0.65999999999999992</v>
      </c>
      <c r="AW227" s="1">
        <f t="shared" si="62"/>
        <v>19.914999999999999</v>
      </c>
      <c r="AX227" s="1">
        <f t="shared" si="63"/>
        <v>4.0750000000000011</v>
      </c>
    </row>
    <row r="228" spans="8:50">
      <c r="H228" s="1">
        <f t="shared" si="53"/>
        <v>206</v>
      </c>
      <c r="I228" s="14" t="s">
        <v>270</v>
      </c>
      <c r="J228" s="127">
        <f>'Organized Input Output'!D223</f>
        <v>0</v>
      </c>
      <c r="K228" s="104">
        <f t="shared" si="54"/>
        <v>0</v>
      </c>
      <c r="L228" s="104">
        <f t="shared" si="64"/>
        <v>19.169999999999998</v>
      </c>
      <c r="M228" s="104">
        <f t="shared" si="49"/>
        <v>0.745</v>
      </c>
      <c r="T228" s="1">
        <f t="shared" si="55"/>
        <v>206</v>
      </c>
      <c r="U228" s="14" t="s">
        <v>270</v>
      </c>
      <c r="V228" s="8">
        <v>10.8</v>
      </c>
      <c r="W228" s="1">
        <f t="shared" si="50"/>
        <v>11.88</v>
      </c>
      <c r="X228" s="1">
        <f t="shared" si="56"/>
        <v>20</v>
      </c>
      <c r="Y228" s="1">
        <f t="shared" si="57"/>
        <v>0</v>
      </c>
      <c r="AG228" s="1">
        <f t="shared" si="58"/>
        <v>206</v>
      </c>
      <c r="AH228" s="14" t="s">
        <v>270</v>
      </c>
      <c r="AI228" s="8">
        <v>4.2</v>
      </c>
      <c r="AJ228" s="1">
        <f t="shared" si="51"/>
        <v>4.620000000000001</v>
      </c>
      <c r="AK228" s="1">
        <f t="shared" si="59"/>
        <v>20</v>
      </c>
      <c r="AL228" s="1">
        <f t="shared" si="60"/>
        <v>0</v>
      </c>
      <c r="AS228" s="1">
        <f t="shared" si="61"/>
        <v>206</v>
      </c>
      <c r="AT228" s="14" t="s">
        <v>270</v>
      </c>
      <c r="AU228" s="8">
        <v>0</v>
      </c>
      <c r="AV228" s="1">
        <f t="shared" si="52"/>
        <v>0</v>
      </c>
      <c r="AW228" s="1">
        <f t="shared" si="62"/>
        <v>19.169999999999998</v>
      </c>
      <c r="AX228" s="1">
        <f t="shared" si="63"/>
        <v>19.169999999999998</v>
      </c>
    </row>
    <row r="229" spans="8:50">
      <c r="H229" s="1">
        <f t="shared" si="53"/>
        <v>207</v>
      </c>
      <c r="I229" s="14" t="s">
        <v>270</v>
      </c>
      <c r="J229" s="127">
        <f>'Organized Input Output'!D224</f>
        <v>0</v>
      </c>
      <c r="K229" s="104">
        <f t="shared" si="54"/>
        <v>0</v>
      </c>
      <c r="L229" s="104">
        <f t="shared" si="64"/>
        <v>18.424999999999997</v>
      </c>
      <c r="M229" s="104">
        <f t="shared" si="49"/>
        <v>0.745</v>
      </c>
      <c r="T229" s="1">
        <f t="shared" si="55"/>
        <v>207</v>
      </c>
      <c r="U229" s="14" t="s">
        <v>270</v>
      </c>
      <c r="V229" s="8">
        <v>0.6</v>
      </c>
      <c r="W229" s="1">
        <f t="shared" si="50"/>
        <v>0.65999999999999992</v>
      </c>
      <c r="X229" s="1">
        <f t="shared" si="56"/>
        <v>19.914999999999999</v>
      </c>
      <c r="Y229" s="1">
        <f t="shared" si="57"/>
        <v>4.0750000000000011</v>
      </c>
      <c r="AG229" s="1">
        <f t="shared" si="58"/>
        <v>207</v>
      </c>
      <c r="AH229" s="14" t="s">
        <v>270</v>
      </c>
      <c r="AI229" s="8">
        <v>0</v>
      </c>
      <c r="AJ229" s="1">
        <f t="shared" si="51"/>
        <v>0</v>
      </c>
      <c r="AK229" s="1">
        <f t="shared" si="59"/>
        <v>19.254999999999999</v>
      </c>
      <c r="AL229" s="1">
        <f t="shared" si="60"/>
        <v>19.254999999999999</v>
      </c>
      <c r="AS229" s="1">
        <f t="shared" si="61"/>
        <v>207</v>
      </c>
      <c r="AT229" s="14" t="s">
        <v>270</v>
      </c>
      <c r="AU229" s="8">
        <v>0</v>
      </c>
      <c r="AV229" s="1">
        <f t="shared" si="52"/>
        <v>0</v>
      </c>
      <c r="AW229" s="1">
        <f t="shared" si="62"/>
        <v>18.424999999999997</v>
      </c>
      <c r="AX229" s="1">
        <f t="shared" si="63"/>
        <v>18.424999999999997</v>
      </c>
    </row>
    <row r="230" spans="8:50">
      <c r="H230" s="1">
        <f t="shared" si="53"/>
        <v>208</v>
      </c>
      <c r="I230" s="14" t="s">
        <v>270</v>
      </c>
      <c r="J230" s="127">
        <f>'Organized Input Output'!D225</f>
        <v>0</v>
      </c>
      <c r="K230" s="104">
        <f t="shared" si="54"/>
        <v>0</v>
      </c>
      <c r="L230" s="104">
        <f t="shared" si="64"/>
        <v>17.679999999999996</v>
      </c>
      <c r="M230" s="104">
        <f t="shared" si="49"/>
        <v>0.745</v>
      </c>
      <c r="T230" s="1">
        <f t="shared" si="55"/>
        <v>208</v>
      </c>
      <c r="U230" s="14" t="s">
        <v>270</v>
      </c>
      <c r="V230" s="8">
        <v>0</v>
      </c>
      <c r="W230" s="1">
        <f t="shared" si="50"/>
        <v>0</v>
      </c>
      <c r="X230" s="1">
        <f t="shared" si="56"/>
        <v>19.169999999999998</v>
      </c>
      <c r="Y230" s="1">
        <f t="shared" si="57"/>
        <v>19.169999999999998</v>
      </c>
      <c r="AG230" s="20">
        <f t="shared" si="58"/>
        <v>208</v>
      </c>
      <c r="AH230" s="21" t="s">
        <v>270</v>
      </c>
      <c r="AI230" s="22">
        <v>0</v>
      </c>
      <c r="AJ230" s="20">
        <f t="shared" si="51"/>
        <v>0</v>
      </c>
      <c r="AK230" s="20">
        <f t="shared" si="59"/>
        <v>18.509999999999998</v>
      </c>
      <c r="AL230" s="1">
        <f t="shared" si="60"/>
        <v>18.509999999999998</v>
      </c>
      <c r="AS230" s="1">
        <f t="shared" si="61"/>
        <v>208</v>
      </c>
      <c r="AT230" s="14" t="s">
        <v>270</v>
      </c>
      <c r="AU230" s="8">
        <v>0</v>
      </c>
      <c r="AV230" s="1">
        <f t="shared" si="52"/>
        <v>0</v>
      </c>
      <c r="AW230" s="1">
        <f t="shared" si="62"/>
        <v>17.679999999999996</v>
      </c>
      <c r="AX230" s="1">
        <f t="shared" si="63"/>
        <v>17.679999999999996</v>
      </c>
    </row>
    <row r="231" spans="8:50">
      <c r="H231" s="1">
        <f t="shared" si="53"/>
        <v>209</v>
      </c>
      <c r="I231" s="14" t="s">
        <v>270</v>
      </c>
      <c r="J231" s="127">
        <f>'Organized Input Output'!D226</f>
        <v>0</v>
      </c>
      <c r="K231" s="104">
        <f t="shared" si="54"/>
        <v>0</v>
      </c>
      <c r="L231" s="104">
        <f t="shared" si="64"/>
        <v>16.934999999999995</v>
      </c>
      <c r="M231" s="104">
        <f t="shared" si="49"/>
        <v>0.745</v>
      </c>
      <c r="T231" s="1">
        <f t="shared" si="55"/>
        <v>209</v>
      </c>
      <c r="U231" s="14" t="s">
        <v>270</v>
      </c>
      <c r="V231" s="8">
        <v>0</v>
      </c>
      <c r="W231" s="1">
        <f t="shared" si="50"/>
        <v>0</v>
      </c>
      <c r="X231" s="1">
        <f t="shared" si="56"/>
        <v>18.424999999999997</v>
      </c>
      <c r="Y231" s="1">
        <f t="shared" si="57"/>
        <v>18.424999999999997</v>
      </c>
      <c r="AG231" s="20">
        <f t="shared" si="58"/>
        <v>209</v>
      </c>
      <c r="AH231" s="21" t="s">
        <v>270</v>
      </c>
      <c r="AI231" s="22">
        <v>0</v>
      </c>
      <c r="AJ231" s="20">
        <f t="shared" si="51"/>
        <v>0</v>
      </c>
      <c r="AK231" s="20">
        <f t="shared" si="59"/>
        <v>17.764999999999997</v>
      </c>
      <c r="AL231" s="1">
        <f t="shared" si="60"/>
        <v>17.764999999999997</v>
      </c>
      <c r="AS231" s="1">
        <f t="shared" si="61"/>
        <v>209</v>
      </c>
      <c r="AT231" s="14" t="s">
        <v>270</v>
      </c>
      <c r="AU231" s="8">
        <v>0</v>
      </c>
      <c r="AV231" s="1">
        <f t="shared" si="52"/>
        <v>0</v>
      </c>
      <c r="AW231" s="1">
        <f t="shared" si="62"/>
        <v>16.934999999999995</v>
      </c>
      <c r="AX231" s="1">
        <f t="shared" si="63"/>
        <v>16.934999999999995</v>
      </c>
    </row>
    <row r="232" spans="8:50">
      <c r="H232" s="1">
        <f t="shared" si="53"/>
        <v>210</v>
      </c>
      <c r="I232" s="14" t="s">
        <v>270</v>
      </c>
      <c r="J232" s="127">
        <f>'Organized Input Output'!D227</f>
        <v>0</v>
      </c>
      <c r="K232" s="104">
        <f t="shared" si="54"/>
        <v>0</v>
      </c>
      <c r="L232" s="104">
        <f t="shared" si="64"/>
        <v>16.189999999999994</v>
      </c>
      <c r="M232" s="104">
        <f t="shared" si="49"/>
        <v>0.745</v>
      </c>
      <c r="T232" s="1">
        <f t="shared" si="55"/>
        <v>210</v>
      </c>
      <c r="U232" s="14" t="s">
        <v>270</v>
      </c>
      <c r="V232" s="8">
        <v>0</v>
      </c>
      <c r="W232" s="1">
        <f t="shared" si="50"/>
        <v>0</v>
      </c>
      <c r="X232" s="1">
        <f t="shared" si="56"/>
        <v>17.679999999999996</v>
      </c>
      <c r="Y232" s="1">
        <f t="shared" si="57"/>
        <v>17.679999999999996</v>
      </c>
      <c r="AG232" s="20">
        <f t="shared" si="58"/>
        <v>210</v>
      </c>
      <c r="AH232" s="21" t="s">
        <v>270</v>
      </c>
      <c r="AI232" s="22">
        <v>0</v>
      </c>
      <c r="AJ232" s="20">
        <f t="shared" si="51"/>
        <v>0</v>
      </c>
      <c r="AK232" s="20">
        <f t="shared" si="59"/>
        <v>17.019999999999996</v>
      </c>
      <c r="AL232" s="1">
        <f t="shared" si="60"/>
        <v>17.019999999999996</v>
      </c>
      <c r="AS232" s="1">
        <f t="shared" si="61"/>
        <v>210</v>
      </c>
      <c r="AT232" s="14" t="s">
        <v>270</v>
      </c>
      <c r="AU232" s="8">
        <v>0</v>
      </c>
      <c r="AV232" s="1">
        <f t="shared" si="52"/>
        <v>0</v>
      </c>
      <c r="AW232" s="1">
        <f t="shared" si="62"/>
        <v>16.189999999999994</v>
      </c>
      <c r="AX232" s="1">
        <f t="shared" si="63"/>
        <v>16.189999999999994</v>
      </c>
    </row>
    <row r="233" spans="8:50">
      <c r="H233" s="1">
        <f t="shared" si="53"/>
        <v>211</v>
      </c>
      <c r="I233" s="14" t="s">
        <v>270</v>
      </c>
      <c r="J233" s="127">
        <f>'Organized Input Output'!D228</f>
        <v>0</v>
      </c>
      <c r="K233" s="104">
        <f t="shared" si="54"/>
        <v>0</v>
      </c>
      <c r="L233" s="104">
        <f t="shared" si="64"/>
        <v>15.444999999999995</v>
      </c>
      <c r="M233" s="104">
        <f t="shared" si="49"/>
        <v>0.745</v>
      </c>
      <c r="T233" s="1">
        <f t="shared" si="55"/>
        <v>211</v>
      </c>
      <c r="U233" s="14" t="s">
        <v>270</v>
      </c>
      <c r="V233" s="8">
        <v>0</v>
      </c>
      <c r="W233" s="1">
        <f t="shared" si="50"/>
        <v>0</v>
      </c>
      <c r="X233" s="1">
        <f t="shared" si="56"/>
        <v>16.934999999999995</v>
      </c>
      <c r="Y233" s="1">
        <f t="shared" si="57"/>
        <v>16.934999999999995</v>
      </c>
      <c r="AG233" s="20">
        <f t="shared" si="58"/>
        <v>211</v>
      </c>
      <c r="AH233" s="21" t="s">
        <v>270</v>
      </c>
      <c r="AI233" s="22">
        <v>0</v>
      </c>
      <c r="AJ233" s="20">
        <f t="shared" si="51"/>
        <v>0</v>
      </c>
      <c r="AK233" s="20">
        <f t="shared" si="59"/>
        <v>16.274999999999995</v>
      </c>
      <c r="AL233" s="1">
        <f t="shared" si="60"/>
        <v>16.274999999999995</v>
      </c>
      <c r="AS233" s="1">
        <f t="shared" si="61"/>
        <v>211</v>
      </c>
      <c r="AT233" s="14" t="s">
        <v>270</v>
      </c>
      <c r="AU233" s="8">
        <v>0</v>
      </c>
      <c r="AV233" s="1">
        <f t="shared" si="52"/>
        <v>0</v>
      </c>
      <c r="AW233" s="1">
        <f t="shared" si="62"/>
        <v>15.444999999999995</v>
      </c>
      <c r="AX233" s="1">
        <f t="shared" si="63"/>
        <v>15.444999999999995</v>
      </c>
    </row>
    <row r="234" spans="8:50">
      <c r="H234" s="1">
        <f t="shared" si="53"/>
        <v>212</v>
      </c>
      <c r="I234" s="14" t="s">
        <v>270</v>
      </c>
      <c r="J234" s="127">
        <f>'Organized Input Output'!D229</f>
        <v>0</v>
      </c>
      <c r="K234" s="104">
        <f t="shared" si="54"/>
        <v>0</v>
      </c>
      <c r="L234" s="104">
        <f t="shared" si="64"/>
        <v>14.699999999999996</v>
      </c>
      <c r="M234" s="104">
        <f t="shared" si="49"/>
        <v>0.745</v>
      </c>
      <c r="T234" s="1">
        <f t="shared" si="55"/>
        <v>212</v>
      </c>
      <c r="U234" s="14" t="s">
        <v>270</v>
      </c>
      <c r="V234" s="8">
        <v>0</v>
      </c>
      <c r="W234" s="1">
        <f t="shared" si="50"/>
        <v>0</v>
      </c>
      <c r="X234" s="1">
        <f t="shared" si="56"/>
        <v>16.189999999999994</v>
      </c>
      <c r="Y234" s="1">
        <f t="shared" si="57"/>
        <v>16.189999999999994</v>
      </c>
      <c r="AG234" s="20">
        <f t="shared" si="58"/>
        <v>212</v>
      </c>
      <c r="AH234" s="21" t="s">
        <v>270</v>
      </c>
      <c r="AI234" s="22">
        <v>0</v>
      </c>
      <c r="AJ234" s="20">
        <f t="shared" si="51"/>
        <v>0</v>
      </c>
      <c r="AK234" s="20">
        <f t="shared" si="59"/>
        <v>15.529999999999996</v>
      </c>
      <c r="AL234" s="1">
        <f t="shared" si="60"/>
        <v>15.529999999999996</v>
      </c>
      <c r="AS234" s="1">
        <f t="shared" si="61"/>
        <v>212</v>
      </c>
      <c r="AT234" s="14" t="s">
        <v>270</v>
      </c>
      <c r="AU234" s="8">
        <v>0</v>
      </c>
      <c r="AV234" s="1">
        <f t="shared" si="52"/>
        <v>0</v>
      </c>
      <c r="AW234" s="1">
        <f t="shared" si="62"/>
        <v>14.699999999999996</v>
      </c>
      <c r="AX234" s="1">
        <f t="shared" si="63"/>
        <v>14.699999999999996</v>
      </c>
    </row>
    <row r="235" spans="8:50">
      <c r="H235" s="1">
        <f t="shared" si="53"/>
        <v>213</v>
      </c>
      <c r="I235" s="14" t="s">
        <v>272</v>
      </c>
      <c r="J235" s="127">
        <f>'Organized Input Output'!D230</f>
        <v>0</v>
      </c>
      <c r="K235" s="104">
        <f t="shared" si="54"/>
        <v>0</v>
      </c>
      <c r="L235" s="104">
        <f t="shared" si="64"/>
        <v>13.954999999999997</v>
      </c>
      <c r="M235" s="104">
        <f t="shared" si="49"/>
        <v>0.745</v>
      </c>
      <c r="T235" s="1">
        <f t="shared" si="55"/>
        <v>213</v>
      </c>
      <c r="U235" s="14" t="s">
        <v>272</v>
      </c>
      <c r="V235" s="8">
        <v>0</v>
      </c>
      <c r="W235" s="1">
        <f t="shared" si="50"/>
        <v>0</v>
      </c>
      <c r="X235" s="1">
        <f t="shared" si="56"/>
        <v>15.444999999999995</v>
      </c>
      <c r="Y235" s="1">
        <f t="shared" si="57"/>
        <v>15.444999999999995</v>
      </c>
      <c r="AG235" s="20">
        <f t="shared" si="58"/>
        <v>213</v>
      </c>
      <c r="AH235" s="21" t="s">
        <v>272</v>
      </c>
      <c r="AI235" s="22">
        <v>0</v>
      </c>
      <c r="AJ235" s="20">
        <f t="shared" si="51"/>
        <v>0</v>
      </c>
      <c r="AK235" s="20">
        <f t="shared" si="59"/>
        <v>14.784999999999997</v>
      </c>
      <c r="AL235" s="1">
        <f t="shared" si="60"/>
        <v>14.784999999999997</v>
      </c>
      <c r="AS235" s="1">
        <f t="shared" si="61"/>
        <v>213</v>
      </c>
      <c r="AT235" s="14" t="s">
        <v>272</v>
      </c>
      <c r="AU235" s="8">
        <v>0</v>
      </c>
      <c r="AV235" s="1">
        <f t="shared" si="52"/>
        <v>0</v>
      </c>
      <c r="AW235" s="1">
        <f t="shared" si="62"/>
        <v>13.954999999999997</v>
      </c>
      <c r="AX235" s="1">
        <f t="shared" si="63"/>
        <v>13.954999999999997</v>
      </c>
    </row>
    <row r="236" spans="8:50">
      <c r="H236" s="1">
        <f t="shared" si="53"/>
        <v>214</v>
      </c>
      <c r="I236" s="14" t="s">
        <v>272</v>
      </c>
      <c r="J236" s="127">
        <f>'Organized Input Output'!D231</f>
        <v>0</v>
      </c>
      <c r="K236" s="104">
        <f t="shared" si="54"/>
        <v>0</v>
      </c>
      <c r="L236" s="104">
        <f t="shared" si="64"/>
        <v>13.209999999999997</v>
      </c>
      <c r="M236" s="104">
        <f t="shared" si="49"/>
        <v>0.745</v>
      </c>
      <c r="T236" s="1">
        <f t="shared" si="55"/>
        <v>214</v>
      </c>
      <c r="U236" s="14" t="s">
        <v>272</v>
      </c>
      <c r="V236" s="8">
        <v>0</v>
      </c>
      <c r="W236" s="1">
        <f t="shared" si="50"/>
        <v>0</v>
      </c>
      <c r="X236" s="1">
        <f t="shared" si="56"/>
        <v>14.699999999999996</v>
      </c>
      <c r="Y236" s="1">
        <f t="shared" si="57"/>
        <v>14.699999999999996</v>
      </c>
      <c r="AG236" s="20">
        <f t="shared" si="58"/>
        <v>214</v>
      </c>
      <c r="AH236" s="21" t="s">
        <v>272</v>
      </c>
      <c r="AI236" s="22">
        <v>0</v>
      </c>
      <c r="AJ236" s="20">
        <f t="shared" si="51"/>
        <v>0</v>
      </c>
      <c r="AK236" s="20">
        <f t="shared" si="59"/>
        <v>14.039999999999997</v>
      </c>
      <c r="AL236" s="1">
        <f t="shared" si="60"/>
        <v>14.039999999999997</v>
      </c>
      <c r="AS236" s="1">
        <f t="shared" si="61"/>
        <v>214</v>
      </c>
      <c r="AT236" s="14" t="s">
        <v>272</v>
      </c>
      <c r="AU236" s="8">
        <v>0</v>
      </c>
      <c r="AV236" s="1">
        <f t="shared" si="52"/>
        <v>0</v>
      </c>
      <c r="AW236" s="1">
        <f t="shared" si="62"/>
        <v>13.209999999999997</v>
      </c>
      <c r="AX236" s="1">
        <f t="shared" si="63"/>
        <v>13.209999999999997</v>
      </c>
    </row>
    <row r="237" spans="8:50">
      <c r="H237" s="1">
        <f t="shared" si="53"/>
        <v>215</v>
      </c>
      <c r="I237" s="14" t="s">
        <v>272</v>
      </c>
      <c r="J237" s="127">
        <f>'Organized Input Output'!D232</f>
        <v>0</v>
      </c>
      <c r="K237" s="104">
        <f t="shared" si="54"/>
        <v>0</v>
      </c>
      <c r="L237" s="104">
        <f t="shared" si="64"/>
        <v>12.464999999999998</v>
      </c>
      <c r="M237" s="104">
        <f t="shared" si="49"/>
        <v>0.745</v>
      </c>
      <c r="T237" s="1">
        <f t="shared" si="55"/>
        <v>215</v>
      </c>
      <c r="U237" s="14" t="s">
        <v>272</v>
      </c>
      <c r="V237" s="8">
        <v>0</v>
      </c>
      <c r="W237" s="1">
        <f t="shared" si="50"/>
        <v>0</v>
      </c>
      <c r="X237" s="1">
        <f t="shared" si="56"/>
        <v>13.954999999999997</v>
      </c>
      <c r="Y237" s="1">
        <f t="shared" si="57"/>
        <v>13.954999999999997</v>
      </c>
      <c r="AG237" s="20">
        <f t="shared" si="58"/>
        <v>215</v>
      </c>
      <c r="AH237" s="21" t="s">
        <v>272</v>
      </c>
      <c r="AI237" s="22">
        <v>0</v>
      </c>
      <c r="AJ237" s="20">
        <f t="shared" si="51"/>
        <v>0</v>
      </c>
      <c r="AK237" s="20">
        <f t="shared" si="59"/>
        <v>13.294999999999998</v>
      </c>
      <c r="AL237" s="1">
        <f t="shared" si="60"/>
        <v>13.294999999999998</v>
      </c>
      <c r="AS237" s="1">
        <f t="shared" si="61"/>
        <v>215</v>
      </c>
      <c r="AT237" s="14" t="s">
        <v>272</v>
      </c>
      <c r="AU237" s="8">
        <v>0</v>
      </c>
      <c r="AV237" s="1">
        <f t="shared" si="52"/>
        <v>0</v>
      </c>
      <c r="AW237" s="1">
        <f t="shared" si="62"/>
        <v>12.464999999999998</v>
      </c>
      <c r="AX237" s="1">
        <f t="shared" si="63"/>
        <v>12.464999999999998</v>
      </c>
    </row>
    <row r="238" spans="8:50">
      <c r="H238" s="1">
        <f t="shared" si="53"/>
        <v>216</v>
      </c>
      <c r="I238" s="14" t="s">
        <v>272</v>
      </c>
      <c r="J238" s="127">
        <f>'Organized Input Output'!D233</f>
        <v>0</v>
      </c>
      <c r="K238" s="104">
        <f t="shared" si="54"/>
        <v>0</v>
      </c>
      <c r="L238" s="104">
        <f t="shared" si="64"/>
        <v>11.719999999999999</v>
      </c>
      <c r="M238" s="104">
        <f t="shared" si="49"/>
        <v>0.745</v>
      </c>
      <c r="T238" s="1">
        <f t="shared" si="55"/>
        <v>216</v>
      </c>
      <c r="U238" s="14" t="s">
        <v>272</v>
      </c>
      <c r="V238" s="8">
        <v>6.6</v>
      </c>
      <c r="W238" s="1">
        <f t="shared" si="50"/>
        <v>7.26</v>
      </c>
      <c r="X238" s="1">
        <f t="shared" si="56"/>
        <v>20</v>
      </c>
      <c r="Y238" s="1">
        <f t="shared" si="57"/>
        <v>0</v>
      </c>
      <c r="AG238" s="20">
        <f t="shared" si="58"/>
        <v>216</v>
      </c>
      <c r="AH238" s="21" t="s">
        <v>272</v>
      </c>
      <c r="AI238" s="22">
        <v>0</v>
      </c>
      <c r="AJ238" s="20">
        <f t="shared" si="51"/>
        <v>0</v>
      </c>
      <c r="AK238" s="20">
        <f t="shared" si="59"/>
        <v>12.549999999999999</v>
      </c>
      <c r="AL238" s="1">
        <f t="shared" si="60"/>
        <v>12.549999999999999</v>
      </c>
      <c r="AS238" s="1">
        <f t="shared" si="61"/>
        <v>216</v>
      </c>
      <c r="AT238" s="14" t="s">
        <v>272</v>
      </c>
      <c r="AU238" s="8">
        <v>0</v>
      </c>
      <c r="AV238" s="1">
        <f t="shared" si="52"/>
        <v>0</v>
      </c>
      <c r="AW238" s="1">
        <f t="shared" si="62"/>
        <v>11.719999999999999</v>
      </c>
      <c r="AX238" s="1">
        <f t="shared" si="63"/>
        <v>11.719999999999999</v>
      </c>
    </row>
    <row r="239" spans="8:50">
      <c r="H239" s="1">
        <f t="shared" si="53"/>
        <v>217</v>
      </c>
      <c r="I239" s="14" t="s">
        <v>272</v>
      </c>
      <c r="J239" s="127">
        <f>'Organized Input Output'!D234</f>
        <v>0</v>
      </c>
      <c r="K239" s="104">
        <f t="shared" si="54"/>
        <v>0</v>
      </c>
      <c r="L239" s="104">
        <f t="shared" si="64"/>
        <v>10.975</v>
      </c>
      <c r="M239" s="104">
        <f t="shared" si="49"/>
        <v>0.745</v>
      </c>
      <c r="T239" s="1">
        <f t="shared" si="55"/>
        <v>217</v>
      </c>
      <c r="U239" s="14" t="s">
        <v>272</v>
      </c>
      <c r="V239" s="8">
        <v>4.8</v>
      </c>
      <c r="W239" s="1">
        <f t="shared" si="50"/>
        <v>5.2799999999999994</v>
      </c>
      <c r="X239" s="1">
        <f t="shared" si="56"/>
        <v>20</v>
      </c>
      <c r="Y239" s="1">
        <f t="shared" si="57"/>
        <v>0</v>
      </c>
      <c r="AG239" s="20">
        <f t="shared" si="58"/>
        <v>217</v>
      </c>
      <c r="AH239" s="21" t="s">
        <v>272</v>
      </c>
      <c r="AI239" s="22">
        <v>0</v>
      </c>
      <c r="AJ239" s="20">
        <f t="shared" si="51"/>
        <v>0</v>
      </c>
      <c r="AK239" s="20">
        <f t="shared" si="59"/>
        <v>11.805</v>
      </c>
      <c r="AL239" s="1">
        <f t="shared" si="60"/>
        <v>11.805</v>
      </c>
      <c r="AS239" s="1">
        <f t="shared" si="61"/>
        <v>217</v>
      </c>
      <c r="AT239" s="14" t="s">
        <v>272</v>
      </c>
      <c r="AU239" s="8">
        <v>0</v>
      </c>
      <c r="AV239" s="1">
        <f t="shared" si="52"/>
        <v>0</v>
      </c>
      <c r="AW239" s="1">
        <f t="shared" si="62"/>
        <v>10.975</v>
      </c>
      <c r="AX239" s="1">
        <f t="shared" si="63"/>
        <v>10.975</v>
      </c>
    </row>
    <row r="240" spans="8:50">
      <c r="H240" s="1">
        <f t="shared" si="53"/>
        <v>218</v>
      </c>
      <c r="I240" s="14" t="s">
        <v>272</v>
      </c>
      <c r="J240" s="127">
        <f>'Organized Input Output'!D235</f>
        <v>0</v>
      </c>
      <c r="K240" s="104">
        <f t="shared" si="54"/>
        <v>0</v>
      </c>
      <c r="L240" s="104">
        <f t="shared" si="64"/>
        <v>10.23</v>
      </c>
      <c r="M240" s="104">
        <f t="shared" si="49"/>
        <v>0.745</v>
      </c>
      <c r="T240" s="1">
        <f t="shared" si="55"/>
        <v>218</v>
      </c>
      <c r="U240" s="14" t="s">
        <v>272</v>
      </c>
      <c r="V240" s="8">
        <v>0</v>
      </c>
      <c r="W240" s="1">
        <f t="shared" si="50"/>
        <v>0</v>
      </c>
      <c r="X240" s="1">
        <f t="shared" si="56"/>
        <v>19.254999999999999</v>
      </c>
      <c r="Y240" s="1">
        <f t="shared" si="57"/>
        <v>19.254999999999999</v>
      </c>
      <c r="AG240" s="20">
        <f t="shared" si="58"/>
        <v>218</v>
      </c>
      <c r="AH240" s="21" t="s">
        <v>272</v>
      </c>
      <c r="AI240" s="22">
        <v>3.2</v>
      </c>
      <c r="AJ240" s="20">
        <f t="shared" si="51"/>
        <v>3.52</v>
      </c>
      <c r="AK240" s="20">
        <f t="shared" si="59"/>
        <v>14.58</v>
      </c>
      <c r="AL240" s="1">
        <f t="shared" si="60"/>
        <v>0</v>
      </c>
      <c r="AS240" s="1">
        <f t="shared" si="61"/>
        <v>218</v>
      </c>
      <c r="AT240" s="14" t="s">
        <v>272</v>
      </c>
      <c r="AU240" s="8">
        <v>0</v>
      </c>
      <c r="AV240" s="1">
        <f t="shared" si="52"/>
        <v>0</v>
      </c>
      <c r="AW240" s="1">
        <f t="shared" si="62"/>
        <v>10.23</v>
      </c>
      <c r="AX240" s="1">
        <f t="shared" si="63"/>
        <v>10.23</v>
      </c>
    </row>
    <row r="241" spans="8:50">
      <c r="H241" s="1">
        <f t="shared" si="53"/>
        <v>219</v>
      </c>
      <c r="I241" s="14" t="s">
        <v>272</v>
      </c>
      <c r="J241" s="127">
        <f>'Organized Input Output'!D236</f>
        <v>0</v>
      </c>
      <c r="K241" s="104">
        <f t="shared" si="54"/>
        <v>0</v>
      </c>
      <c r="L241" s="104">
        <f t="shared" si="64"/>
        <v>9.4850000000000012</v>
      </c>
      <c r="M241" s="104">
        <f t="shared" si="49"/>
        <v>0.745</v>
      </c>
      <c r="T241" s="1">
        <f t="shared" si="55"/>
        <v>219</v>
      </c>
      <c r="U241" s="14" t="s">
        <v>272</v>
      </c>
      <c r="V241" s="8">
        <v>0.2</v>
      </c>
      <c r="W241" s="1">
        <f t="shared" si="50"/>
        <v>0.22</v>
      </c>
      <c r="X241" s="1">
        <f t="shared" si="56"/>
        <v>18.729999999999997</v>
      </c>
      <c r="Y241" s="1">
        <f t="shared" si="57"/>
        <v>13.449999999999996</v>
      </c>
      <c r="AG241" s="1">
        <f t="shared" si="58"/>
        <v>219</v>
      </c>
      <c r="AH241" s="14" t="s">
        <v>272</v>
      </c>
      <c r="AI241" s="8">
        <v>14.6</v>
      </c>
      <c r="AJ241" s="1">
        <f t="shared" si="51"/>
        <v>16.059999999999999</v>
      </c>
      <c r="AK241" s="1">
        <f t="shared" si="59"/>
        <v>20</v>
      </c>
      <c r="AL241" s="1">
        <f t="shared" si="60"/>
        <v>0</v>
      </c>
      <c r="AS241" s="1">
        <f t="shared" si="61"/>
        <v>219</v>
      </c>
      <c r="AT241" s="14" t="s">
        <v>272</v>
      </c>
      <c r="AU241" s="8">
        <v>0</v>
      </c>
      <c r="AV241" s="1">
        <f t="shared" si="52"/>
        <v>0</v>
      </c>
      <c r="AW241" s="1">
        <f t="shared" si="62"/>
        <v>9.4850000000000012</v>
      </c>
      <c r="AX241" s="1">
        <f t="shared" si="63"/>
        <v>9.4850000000000012</v>
      </c>
    </row>
    <row r="242" spans="8:50">
      <c r="H242" s="1">
        <f t="shared" si="53"/>
        <v>220</v>
      </c>
      <c r="I242" s="14" t="s">
        <v>272</v>
      </c>
      <c r="J242" s="127">
        <f>'Organized Input Output'!D237</f>
        <v>0</v>
      </c>
      <c r="K242" s="104">
        <f t="shared" si="54"/>
        <v>0</v>
      </c>
      <c r="L242" s="104">
        <f t="shared" si="64"/>
        <v>8.740000000000002</v>
      </c>
      <c r="M242" s="104">
        <f t="shared" si="49"/>
        <v>0.745</v>
      </c>
      <c r="T242" s="1">
        <f t="shared" si="55"/>
        <v>220</v>
      </c>
      <c r="U242" s="14" t="s">
        <v>272</v>
      </c>
      <c r="V242" s="8">
        <v>5</v>
      </c>
      <c r="W242" s="1">
        <f t="shared" si="50"/>
        <v>5.5</v>
      </c>
      <c r="X242" s="1">
        <f t="shared" si="56"/>
        <v>20</v>
      </c>
      <c r="Y242" s="1">
        <f t="shared" si="57"/>
        <v>0</v>
      </c>
      <c r="AG242" s="1">
        <f t="shared" si="58"/>
        <v>220</v>
      </c>
      <c r="AH242" s="14" t="s">
        <v>272</v>
      </c>
      <c r="AI242" s="8">
        <v>24.4</v>
      </c>
      <c r="AJ242" s="1">
        <f t="shared" si="51"/>
        <v>26.839999999999996</v>
      </c>
      <c r="AK242" s="1">
        <f t="shared" si="59"/>
        <v>20</v>
      </c>
      <c r="AL242" s="1">
        <f t="shared" si="60"/>
        <v>0</v>
      </c>
      <c r="AS242" s="1">
        <f t="shared" si="61"/>
        <v>220</v>
      </c>
      <c r="AT242" s="14" t="s">
        <v>272</v>
      </c>
      <c r="AU242" s="8">
        <v>0</v>
      </c>
      <c r="AV242" s="1">
        <f t="shared" si="52"/>
        <v>0</v>
      </c>
      <c r="AW242" s="1">
        <f t="shared" si="62"/>
        <v>8.740000000000002</v>
      </c>
      <c r="AX242" s="1">
        <f t="shared" si="63"/>
        <v>8.740000000000002</v>
      </c>
    </row>
    <row r="243" spans="8:50">
      <c r="H243" s="1">
        <f t="shared" si="53"/>
        <v>221</v>
      </c>
      <c r="I243" s="14" t="s">
        <v>272</v>
      </c>
      <c r="J243" s="127">
        <f>'Organized Input Output'!D238</f>
        <v>0</v>
      </c>
      <c r="K243" s="104">
        <f t="shared" si="54"/>
        <v>0</v>
      </c>
      <c r="L243" s="104">
        <f t="shared" si="64"/>
        <v>7.9950000000000019</v>
      </c>
      <c r="M243" s="104">
        <f t="shared" si="49"/>
        <v>0.745</v>
      </c>
      <c r="T243" s="1">
        <f t="shared" si="55"/>
        <v>221</v>
      </c>
      <c r="U243" s="14" t="s">
        <v>272</v>
      </c>
      <c r="V243" s="8">
        <v>1</v>
      </c>
      <c r="W243" s="1">
        <f t="shared" si="50"/>
        <v>1.1000000000000001</v>
      </c>
      <c r="X243" s="1">
        <f t="shared" si="56"/>
        <v>20</v>
      </c>
      <c r="Y243" s="1">
        <f t="shared" si="57"/>
        <v>0</v>
      </c>
      <c r="AG243" s="1">
        <f t="shared" si="58"/>
        <v>221</v>
      </c>
      <c r="AH243" s="14" t="s">
        <v>272</v>
      </c>
      <c r="AI243" s="8">
        <v>1.8</v>
      </c>
      <c r="AJ243" s="1">
        <f t="shared" si="51"/>
        <v>1.98</v>
      </c>
      <c r="AK243" s="1">
        <f t="shared" si="59"/>
        <v>20</v>
      </c>
      <c r="AL243" s="1">
        <f t="shared" si="60"/>
        <v>0</v>
      </c>
      <c r="AS243" s="1">
        <f t="shared" si="61"/>
        <v>221</v>
      </c>
      <c r="AT243" s="14" t="s">
        <v>272</v>
      </c>
      <c r="AU243" s="8">
        <v>0</v>
      </c>
      <c r="AV243" s="1">
        <f t="shared" si="52"/>
        <v>0</v>
      </c>
      <c r="AW243" s="1">
        <f t="shared" si="62"/>
        <v>7.9950000000000019</v>
      </c>
      <c r="AX243" s="1">
        <f t="shared" si="63"/>
        <v>7.9950000000000019</v>
      </c>
    </row>
    <row r="244" spans="8:50">
      <c r="H244" s="1">
        <f t="shared" si="53"/>
        <v>222</v>
      </c>
      <c r="I244" s="14" t="s">
        <v>272</v>
      </c>
      <c r="J244" s="127">
        <f>'Organized Input Output'!D239</f>
        <v>0</v>
      </c>
      <c r="K244" s="104">
        <f t="shared" si="54"/>
        <v>0</v>
      </c>
      <c r="L244" s="104">
        <f t="shared" si="64"/>
        <v>7.2500000000000018</v>
      </c>
      <c r="M244" s="104">
        <f t="shared" si="49"/>
        <v>0.745</v>
      </c>
      <c r="T244" s="1">
        <f t="shared" si="55"/>
        <v>222</v>
      </c>
      <c r="U244" s="14" t="s">
        <v>272</v>
      </c>
      <c r="V244" s="8">
        <v>0</v>
      </c>
      <c r="W244" s="1">
        <f t="shared" si="50"/>
        <v>0</v>
      </c>
      <c r="X244" s="1">
        <f t="shared" si="56"/>
        <v>19.254999999999999</v>
      </c>
      <c r="Y244" s="1">
        <f t="shared" si="57"/>
        <v>19.254999999999999</v>
      </c>
      <c r="AG244" s="1">
        <f t="shared" si="58"/>
        <v>222</v>
      </c>
      <c r="AH244" s="14" t="s">
        <v>272</v>
      </c>
      <c r="AI244" s="8">
        <v>0</v>
      </c>
      <c r="AJ244" s="1">
        <f t="shared" si="51"/>
        <v>0</v>
      </c>
      <c r="AK244" s="1">
        <f t="shared" si="59"/>
        <v>19.254999999999999</v>
      </c>
      <c r="AL244" s="1">
        <f t="shared" si="60"/>
        <v>19.254999999999999</v>
      </c>
      <c r="AS244" s="1">
        <f t="shared" si="61"/>
        <v>222</v>
      </c>
      <c r="AT244" s="14" t="s">
        <v>272</v>
      </c>
      <c r="AU244" s="8">
        <v>0</v>
      </c>
      <c r="AV244" s="1">
        <f t="shared" si="52"/>
        <v>0</v>
      </c>
      <c r="AW244" s="1">
        <f t="shared" si="62"/>
        <v>7.2500000000000018</v>
      </c>
      <c r="AX244" s="1">
        <f t="shared" si="63"/>
        <v>7.2500000000000018</v>
      </c>
    </row>
    <row r="245" spans="8:50">
      <c r="H245" s="1">
        <f t="shared" si="53"/>
        <v>223</v>
      </c>
      <c r="I245" s="14" t="s">
        <v>272</v>
      </c>
      <c r="J245" s="127">
        <f>'Organized Input Output'!D240</f>
        <v>0</v>
      </c>
      <c r="K245" s="104">
        <f t="shared" si="54"/>
        <v>0</v>
      </c>
      <c r="L245" s="104">
        <f t="shared" si="64"/>
        <v>6.5050000000000017</v>
      </c>
      <c r="M245" s="104">
        <f t="shared" si="49"/>
        <v>0.745</v>
      </c>
      <c r="T245" s="1">
        <f t="shared" si="55"/>
        <v>223</v>
      </c>
      <c r="U245" s="14" t="s">
        <v>272</v>
      </c>
      <c r="V245" s="8">
        <v>0</v>
      </c>
      <c r="W245" s="1">
        <f t="shared" si="50"/>
        <v>0</v>
      </c>
      <c r="X245" s="1">
        <f t="shared" si="56"/>
        <v>18.509999999999998</v>
      </c>
      <c r="Y245" s="1">
        <f t="shared" si="57"/>
        <v>18.509999999999998</v>
      </c>
      <c r="AG245" s="1">
        <f t="shared" si="58"/>
        <v>223</v>
      </c>
      <c r="AH245" s="14" t="s">
        <v>272</v>
      </c>
      <c r="AI245" s="8">
        <v>0</v>
      </c>
      <c r="AJ245" s="1">
        <f t="shared" si="51"/>
        <v>0</v>
      </c>
      <c r="AK245" s="1">
        <f t="shared" si="59"/>
        <v>18.509999999999998</v>
      </c>
      <c r="AL245" s="1">
        <f t="shared" si="60"/>
        <v>18.509999999999998</v>
      </c>
      <c r="AS245" s="1">
        <f t="shared" si="61"/>
        <v>223</v>
      </c>
      <c r="AT245" s="14" t="s">
        <v>272</v>
      </c>
      <c r="AU245" s="8">
        <v>0</v>
      </c>
      <c r="AV245" s="1">
        <f t="shared" si="52"/>
        <v>0</v>
      </c>
      <c r="AW245" s="1">
        <f t="shared" si="62"/>
        <v>6.5050000000000017</v>
      </c>
      <c r="AX245" s="1">
        <f t="shared" si="63"/>
        <v>6.5050000000000017</v>
      </c>
    </row>
    <row r="246" spans="8:50">
      <c r="H246" s="1">
        <f t="shared" si="53"/>
        <v>224</v>
      </c>
      <c r="I246" s="14" t="s">
        <v>272</v>
      </c>
      <c r="J246" s="127">
        <f>'Organized Input Output'!D241</f>
        <v>0</v>
      </c>
      <c r="K246" s="104">
        <f t="shared" si="54"/>
        <v>0</v>
      </c>
      <c r="L246" s="104">
        <f t="shared" si="64"/>
        <v>5.7600000000000016</v>
      </c>
      <c r="M246" s="104">
        <f t="shared" ref="M246:M309" si="65">IF(I246="Jan", 0, $D$11)</f>
        <v>0.745</v>
      </c>
      <c r="T246" s="1">
        <f t="shared" si="55"/>
        <v>224</v>
      </c>
      <c r="U246" s="14" t="s">
        <v>272</v>
      </c>
      <c r="V246" s="8">
        <v>0</v>
      </c>
      <c r="W246" s="1">
        <f t="shared" si="50"/>
        <v>0</v>
      </c>
      <c r="X246" s="1">
        <f t="shared" si="56"/>
        <v>17.764999999999997</v>
      </c>
      <c r="Y246" s="1">
        <f t="shared" si="57"/>
        <v>17.764999999999997</v>
      </c>
      <c r="AG246" s="1">
        <f t="shared" si="58"/>
        <v>224</v>
      </c>
      <c r="AH246" s="14" t="s">
        <v>272</v>
      </c>
      <c r="AI246" s="8">
        <v>0</v>
      </c>
      <c r="AJ246" s="1">
        <f t="shared" si="51"/>
        <v>0</v>
      </c>
      <c r="AK246" s="1">
        <f t="shared" si="59"/>
        <v>17.764999999999997</v>
      </c>
      <c r="AL246" s="1">
        <f t="shared" si="60"/>
        <v>17.764999999999997</v>
      </c>
      <c r="AS246" s="1">
        <f t="shared" si="61"/>
        <v>224</v>
      </c>
      <c r="AT246" s="14" t="s">
        <v>272</v>
      </c>
      <c r="AU246" s="8">
        <v>0</v>
      </c>
      <c r="AV246" s="1">
        <f t="shared" si="52"/>
        <v>0</v>
      </c>
      <c r="AW246" s="1">
        <f t="shared" si="62"/>
        <v>5.7600000000000016</v>
      </c>
      <c r="AX246" s="1">
        <f t="shared" si="63"/>
        <v>5.7600000000000016</v>
      </c>
    </row>
    <row r="247" spans="8:50">
      <c r="H247" s="1">
        <f t="shared" si="53"/>
        <v>225</v>
      </c>
      <c r="I247" s="14" t="s">
        <v>272</v>
      </c>
      <c r="J247" s="127">
        <f>'Organized Input Output'!D242</f>
        <v>0</v>
      </c>
      <c r="K247" s="104">
        <f t="shared" si="54"/>
        <v>0</v>
      </c>
      <c r="L247" s="104">
        <f t="shared" si="64"/>
        <v>5.0150000000000015</v>
      </c>
      <c r="M247" s="104">
        <f t="shared" si="65"/>
        <v>0.745</v>
      </c>
      <c r="T247" s="1">
        <f t="shared" si="55"/>
        <v>225</v>
      </c>
      <c r="U247" s="14" t="s">
        <v>272</v>
      </c>
      <c r="V247" s="8">
        <v>0</v>
      </c>
      <c r="W247" s="1">
        <f t="shared" si="50"/>
        <v>0</v>
      </c>
      <c r="X247" s="1">
        <f t="shared" si="56"/>
        <v>17.019999999999996</v>
      </c>
      <c r="Y247" s="1">
        <f t="shared" si="57"/>
        <v>17.019999999999996</v>
      </c>
      <c r="AG247" s="1">
        <f t="shared" si="58"/>
        <v>225</v>
      </c>
      <c r="AH247" s="14" t="s">
        <v>272</v>
      </c>
      <c r="AI247" s="8">
        <v>0</v>
      </c>
      <c r="AJ247" s="1">
        <f t="shared" si="51"/>
        <v>0</v>
      </c>
      <c r="AK247" s="1">
        <f t="shared" si="59"/>
        <v>17.019999999999996</v>
      </c>
      <c r="AL247" s="1">
        <f t="shared" si="60"/>
        <v>17.019999999999996</v>
      </c>
      <c r="AS247" s="1">
        <f t="shared" si="61"/>
        <v>225</v>
      </c>
      <c r="AT247" s="14" t="s">
        <v>272</v>
      </c>
      <c r="AU247" s="8">
        <v>0</v>
      </c>
      <c r="AV247" s="1">
        <f t="shared" si="52"/>
        <v>0</v>
      </c>
      <c r="AW247" s="1">
        <f t="shared" si="62"/>
        <v>5.0150000000000015</v>
      </c>
      <c r="AX247" s="1">
        <f t="shared" si="63"/>
        <v>5.0150000000000015</v>
      </c>
    </row>
    <row r="248" spans="8:50">
      <c r="H248" s="1">
        <f t="shared" si="53"/>
        <v>226</v>
      </c>
      <c r="I248" s="14" t="s">
        <v>272</v>
      </c>
      <c r="J248" s="127">
        <f>'Organized Input Output'!D243</f>
        <v>0</v>
      </c>
      <c r="K248" s="104">
        <f t="shared" si="54"/>
        <v>0</v>
      </c>
      <c r="L248" s="104">
        <f t="shared" si="64"/>
        <v>4.2700000000000014</v>
      </c>
      <c r="M248" s="104">
        <f t="shared" si="65"/>
        <v>0.745</v>
      </c>
      <c r="T248" s="1">
        <f t="shared" si="55"/>
        <v>226</v>
      </c>
      <c r="U248" s="14" t="s">
        <v>272</v>
      </c>
      <c r="V248" s="8">
        <v>9.8000000000000007</v>
      </c>
      <c r="W248" s="1">
        <f t="shared" si="50"/>
        <v>10.780000000000001</v>
      </c>
      <c r="X248" s="1">
        <f t="shared" si="56"/>
        <v>20</v>
      </c>
      <c r="Y248" s="1">
        <f t="shared" si="57"/>
        <v>0</v>
      </c>
      <c r="AG248" s="1">
        <f t="shared" si="58"/>
        <v>226</v>
      </c>
      <c r="AH248" s="14" t="s">
        <v>272</v>
      </c>
      <c r="AI248" s="8">
        <v>0</v>
      </c>
      <c r="AJ248" s="1">
        <f t="shared" si="51"/>
        <v>0</v>
      </c>
      <c r="AK248" s="1">
        <f t="shared" si="59"/>
        <v>16.274999999999995</v>
      </c>
      <c r="AL248" s="1">
        <f t="shared" si="60"/>
        <v>16.274999999999995</v>
      </c>
      <c r="AS248" s="1">
        <f t="shared" si="61"/>
        <v>226</v>
      </c>
      <c r="AT248" s="14" t="s">
        <v>272</v>
      </c>
      <c r="AU248" s="8">
        <v>0</v>
      </c>
      <c r="AV248" s="1">
        <f t="shared" si="52"/>
        <v>0</v>
      </c>
      <c r="AW248" s="1">
        <f t="shared" si="62"/>
        <v>4.2700000000000014</v>
      </c>
      <c r="AX248" s="1">
        <f t="shared" si="63"/>
        <v>4.2700000000000014</v>
      </c>
    </row>
    <row r="249" spans="8:50">
      <c r="H249" s="1">
        <f t="shared" si="53"/>
        <v>227</v>
      </c>
      <c r="I249" s="14" t="s">
        <v>272</v>
      </c>
      <c r="J249" s="127">
        <f>'Organized Input Output'!D244</f>
        <v>0</v>
      </c>
      <c r="K249" s="104">
        <f t="shared" si="54"/>
        <v>0</v>
      </c>
      <c r="L249" s="104">
        <f t="shared" si="64"/>
        <v>3.5250000000000012</v>
      </c>
      <c r="M249" s="104">
        <f t="shared" si="65"/>
        <v>0.745</v>
      </c>
      <c r="T249" s="1">
        <f t="shared" si="55"/>
        <v>227</v>
      </c>
      <c r="U249" s="14" t="s">
        <v>272</v>
      </c>
      <c r="V249" s="8">
        <v>3</v>
      </c>
      <c r="W249" s="1">
        <f t="shared" si="50"/>
        <v>3.3000000000000003</v>
      </c>
      <c r="X249" s="1">
        <f t="shared" si="56"/>
        <v>20</v>
      </c>
      <c r="Y249" s="1">
        <f t="shared" si="57"/>
        <v>0</v>
      </c>
      <c r="AG249" s="1">
        <f t="shared" si="58"/>
        <v>227</v>
      </c>
      <c r="AH249" s="14" t="s">
        <v>272</v>
      </c>
      <c r="AI249" s="8">
        <v>0</v>
      </c>
      <c r="AJ249" s="1">
        <f t="shared" si="51"/>
        <v>0</v>
      </c>
      <c r="AK249" s="1">
        <f t="shared" si="59"/>
        <v>15.529999999999996</v>
      </c>
      <c r="AL249" s="1">
        <f t="shared" si="60"/>
        <v>15.529999999999996</v>
      </c>
      <c r="AS249" s="1">
        <f t="shared" si="61"/>
        <v>227</v>
      </c>
      <c r="AT249" s="14" t="s">
        <v>272</v>
      </c>
      <c r="AU249" s="8">
        <v>0</v>
      </c>
      <c r="AV249" s="1">
        <f t="shared" si="52"/>
        <v>0</v>
      </c>
      <c r="AW249" s="1">
        <f t="shared" si="62"/>
        <v>3.5250000000000012</v>
      </c>
      <c r="AX249" s="1">
        <f t="shared" si="63"/>
        <v>3.5250000000000012</v>
      </c>
    </row>
    <row r="250" spans="8:50">
      <c r="H250" s="1">
        <f t="shared" si="53"/>
        <v>228</v>
      </c>
      <c r="I250" s="14" t="s">
        <v>272</v>
      </c>
      <c r="J250" s="127">
        <f>'Organized Input Output'!D245</f>
        <v>0</v>
      </c>
      <c r="K250" s="104">
        <f t="shared" si="54"/>
        <v>0</v>
      </c>
      <c r="L250" s="104">
        <f t="shared" si="64"/>
        <v>2.7800000000000011</v>
      </c>
      <c r="M250" s="104">
        <f t="shared" si="65"/>
        <v>0.745</v>
      </c>
      <c r="T250" s="1">
        <f t="shared" si="55"/>
        <v>228</v>
      </c>
      <c r="U250" s="14" t="s">
        <v>272</v>
      </c>
      <c r="V250" s="8">
        <v>0</v>
      </c>
      <c r="W250" s="1">
        <f t="shared" si="50"/>
        <v>0</v>
      </c>
      <c r="X250" s="1">
        <f t="shared" si="56"/>
        <v>19.254999999999999</v>
      </c>
      <c r="Y250" s="1">
        <f t="shared" si="57"/>
        <v>19.254999999999999</v>
      </c>
      <c r="AG250" s="1">
        <f t="shared" si="58"/>
        <v>228</v>
      </c>
      <c r="AH250" s="14" t="s">
        <v>272</v>
      </c>
      <c r="AI250" s="8">
        <v>0</v>
      </c>
      <c r="AJ250" s="1">
        <f t="shared" si="51"/>
        <v>0</v>
      </c>
      <c r="AK250" s="1">
        <f t="shared" si="59"/>
        <v>14.784999999999997</v>
      </c>
      <c r="AL250" s="1">
        <f t="shared" si="60"/>
        <v>14.784999999999997</v>
      </c>
      <c r="AS250" s="1">
        <f t="shared" si="61"/>
        <v>228</v>
      </c>
      <c r="AT250" s="14" t="s">
        <v>272</v>
      </c>
      <c r="AU250" s="8">
        <v>0</v>
      </c>
      <c r="AV250" s="1">
        <f t="shared" si="52"/>
        <v>0</v>
      </c>
      <c r="AW250" s="1">
        <f t="shared" si="62"/>
        <v>2.7800000000000011</v>
      </c>
      <c r="AX250" s="1">
        <f t="shared" si="63"/>
        <v>2.7800000000000011</v>
      </c>
    </row>
    <row r="251" spans="8:50">
      <c r="H251" s="1">
        <f t="shared" si="53"/>
        <v>229</v>
      </c>
      <c r="I251" s="14" t="s">
        <v>272</v>
      </c>
      <c r="J251" s="127">
        <f>'Organized Input Output'!D246</f>
        <v>0</v>
      </c>
      <c r="K251" s="104">
        <f t="shared" si="54"/>
        <v>0</v>
      </c>
      <c r="L251" s="104">
        <f t="shared" si="64"/>
        <v>2.035000000000001</v>
      </c>
      <c r="M251" s="104">
        <f t="shared" si="65"/>
        <v>0.745</v>
      </c>
      <c r="T251" s="1">
        <f t="shared" si="55"/>
        <v>229</v>
      </c>
      <c r="U251" s="14" t="s">
        <v>272</v>
      </c>
      <c r="V251" s="8">
        <v>0</v>
      </c>
      <c r="W251" s="1">
        <f t="shared" si="50"/>
        <v>0</v>
      </c>
      <c r="X251" s="1">
        <f t="shared" si="56"/>
        <v>18.509999999999998</v>
      </c>
      <c r="Y251" s="1">
        <f t="shared" si="57"/>
        <v>18.509999999999998</v>
      </c>
      <c r="AG251" s="1">
        <f t="shared" si="58"/>
        <v>229</v>
      </c>
      <c r="AH251" s="14" t="s">
        <v>272</v>
      </c>
      <c r="AI251" s="8">
        <v>0</v>
      </c>
      <c r="AJ251" s="1">
        <f t="shared" si="51"/>
        <v>0</v>
      </c>
      <c r="AK251" s="1">
        <f t="shared" si="59"/>
        <v>14.039999999999997</v>
      </c>
      <c r="AL251" s="1">
        <f t="shared" si="60"/>
        <v>14.039999999999997</v>
      </c>
      <c r="AS251" s="1">
        <f t="shared" si="61"/>
        <v>229</v>
      </c>
      <c r="AT251" s="14" t="s">
        <v>272</v>
      </c>
      <c r="AU251" s="8">
        <v>0</v>
      </c>
      <c r="AV251" s="1">
        <f t="shared" si="52"/>
        <v>0</v>
      </c>
      <c r="AW251" s="1">
        <f t="shared" si="62"/>
        <v>2.035000000000001</v>
      </c>
      <c r="AX251" s="1">
        <f t="shared" si="63"/>
        <v>2.035000000000001</v>
      </c>
    </row>
    <row r="252" spans="8:50">
      <c r="H252" s="1">
        <f t="shared" si="53"/>
        <v>230</v>
      </c>
      <c r="I252" s="14" t="s">
        <v>272</v>
      </c>
      <c r="J252" s="127">
        <f>'Organized Input Output'!D247</f>
        <v>0</v>
      </c>
      <c r="K252" s="104">
        <f t="shared" si="54"/>
        <v>0</v>
      </c>
      <c r="L252" s="104">
        <f t="shared" si="64"/>
        <v>1.2900000000000009</v>
      </c>
      <c r="M252" s="104">
        <f t="shared" si="65"/>
        <v>0.745</v>
      </c>
      <c r="T252" s="1">
        <f t="shared" si="55"/>
        <v>230</v>
      </c>
      <c r="U252" s="14" t="s">
        <v>272</v>
      </c>
      <c r="V252" s="8">
        <v>0</v>
      </c>
      <c r="W252" s="1">
        <f t="shared" si="50"/>
        <v>0</v>
      </c>
      <c r="X252" s="1">
        <f t="shared" si="56"/>
        <v>17.764999999999997</v>
      </c>
      <c r="Y252" s="1">
        <f t="shared" si="57"/>
        <v>17.764999999999997</v>
      </c>
      <c r="AG252" s="1">
        <f t="shared" si="58"/>
        <v>230</v>
      </c>
      <c r="AH252" s="14" t="s">
        <v>272</v>
      </c>
      <c r="AI252" s="8">
        <v>0</v>
      </c>
      <c r="AJ252" s="1">
        <f t="shared" si="51"/>
        <v>0</v>
      </c>
      <c r="AK252" s="1">
        <f t="shared" si="59"/>
        <v>13.294999999999998</v>
      </c>
      <c r="AL252" s="1">
        <f t="shared" si="60"/>
        <v>13.294999999999998</v>
      </c>
      <c r="AS252" s="1">
        <f t="shared" si="61"/>
        <v>230</v>
      </c>
      <c r="AT252" s="14" t="s">
        <v>272</v>
      </c>
      <c r="AU252" s="8">
        <v>0</v>
      </c>
      <c r="AV252" s="1">
        <f t="shared" si="52"/>
        <v>0</v>
      </c>
      <c r="AW252" s="1">
        <f t="shared" si="62"/>
        <v>1.2900000000000009</v>
      </c>
      <c r="AX252" s="1">
        <f t="shared" si="63"/>
        <v>1.2900000000000009</v>
      </c>
    </row>
    <row r="253" spans="8:50">
      <c r="H253" s="1">
        <f t="shared" si="53"/>
        <v>231</v>
      </c>
      <c r="I253" s="14" t="s">
        <v>272</v>
      </c>
      <c r="J253" s="127">
        <f>'Organized Input Output'!D248</f>
        <v>0</v>
      </c>
      <c r="K253" s="104">
        <f t="shared" si="54"/>
        <v>0</v>
      </c>
      <c r="L253" s="104">
        <f t="shared" si="64"/>
        <v>0.54500000000000093</v>
      </c>
      <c r="M253" s="104">
        <f t="shared" si="65"/>
        <v>0.745</v>
      </c>
      <c r="T253" s="1">
        <f t="shared" si="55"/>
        <v>231</v>
      </c>
      <c r="U253" s="14" t="s">
        <v>272</v>
      </c>
      <c r="V253" s="8">
        <v>0</v>
      </c>
      <c r="W253" s="1">
        <f t="shared" si="50"/>
        <v>0</v>
      </c>
      <c r="X253" s="1">
        <f t="shared" si="56"/>
        <v>17.019999999999996</v>
      </c>
      <c r="Y253" s="1">
        <f t="shared" si="57"/>
        <v>17.019999999999996</v>
      </c>
      <c r="AG253" s="1">
        <f t="shared" si="58"/>
        <v>231</v>
      </c>
      <c r="AH253" s="14" t="s">
        <v>272</v>
      </c>
      <c r="AI253" s="8">
        <v>0</v>
      </c>
      <c r="AJ253" s="1">
        <f t="shared" si="51"/>
        <v>0</v>
      </c>
      <c r="AK253" s="1">
        <f t="shared" si="59"/>
        <v>12.549999999999999</v>
      </c>
      <c r="AL253" s="1">
        <f t="shared" si="60"/>
        <v>12.549999999999999</v>
      </c>
      <c r="AS253" s="1">
        <f t="shared" si="61"/>
        <v>231</v>
      </c>
      <c r="AT253" s="14" t="s">
        <v>272</v>
      </c>
      <c r="AU253" s="8">
        <v>0</v>
      </c>
      <c r="AV253" s="1">
        <f t="shared" si="52"/>
        <v>0</v>
      </c>
      <c r="AW253" s="1">
        <f t="shared" si="62"/>
        <v>0.54500000000000093</v>
      </c>
      <c r="AX253" s="1">
        <f t="shared" si="63"/>
        <v>0.54500000000000093</v>
      </c>
    </row>
    <row r="254" spans="8:50">
      <c r="H254" s="1">
        <f t="shared" si="53"/>
        <v>232</v>
      </c>
      <c r="I254" s="14" t="s">
        <v>272</v>
      </c>
      <c r="J254" s="127">
        <f>'Organized Input Output'!D249</f>
        <v>0</v>
      </c>
      <c r="K254" s="104">
        <f t="shared" si="54"/>
        <v>0</v>
      </c>
      <c r="L254" s="104">
        <f t="shared" si="64"/>
        <v>0</v>
      </c>
      <c r="M254" s="104">
        <f t="shared" si="65"/>
        <v>0.745</v>
      </c>
      <c r="T254" s="1">
        <f t="shared" si="55"/>
        <v>232</v>
      </c>
      <c r="U254" s="14" t="s">
        <v>272</v>
      </c>
      <c r="V254" s="8">
        <v>0</v>
      </c>
      <c r="W254" s="1">
        <f t="shared" si="50"/>
        <v>0</v>
      </c>
      <c r="X254" s="1">
        <f t="shared" si="56"/>
        <v>16.274999999999995</v>
      </c>
      <c r="Y254" s="1">
        <f t="shared" si="57"/>
        <v>16.274999999999995</v>
      </c>
      <c r="AG254" s="1">
        <f t="shared" si="58"/>
        <v>232</v>
      </c>
      <c r="AH254" s="14" t="s">
        <v>272</v>
      </c>
      <c r="AI254" s="8">
        <v>0</v>
      </c>
      <c r="AJ254" s="1">
        <f t="shared" si="51"/>
        <v>0</v>
      </c>
      <c r="AK254" s="1">
        <f t="shared" si="59"/>
        <v>11.805</v>
      </c>
      <c r="AL254" s="1">
        <f t="shared" si="60"/>
        <v>11.805</v>
      </c>
      <c r="AS254" s="1">
        <f t="shared" si="61"/>
        <v>232</v>
      </c>
      <c r="AT254" s="14" t="s">
        <v>272</v>
      </c>
      <c r="AU254" s="8">
        <v>0</v>
      </c>
      <c r="AV254" s="1">
        <f t="shared" si="52"/>
        <v>0</v>
      </c>
      <c r="AW254" s="1">
        <f t="shared" si="62"/>
        <v>0</v>
      </c>
      <c r="AX254" s="1">
        <f t="shared" si="63"/>
        <v>0</v>
      </c>
    </row>
    <row r="255" spans="8:50">
      <c r="H255" s="1">
        <f t="shared" si="53"/>
        <v>233</v>
      </c>
      <c r="I255" s="14" t="s">
        <v>272</v>
      </c>
      <c r="J255" s="127">
        <f>'Organized Input Output'!D250</f>
        <v>0</v>
      </c>
      <c r="K255" s="104">
        <f t="shared" si="54"/>
        <v>0</v>
      </c>
      <c r="L255" s="104">
        <f t="shared" si="64"/>
        <v>0</v>
      </c>
      <c r="M255" s="104">
        <f t="shared" si="65"/>
        <v>0.745</v>
      </c>
      <c r="T255" s="1">
        <f t="shared" si="55"/>
        <v>233</v>
      </c>
      <c r="U255" s="14" t="s">
        <v>272</v>
      </c>
      <c r="V255" s="8">
        <v>0</v>
      </c>
      <c r="W255" s="1">
        <f t="shared" si="50"/>
        <v>0</v>
      </c>
      <c r="X255" s="1">
        <f t="shared" si="56"/>
        <v>15.529999999999996</v>
      </c>
      <c r="Y255" s="1">
        <f t="shared" si="57"/>
        <v>15.529999999999996</v>
      </c>
      <c r="AG255" s="1">
        <f t="shared" si="58"/>
        <v>233</v>
      </c>
      <c r="AH255" s="14" t="s">
        <v>272</v>
      </c>
      <c r="AI255" s="8">
        <v>0</v>
      </c>
      <c r="AJ255" s="1">
        <f t="shared" si="51"/>
        <v>0</v>
      </c>
      <c r="AK255" s="1">
        <f t="shared" si="59"/>
        <v>11.06</v>
      </c>
      <c r="AL255" s="1">
        <f t="shared" si="60"/>
        <v>11.06</v>
      </c>
      <c r="AS255" s="1">
        <f t="shared" si="61"/>
        <v>233</v>
      </c>
      <c r="AT255" s="14" t="s">
        <v>272</v>
      </c>
      <c r="AU255" s="8">
        <v>0</v>
      </c>
      <c r="AV255" s="1">
        <f t="shared" si="52"/>
        <v>0</v>
      </c>
      <c r="AW255" s="1">
        <f t="shared" si="62"/>
        <v>0</v>
      </c>
      <c r="AX255" s="1">
        <f t="shared" si="63"/>
        <v>0</v>
      </c>
    </row>
    <row r="256" spans="8:50">
      <c r="H256" s="1">
        <f t="shared" si="53"/>
        <v>234</v>
      </c>
      <c r="I256" s="14" t="s">
        <v>272</v>
      </c>
      <c r="J256" s="127">
        <f>'Organized Input Output'!D251</f>
        <v>0</v>
      </c>
      <c r="K256" s="104">
        <f t="shared" si="54"/>
        <v>0</v>
      </c>
      <c r="L256" s="104">
        <f t="shared" si="64"/>
        <v>0</v>
      </c>
      <c r="M256" s="104">
        <f t="shared" si="65"/>
        <v>0.745</v>
      </c>
      <c r="T256" s="1">
        <f t="shared" si="55"/>
        <v>234</v>
      </c>
      <c r="U256" s="14" t="s">
        <v>272</v>
      </c>
      <c r="V256" s="8">
        <v>0</v>
      </c>
      <c r="W256" s="1">
        <f t="shared" si="50"/>
        <v>0</v>
      </c>
      <c r="X256" s="1">
        <f t="shared" si="56"/>
        <v>14.784999999999997</v>
      </c>
      <c r="Y256" s="1">
        <f t="shared" si="57"/>
        <v>14.784999999999997</v>
      </c>
      <c r="AD256" s="20"/>
      <c r="AE256" s="20"/>
      <c r="AF256" s="20"/>
      <c r="AG256" s="20">
        <f t="shared" si="58"/>
        <v>234</v>
      </c>
      <c r="AH256" s="21" t="s">
        <v>272</v>
      </c>
      <c r="AI256" s="23">
        <v>0</v>
      </c>
      <c r="AJ256" s="20">
        <f t="shared" si="51"/>
        <v>0</v>
      </c>
      <c r="AK256" s="20">
        <f t="shared" si="59"/>
        <v>10.315000000000001</v>
      </c>
      <c r="AL256" s="1">
        <f t="shared" si="60"/>
        <v>10.315000000000001</v>
      </c>
      <c r="AM256" s="20"/>
      <c r="AS256" s="1">
        <f t="shared" si="61"/>
        <v>234</v>
      </c>
      <c r="AT256" s="14" t="s">
        <v>272</v>
      </c>
      <c r="AU256" s="8">
        <v>0</v>
      </c>
      <c r="AV256" s="1">
        <f t="shared" si="52"/>
        <v>0</v>
      </c>
      <c r="AW256" s="1">
        <f t="shared" si="62"/>
        <v>0</v>
      </c>
      <c r="AX256" s="1">
        <f t="shared" si="63"/>
        <v>0</v>
      </c>
    </row>
    <row r="257" spans="8:50">
      <c r="H257" s="1">
        <f t="shared" si="53"/>
        <v>235</v>
      </c>
      <c r="I257" s="14" t="s">
        <v>272</v>
      </c>
      <c r="J257" s="127">
        <f>'Organized Input Output'!D252</f>
        <v>0</v>
      </c>
      <c r="K257" s="104">
        <f t="shared" si="54"/>
        <v>0</v>
      </c>
      <c r="L257" s="104">
        <f t="shared" si="64"/>
        <v>0</v>
      </c>
      <c r="M257" s="104">
        <f t="shared" si="65"/>
        <v>0.745</v>
      </c>
      <c r="T257" s="1">
        <f t="shared" si="55"/>
        <v>235</v>
      </c>
      <c r="U257" s="14" t="s">
        <v>272</v>
      </c>
      <c r="V257" s="8">
        <v>0</v>
      </c>
      <c r="W257" s="1">
        <f t="shared" si="50"/>
        <v>0</v>
      </c>
      <c r="X257" s="1">
        <f t="shared" si="56"/>
        <v>14.039999999999997</v>
      </c>
      <c r="Y257" s="1">
        <f t="shared" si="57"/>
        <v>14.039999999999997</v>
      </c>
      <c r="AD257" s="20"/>
      <c r="AE257" s="20"/>
      <c r="AF257" s="20"/>
      <c r="AG257" s="20">
        <f t="shared" si="58"/>
        <v>235</v>
      </c>
      <c r="AH257" s="21" t="s">
        <v>272</v>
      </c>
      <c r="AI257" s="23">
        <v>0</v>
      </c>
      <c r="AJ257" s="20">
        <f t="shared" si="51"/>
        <v>0</v>
      </c>
      <c r="AK257" s="20">
        <f t="shared" si="59"/>
        <v>9.5700000000000021</v>
      </c>
      <c r="AL257" s="1">
        <f t="shared" si="60"/>
        <v>9.5700000000000021</v>
      </c>
      <c r="AM257" s="20"/>
      <c r="AS257" s="1">
        <f t="shared" si="61"/>
        <v>235</v>
      </c>
      <c r="AT257" s="14" t="s">
        <v>272</v>
      </c>
      <c r="AU257" s="8">
        <v>0</v>
      </c>
      <c r="AV257" s="1">
        <f t="shared" si="52"/>
        <v>0</v>
      </c>
      <c r="AW257" s="1">
        <f t="shared" si="62"/>
        <v>0</v>
      </c>
      <c r="AX257" s="1">
        <f t="shared" si="63"/>
        <v>0</v>
      </c>
    </row>
    <row r="258" spans="8:50">
      <c r="H258" s="1">
        <f t="shared" si="53"/>
        <v>236</v>
      </c>
      <c r="I258" s="14" t="s">
        <v>272</v>
      </c>
      <c r="J258" s="127">
        <f>'Organized Input Output'!D253</f>
        <v>0</v>
      </c>
      <c r="K258" s="104">
        <f t="shared" si="54"/>
        <v>0</v>
      </c>
      <c r="L258" s="104">
        <f t="shared" si="64"/>
        <v>0</v>
      </c>
      <c r="M258" s="104">
        <f t="shared" si="65"/>
        <v>0.745</v>
      </c>
      <c r="T258" s="1">
        <f t="shared" si="55"/>
        <v>236</v>
      </c>
      <c r="U258" s="14" t="s">
        <v>272</v>
      </c>
      <c r="V258" s="8">
        <v>0</v>
      </c>
      <c r="W258" s="1">
        <f t="shared" si="50"/>
        <v>0</v>
      </c>
      <c r="X258" s="1">
        <f t="shared" si="56"/>
        <v>13.294999999999998</v>
      </c>
      <c r="Y258" s="1">
        <f t="shared" si="57"/>
        <v>13.294999999999998</v>
      </c>
      <c r="AD258" s="20"/>
      <c r="AE258" s="20"/>
      <c r="AF258" s="20"/>
      <c r="AG258" s="20">
        <f t="shared" si="58"/>
        <v>236</v>
      </c>
      <c r="AH258" s="21" t="s">
        <v>272</v>
      </c>
      <c r="AI258" s="23">
        <v>0</v>
      </c>
      <c r="AJ258" s="20">
        <f t="shared" si="51"/>
        <v>0</v>
      </c>
      <c r="AK258" s="20">
        <f t="shared" si="59"/>
        <v>8.8250000000000028</v>
      </c>
      <c r="AL258" s="1">
        <f t="shared" si="60"/>
        <v>8.8250000000000028</v>
      </c>
      <c r="AM258" s="20"/>
      <c r="AS258" s="1">
        <f t="shared" si="61"/>
        <v>236</v>
      </c>
      <c r="AT258" s="14" t="s">
        <v>272</v>
      </c>
      <c r="AU258" s="8">
        <v>0</v>
      </c>
      <c r="AV258" s="1">
        <f t="shared" si="52"/>
        <v>0</v>
      </c>
      <c r="AW258" s="1">
        <f t="shared" si="62"/>
        <v>0</v>
      </c>
      <c r="AX258" s="1">
        <f t="shared" si="63"/>
        <v>0</v>
      </c>
    </row>
    <row r="259" spans="8:50">
      <c r="H259" s="1">
        <f t="shared" si="53"/>
        <v>237</v>
      </c>
      <c r="I259" s="14" t="s">
        <v>272</v>
      </c>
      <c r="J259" s="127">
        <f>'Organized Input Output'!D254</f>
        <v>0</v>
      </c>
      <c r="K259" s="104">
        <f t="shared" si="54"/>
        <v>0</v>
      </c>
      <c r="L259" s="104">
        <f t="shared" si="64"/>
        <v>0</v>
      </c>
      <c r="M259" s="104">
        <f t="shared" si="65"/>
        <v>0.745</v>
      </c>
      <c r="T259" s="1">
        <f t="shared" si="55"/>
        <v>237</v>
      </c>
      <c r="U259" s="14" t="s">
        <v>272</v>
      </c>
      <c r="V259" s="8">
        <v>0</v>
      </c>
      <c r="W259" s="1">
        <f t="shared" si="50"/>
        <v>0</v>
      </c>
      <c r="X259" s="1">
        <f t="shared" si="56"/>
        <v>12.549999999999999</v>
      </c>
      <c r="Y259" s="1">
        <f t="shared" si="57"/>
        <v>12.549999999999999</v>
      </c>
      <c r="AD259" s="20"/>
      <c r="AE259" s="20"/>
      <c r="AF259" s="20"/>
      <c r="AG259" s="20">
        <f t="shared" si="58"/>
        <v>237</v>
      </c>
      <c r="AH259" s="21" t="s">
        <v>272</v>
      </c>
      <c r="AI259" s="23">
        <v>0</v>
      </c>
      <c r="AJ259" s="20">
        <f t="shared" si="51"/>
        <v>0</v>
      </c>
      <c r="AK259" s="20">
        <f t="shared" si="59"/>
        <v>8.0800000000000036</v>
      </c>
      <c r="AL259" s="1">
        <f t="shared" si="60"/>
        <v>8.0800000000000036</v>
      </c>
      <c r="AM259" s="20"/>
      <c r="AS259" s="1">
        <f t="shared" si="61"/>
        <v>237</v>
      </c>
      <c r="AT259" s="14" t="s">
        <v>272</v>
      </c>
      <c r="AU259" s="8">
        <v>0</v>
      </c>
      <c r="AV259" s="1">
        <f t="shared" si="52"/>
        <v>0</v>
      </c>
      <c r="AW259" s="1">
        <f t="shared" si="62"/>
        <v>0</v>
      </c>
      <c r="AX259" s="1">
        <f t="shared" si="63"/>
        <v>0</v>
      </c>
    </row>
    <row r="260" spans="8:50">
      <c r="H260" s="1">
        <f t="shared" si="53"/>
        <v>238</v>
      </c>
      <c r="I260" s="14" t="s">
        <v>272</v>
      </c>
      <c r="J260" s="127">
        <f>'Organized Input Output'!D255</f>
        <v>0</v>
      </c>
      <c r="K260" s="104">
        <f t="shared" si="54"/>
        <v>0</v>
      </c>
      <c r="L260" s="104">
        <f t="shared" si="64"/>
        <v>0</v>
      </c>
      <c r="M260" s="104">
        <f t="shared" si="65"/>
        <v>0.745</v>
      </c>
      <c r="T260" s="1">
        <f t="shared" si="55"/>
        <v>238</v>
      </c>
      <c r="U260" s="14" t="s">
        <v>272</v>
      </c>
      <c r="V260" s="8">
        <v>0</v>
      </c>
      <c r="W260" s="1">
        <f t="shared" si="50"/>
        <v>0</v>
      </c>
      <c r="X260" s="1">
        <f t="shared" si="56"/>
        <v>11.805</v>
      </c>
      <c r="Y260" s="1">
        <f t="shared" si="57"/>
        <v>11.805</v>
      </c>
      <c r="AD260" s="20"/>
      <c r="AE260" s="20"/>
      <c r="AF260" s="20"/>
      <c r="AG260" s="20">
        <f t="shared" si="58"/>
        <v>238</v>
      </c>
      <c r="AH260" s="21" t="s">
        <v>272</v>
      </c>
      <c r="AI260" s="23">
        <v>0</v>
      </c>
      <c r="AJ260" s="20">
        <f t="shared" si="51"/>
        <v>0</v>
      </c>
      <c r="AK260" s="20">
        <f t="shared" si="59"/>
        <v>7.3350000000000035</v>
      </c>
      <c r="AL260" s="1">
        <f t="shared" si="60"/>
        <v>7.3350000000000035</v>
      </c>
      <c r="AM260" s="20"/>
      <c r="AS260" s="1">
        <f t="shared" si="61"/>
        <v>238</v>
      </c>
      <c r="AT260" s="14" t="s">
        <v>272</v>
      </c>
      <c r="AU260" s="8">
        <v>0</v>
      </c>
      <c r="AV260" s="1">
        <f t="shared" si="52"/>
        <v>0</v>
      </c>
      <c r="AW260" s="1">
        <f t="shared" si="62"/>
        <v>0</v>
      </c>
      <c r="AX260" s="1">
        <f t="shared" si="63"/>
        <v>0</v>
      </c>
    </row>
    <row r="261" spans="8:50">
      <c r="H261" s="1">
        <f t="shared" si="53"/>
        <v>239</v>
      </c>
      <c r="I261" s="14" t="s">
        <v>272</v>
      </c>
      <c r="J261" s="127">
        <f>'Organized Input Output'!D256</f>
        <v>0</v>
      </c>
      <c r="K261" s="104">
        <f t="shared" si="54"/>
        <v>0</v>
      </c>
      <c r="L261" s="104">
        <f t="shared" si="64"/>
        <v>0</v>
      </c>
      <c r="M261" s="104">
        <f t="shared" si="65"/>
        <v>0.745</v>
      </c>
      <c r="T261" s="1">
        <f t="shared" si="55"/>
        <v>239</v>
      </c>
      <c r="U261" s="14" t="s">
        <v>272</v>
      </c>
      <c r="V261" s="8">
        <v>3</v>
      </c>
      <c r="W261" s="1">
        <f t="shared" si="50"/>
        <v>3.3000000000000003</v>
      </c>
      <c r="X261" s="1">
        <f t="shared" si="56"/>
        <v>14.360000000000001</v>
      </c>
      <c r="Y261" s="1">
        <f t="shared" si="57"/>
        <v>0</v>
      </c>
      <c r="AD261" s="20"/>
      <c r="AE261" s="20"/>
      <c r="AF261" s="20"/>
      <c r="AG261" s="20">
        <f t="shared" si="58"/>
        <v>239</v>
      </c>
      <c r="AH261" s="21" t="s">
        <v>272</v>
      </c>
      <c r="AI261" s="23">
        <v>2.8</v>
      </c>
      <c r="AJ261" s="20">
        <f t="shared" si="51"/>
        <v>3.08</v>
      </c>
      <c r="AK261" s="20">
        <f t="shared" si="59"/>
        <v>9.6700000000000035</v>
      </c>
      <c r="AL261" s="1">
        <f t="shared" si="60"/>
        <v>0</v>
      </c>
      <c r="AM261" s="20"/>
      <c r="AS261" s="1">
        <f t="shared" si="61"/>
        <v>239</v>
      </c>
      <c r="AT261" s="14" t="s">
        <v>272</v>
      </c>
      <c r="AU261" s="8">
        <v>0</v>
      </c>
      <c r="AV261" s="1">
        <f t="shared" si="52"/>
        <v>0</v>
      </c>
      <c r="AW261" s="1">
        <f t="shared" si="62"/>
        <v>0</v>
      </c>
      <c r="AX261" s="1">
        <f t="shared" si="63"/>
        <v>0</v>
      </c>
    </row>
    <row r="262" spans="8:50">
      <c r="H262" s="1">
        <f t="shared" si="53"/>
        <v>240</v>
      </c>
      <c r="I262" s="14" t="s">
        <v>272</v>
      </c>
      <c r="J262" s="127">
        <f>'Organized Input Output'!D257</f>
        <v>0.4</v>
      </c>
      <c r="K262" s="104">
        <f t="shared" si="54"/>
        <v>0.44</v>
      </c>
      <c r="L262" s="104">
        <f t="shared" si="64"/>
        <v>0</v>
      </c>
      <c r="M262" s="104">
        <f t="shared" si="65"/>
        <v>0.745</v>
      </c>
      <c r="T262" s="1">
        <f t="shared" si="55"/>
        <v>240</v>
      </c>
      <c r="U262" s="14" t="s">
        <v>272</v>
      </c>
      <c r="V262" s="8">
        <v>6.8</v>
      </c>
      <c r="W262" s="1">
        <f t="shared" si="50"/>
        <v>7.4799999999999995</v>
      </c>
      <c r="X262" s="1">
        <f t="shared" si="56"/>
        <v>20</v>
      </c>
      <c r="Y262" s="1">
        <f t="shared" si="57"/>
        <v>0</v>
      </c>
      <c r="AG262" s="1">
        <f t="shared" si="58"/>
        <v>240</v>
      </c>
      <c r="AH262" s="14" t="s">
        <v>272</v>
      </c>
      <c r="AI262" s="8">
        <v>10.4</v>
      </c>
      <c r="AJ262" s="1">
        <f t="shared" si="51"/>
        <v>11.44</v>
      </c>
      <c r="AK262" s="1">
        <f t="shared" si="59"/>
        <v>20</v>
      </c>
      <c r="AL262" s="1">
        <f t="shared" si="60"/>
        <v>0</v>
      </c>
      <c r="AS262" s="1">
        <f t="shared" si="61"/>
        <v>240</v>
      </c>
      <c r="AT262" s="14" t="s">
        <v>272</v>
      </c>
      <c r="AU262" s="8">
        <v>0.4</v>
      </c>
      <c r="AV262" s="1">
        <f t="shared" si="52"/>
        <v>0.44</v>
      </c>
      <c r="AW262" s="1">
        <f t="shared" si="62"/>
        <v>0</v>
      </c>
      <c r="AX262" s="1">
        <f t="shared" si="63"/>
        <v>0</v>
      </c>
    </row>
    <row r="263" spans="8:50">
      <c r="H263" s="1">
        <f t="shared" si="53"/>
        <v>241</v>
      </c>
      <c r="I263" s="14" t="s">
        <v>272</v>
      </c>
      <c r="J263" s="127">
        <f>'Organized Input Output'!D258</f>
        <v>7.8</v>
      </c>
      <c r="K263" s="104">
        <f t="shared" si="54"/>
        <v>8.58</v>
      </c>
      <c r="L263" s="104">
        <f t="shared" si="64"/>
        <v>7.835</v>
      </c>
      <c r="M263" s="104">
        <f t="shared" si="65"/>
        <v>0.745</v>
      </c>
      <c r="T263" s="1">
        <f t="shared" si="55"/>
        <v>241</v>
      </c>
      <c r="U263" s="14" t="s">
        <v>272</v>
      </c>
      <c r="V263" s="8">
        <v>16.2</v>
      </c>
      <c r="W263" s="1">
        <f t="shared" si="50"/>
        <v>17.82</v>
      </c>
      <c r="X263" s="1">
        <f t="shared" si="56"/>
        <v>20</v>
      </c>
      <c r="Y263" s="1">
        <f t="shared" si="57"/>
        <v>0</v>
      </c>
      <c r="AG263" s="1">
        <f t="shared" si="58"/>
        <v>241</v>
      </c>
      <c r="AH263" s="14" t="s">
        <v>272</v>
      </c>
      <c r="AI263" s="8">
        <v>33.4</v>
      </c>
      <c r="AJ263" s="1">
        <f t="shared" si="51"/>
        <v>36.74</v>
      </c>
      <c r="AK263" s="1">
        <f t="shared" si="59"/>
        <v>20</v>
      </c>
      <c r="AL263" s="1">
        <f t="shared" si="60"/>
        <v>0</v>
      </c>
      <c r="AS263" s="1">
        <f t="shared" si="61"/>
        <v>241</v>
      </c>
      <c r="AT263" s="14" t="s">
        <v>272</v>
      </c>
      <c r="AU263" s="8">
        <v>7.8</v>
      </c>
      <c r="AV263" s="1">
        <f t="shared" si="52"/>
        <v>8.58</v>
      </c>
      <c r="AW263" s="1">
        <f t="shared" si="62"/>
        <v>7.835</v>
      </c>
      <c r="AX263" s="1">
        <f t="shared" si="63"/>
        <v>0</v>
      </c>
    </row>
    <row r="264" spans="8:50">
      <c r="H264" s="1">
        <f t="shared" si="53"/>
        <v>242</v>
      </c>
      <c r="I264" s="14" t="s">
        <v>272</v>
      </c>
      <c r="J264" s="127">
        <f>'Organized Input Output'!D259</f>
        <v>3.6</v>
      </c>
      <c r="K264" s="104">
        <f t="shared" si="54"/>
        <v>3.96</v>
      </c>
      <c r="L264" s="104">
        <f t="shared" si="64"/>
        <v>11.05</v>
      </c>
      <c r="M264" s="104">
        <f t="shared" si="65"/>
        <v>0.745</v>
      </c>
      <c r="T264" s="1">
        <f t="shared" si="55"/>
        <v>242</v>
      </c>
      <c r="U264" s="14" t="s">
        <v>272</v>
      </c>
      <c r="V264" s="8">
        <v>6.2</v>
      </c>
      <c r="W264" s="1">
        <f t="shared" si="50"/>
        <v>6.8199999999999994</v>
      </c>
      <c r="X264" s="1">
        <f t="shared" si="56"/>
        <v>20</v>
      </c>
      <c r="Y264" s="1">
        <f t="shared" si="57"/>
        <v>0</v>
      </c>
      <c r="AG264" s="1">
        <f t="shared" si="58"/>
        <v>242</v>
      </c>
      <c r="AH264" s="14" t="s">
        <v>272</v>
      </c>
      <c r="AI264" s="8">
        <v>26</v>
      </c>
      <c r="AJ264" s="1">
        <f t="shared" si="51"/>
        <v>28.599999999999998</v>
      </c>
      <c r="AK264" s="1">
        <f t="shared" si="59"/>
        <v>20</v>
      </c>
      <c r="AL264" s="1">
        <f t="shared" si="60"/>
        <v>0</v>
      </c>
      <c r="AS264" s="1">
        <f t="shared" si="61"/>
        <v>242</v>
      </c>
      <c r="AT264" s="14" t="s">
        <v>272</v>
      </c>
      <c r="AU264" s="8">
        <v>3.6</v>
      </c>
      <c r="AV264" s="1">
        <f t="shared" si="52"/>
        <v>3.96</v>
      </c>
      <c r="AW264" s="1">
        <f t="shared" si="62"/>
        <v>11.05</v>
      </c>
      <c r="AX264" s="1">
        <f t="shared" si="63"/>
        <v>0</v>
      </c>
    </row>
    <row r="265" spans="8:50">
      <c r="H265" s="1">
        <f t="shared" si="53"/>
        <v>243</v>
      </c>
      <c r="I265" s="14" t="s">
        <v>272</v>
      </c>
      <c r="J265" s="127">
        <f>'Organized Input Output'!D260</f>
        <v>10.6</v>
      </c>
      <c r="K265" s="104">
        <f t="shared" si="54"/>
        <v>11.66</v>
      </c>
      <c r="L265" s="104">
        <f t="shared" si="64"/>
        <v>20</v>
      </c>
      <c r="M265" s="104">
        <f t="shared" si="65"/>
        <v>0.745</v>
      </c>
      <c r="T265" s="1">
        <f t="shared" si="55"/>
        <v>243</v>
      </c>
      <c r="U265" s="14" t="s">
        <v>272</v>
      </c>
      <c r="V265" s="8">
        <v>14.2</v>
      </c>
      <c r="W265" s="1">
        <f t="shared" si="50"/>
        <v>15.62</v>
      </c>
      <c r="X265" s="1">
        <f t="shared" si="56"/>
        <v>20</v>
      </c>
      <c r="Y265" s="1">
        <f t="shared" si="57"/>
        <v>0</v>
      </c>
      <c r="AG265" s="1">
        <f t="shared" si="58"/>
        <v>243</v>
      </c>
      <c r="AH265" s="14" t="s">
        <v>272</v>
      </c>
      <c r="AI265" s="8">
        <v>6</v>
      </c>
      <c r="AJ265" s="1">
        <f t="shared" si="51"/>
        <v>6.6000000000000005</v>
      </c>
      <c r="AK265" s="1">
        <f t="shared" si="59"/>
        <v>20</v>
      </c>
      <c r="AL265" s="1">
        <f t="shared" si="60"/>
        <v>0</v>
      </c>
      <c r="AS265" s="1">
        <f t="shared" si="61"/>
        <v>243</v>
      </c>
      <c r="AT265" s="14" t="s">
        <v>272</v>
      </c>
      <c r="AU265" s="8">
        <v>10.6</v>
      </c>
      <c r="AV265" s="1">
        <f t="shared" si="52"/>
        <v>11.66</v>
      </c>
      <c r="AW265" s="1">
        <f t="shared" si="62"/>
        <v>20</v>
      </c>
      <c r="AX265" s="1">
        <f t="shared" si="63"/>
        <v>0</v>
      </c>
    </row>
    <row r="266" spans="8:50">
      <c r="H266" s="1">
        <f t="shared" si="53"/>
        <v>244</v>
      </c>
      <c r="I266" s="14" t="s">
        <v>275</v>
      </c>
      <c r="J266" s="127">
        <f>'Organized Input Output'!D261</f>
        <v>3.2</v>
      </c>
      <c r="K266" s="104">
        <f t="shared" si="54"/>
        <v>3.52</v>
      </c>
      <c r="L266" s="104">
        <f t="shared" si="64"/>
        <v>20</v>
      </c>
      <c r="M266" s="104">
        <f t="shared" si="65"/>
        <v>0.745</v>
      </c>
      <c r="T266" s="1">
        <f t="shared" si="55"/>
        <v>244</v>
      </c>
      <c r="U266" s="14" t="s">
        <v>275</v>
      </c>
      <c r="V266" s="8">
        <v>1.6</v>
      </c>
      <c r="W266" s="1">
        <f t="shared" si="50"/>
        <v>1.76</v>
      </c>
      <c r="X266" s="1">
        <f t="shared" si="56"/>
        <v>20</v>
      </c>
      <c r="Y266" s="1">
        <f t="shared" si="57"/>
        <v>0</v>
      </c>
      <c r="AG266" s="1">
        <f t="shared" si="58"/>
        <v>244</v>
      </c>
      <c r="AH266" s="14" t="s">
        <v>275</v>
      </c>
      <c r="AI266" s="8">
        <v>15.8</v>
      </c>
      <c r="AJ266" s="1">
        <f t="shared" si="51"/>
        <v>17.380000000000003</v>
      </c>
      <c r="AK266" s="1">
        <f t="shared" si="59"/>
        <v>20</v>
      </c>
      <c r="AL266" s="1">
        <f t="shared" si="60"/>
        <v>0</v>
      </c>
      <c r="AS266" s="1">
        <f t="shared" si="61"/>
        <v>244</v>
      </c>
      <c r="AT266" s="14" t="s">
        <v>275</v>
      </c>
      <c r="AU266" s="8">
        <v>3.2</v>
      </c>
      <c r="AV266" s="1">
        <f t="shared" si="52"/>
        <v>3.52</v>
      </c>
      <c r="AW266" s="1">
        <f t="shared" si="62"/>
        <v>20</v>
      </c>
      <c r="AX266" s="1">
        <f t="shared" si="63"/>
        <v>0</v>
      </c>
    </row>
    <row r="267" spans="8:50">
      <c r="H267" s="1">
        <f t="shared" si="53"/>
        <v>245</v>
      </c>
      <c r="I267" s="14" t="s">
        <v>275</v>
      </c>
      <c r="J267" s="127">
        <f>'Organized Input Output'!D262</f>
        <v>6.2</v>
      </c>
      <c r="K267" s="104">
        <f t="shared" si="54"/>
        <v>6.8199999999999994</v>
      </c>
      <c r="L267" s="104">
        <f t="shared" si="64"/>
        <v>20</v>
      </c>
      <c r="M267" s="104">
        <f t="shared" si="65"/>
        <v>0.745</v>
      </c>
      <c r="T267" s="1">
        <f t="shared" si="55"/>
        <v>245</v>
      </c>
      <c r="U267" s="14" t="s">
        <v>275</v>
      </c>
      <c r="V267" s="8">
        <v>9.4</v>
      </c>
      <c r="W267" s="1">
        <f t="shared" si="50"/>
        <v>10.34</v>
      </c>
      <c r="X267" s="1">
        <f t="shared" si="56"/>
        <v>20</v>
      </c>
      <c r="Y267" s="1">
        <f t="shared" si="57"/>
        <v>0</v>
      </c>
      <c r="AG267" s="1">
        <f t="shared" si="58"/>
        <v>245</v>
      </c>
      <c r="AH267" s="14" t="s">
        <v>275</v>
      </c>
      <c r="AI267" s="8">
        <v>0.8</v>
      </c>
      <c r="AJ267" s="1">
        <f t="shared" si="51"/>
        <v>0.88</v>
      </c>
      <c r="AK267" s="1">
        <f t="shared" si="59"/>
        <v>20</v>
      </c>
      <c r="AL267" s="1">
        <f t="shared" si="60"/>
        <v>0</v>
      </c>
      <c r="AS267" s="1">
        <f t="shared" si="61"/>
        <v>245</v>
      </c>
      <c r="AT267" s="14" t="s">
        <v>275</v>
      </c>
      <c r="AU267" s="8">
        <v>6.2</v>
      </c>
      <c r="AV267" s="1">
        <f t="shared" si="52"/>
        <v>6.8199999999999994</v>
      </c>
      <c r="AW267" s="1">
        <f t="shared" si="62"/>
        <v>20</v>
      </c>
      <c r="AX267" s="1">
        <f t="shared" si="63"/>
        <v>0</v>
      </c>
    </row>
    <row r="268" spans="8:50">
      <c r="H268" s="1">
        <f t="shared" si="53"/>
        <v>246</v>
      </c>
      <c r="I268" s="14" t="s">
        <v>275</v>
      </c>
      <c r="J268" s="127">
        <f>'Organized Input Output'!D263</f>
        <v>0</v>
      </c>
      <c r="K268" s="104">
        <f t="shared" si="54"/>
        <v>0</v>
      </c>
      <c r="L268" s="104">
        <f t="shared" si="64"/>
        <v>19.254999999999999</v>
      </c>
      <c r="M268" s="104">
        <f t="shared" si="65"/>
        <v>0.745</v>
      </c>
      <c r="T268" s="1">
        <f t="shared" si="55"/>
        <v>246</v>
      </c>
      <c r="U268" s="14" t="s">
        <v>275</v>
      </c>
      <c r="V268" s="8">
        <v>0.6</v>
      </c>
      <c r="W268" s="1">
        <f t="shared" si="50"/>
        <v>0.65999999999999992</v>
      </c>
      <c r="X268" s="1">
        <f t="shared" si="56"/>
        <v>19.914999999999999</v>
      </c>
      <c r="Y268" s="1">
        <f t="shared" si="57"/>
        <v>4.0750000000000011</v>
      </c>
      <c r="AG268" s="1">
        <f t="shared" si="58"/>
        <v>246</v>
      </c>
      <c r="AH268" s="14" t="s">
        <v>275</v>
      </c>
      <c r="AI268" s="8">
        <v>2.4</v>
      </c>
      <c r="AJ268" s="1">
        <f t="shared" si="51"/>
        <v>2.6399999999999997</v>
      </c>
      <c r="AK268" s="1">
        <f t="shared" si="59"/>
        <v>20</v>
      </c>
      <c r="AL268" s="1">
        <f t="shared" si="60"/>
        <v>0</v>
      </c>
      <c r="AS268" s="1">
        <f t="shared" si="61"/>
        <v>246</v>
      </c>
      <c r="AT268" s="14" t="s">
        <v>275</v>
      </c>
      <c r="AU268" s="8">
        <v>0</v>
      </c>
      <c r="AV268" s="1">
        <f t="shared" si="52"/>
        <v>0</v>
      </c>
      <c r="AW268" s="1">
        <f t="shared" si="62"/>
        <v>19.254999999999999</v>
      </c>
      <c r="AX268" s="1">
        <f t="shared" si="63"/>
        <v>19.254999999999999</v>
      </c>
    </row>
    <row r="269" spans="8:50">
      <c r="H269" s="1">
        <f t="shared" si="53"/>
        <v>247</v>
      </c>
      <c r="I269" s="14" t="s">
        <v>275</v>
      </c>
      <c r="J269" s="127">
        <f>'Organized Input Output'!D264</f>
        <v>0</v>
      </c>
      <c r="K269" s="104">
        <f t="shared" si="54"/>
        <v>0</v>
      </c>
      <c r="L269" s="104">
        <f t="shared" si="64"/>
        <v>18.509999999999998</v>
      </c>
      <c r="M269" s="104">
        <f t="shared" si="65"/>
        <v>0.745</v>
      </c>
      <c r="T269" s="1">
        <f t="shared" si="55"/>
        <v>247</v>
      </c>
      <c r="U269" s="14" t="s">
        <v>275</v>
      </c>
      <c r="V269" s="8">
        <v>0</v>
      </c>
      <c r="W269" s="1">
        <f t="shared" si="50"/>
        <v>0</v>
      </c>
      <c r="X269" s="1">
        <f t="shared" si="56"/>
        <v>19.169999999999998</v>
      </c>
      <c r="Y269" s="1">
        <f t="shared" si="57"/>
        <v>19.169999999999998</v>
      </c>
      <c r="AG269" s="1">
        <f t="shared" si="58"/>
        <v>247</v>
      </c>
      <c r="AH269" s="14" t="s">
        <v>275</v>
      </c>
      <c r="AI269" s="8">
        <v>0</v>
      </c>
      <c r="AJ269" s="1">
        <f t="shared" si="51"/>
        <v>0</v>
      </c>
      <c r="AK269" s="1">
        <f t="shared" si="59"/>
        <v>19.254999999999999</v>
      </c>
      <c r="AL269" s="1">
        <f t="shared" si="60"/>
        <v>19.254999999999999</v>
      </c>
      <c r="AS269" s="1">
        <f t="shared" si="61"/>
        <v>247</v>
      </c>
      <c r="AT269" s="14" t="s">
        <v>275</v>
      </c>
      <c r="AU269" s="8">
        <v>0</v>
      </c>
      <c r="AV269" s="1">
        <f t="shared" si="52"/>
        <v>0</v>
      </c>
      <c r="AW269" s="1">
        <f t="shared" si="62"/>
        <v>18.509999999999998</v>
      </c>
      <c r="AX269" s="1">
        <f t="shared" si="63"/>
        <v>18.509999999999998</v>
      </c>
    </row>
    <row r="270" spans="8:50">
      <c r="H270" s="1">
        <f t="shared" si="53"/>
        <v>248</v>
      </c>
      <c r="I270" s="14" t="s">
        <v>275</v>
      </c>
      <c r="J270" s="127">
        <f>'Organized Input Output'!D265</f>
        <v>0</v>
      </c>
      <c r="K270" s="104">
        <f t="shared" si="54"/>
        <v>0</v>
      </c>
      <c r="L270" s="104">
        <f t="shared" si="64"/>
        <v>17.764999999999997</v>
      </c>
      <c r="M270" s="104">
        <f t="shared" si="65"/>
        <v>0.745</v>
      </c>
      <c r="T270" s="1">
        <f t="shared" si="55"/>
        <v>248</v>
      </c>
      <c r="U270" s="14" t="s">
        <v>275</v>
      </c>
      <c r="V270" s="8">
        <v>0.2</v>
      </c>
      <c r="W270" s="1">
        <f t="shared" si="50"/>
        <v>0.22</v>
      </c>
      <c r="X270" s="1">
        <f t="shared" si="56"/>
        <v>18.644999999999996</v>
      </c>
      <c r="Y270" s="1">
        <f t="shared" si="57"/>
        <v>13.364999999999995</v>
      </c>
      <c r="AG270" s="1">
        <f t="shared" si="58"/>
        <v>248</v>
      </c>
      <c r="AH270" s="14" t="s">
        <v>275</v>
      </c>
      <c r="AI270" s="8">
        <v>1.6</v>
      </c>
      <c r="AJ270" s="1">
        <f t="shared" si="51"/>
        <v>1.76</v>
      </c>
      <c r="AK270" s="1">
        <f t="shared" si="59"/>
        <v>20</v>
      </c>
      <c r="AL270" s="1">
        <f t="shared" si="60"/>
        <v>0</v>
      </c>
      <c r="AS270" s="1">
        <f t="shared" si="61"/>
        <v>248</v>
      </c>
      <c r="AT270" s="14" t="s">
        <v>275</v>
      </c>
      <c r="AU270" s="8">
        <v>0</v>
      </c>
      <c r="AV270" s="1">
        <f t="shared" si="52"/>
        <v>0</v>
      </c>
      <c r="AW270" s="1">
        <f t="shared" si="62"/>
        <v>17.764999999999997</v>
      </c>
      <c r="AX270" s="1">
        <f t="shared" si="63"/>
        <v>17.764999999999997</v>
      </c>
    </row>
    <row r="271" spans="8:50">
      <c r="H271" s="1">
        <f t="shared" si="53"/>
        <v>249</v>
      </c>
      <c r="I271" s="14" t="s">
        <v>275</v>
      </c>
      <c r="J271" s="127">
        <f>'Organized Input Output'!D266</f>
        <v>0</v>
      </c>
      <c r="K271" s="104">
        <f t="shared" si="54"/>
        <v>0</v>
      </c>
      <c r="L271" s="104">
        <f t="shared" si="64"/>
        <v>17.019999999999996</v>
      </c>
      <c r="M271" s="104">
        <f t="shared" si="65"/>
        <v>0.745</v>
      </c>
      <c r="T271" s="1">
        <f t="shared" si="55"/>
        <v>249</v>
      </c>
      <c r="U271" s="14" t="s">
        <v>275</v>
      </c>
      <c r="V271" s="8">
        <v>0.2</v>
      </c>
      <c r="W271" s="1">
        <f t="shared" si="50"/>
        <v>0.22</v>
      </c>
      <c r="X271" s="1">
        <f t="shared" si="56"/>
        <v>18.119999999999994</v>
      </c>
      <c r="Y271" s="1">
        <f t="shared" si="57"/>
        <v>12.839999999999993</v>
      </c>
      <c r="AG271" s="1">
        <f t="shared" si="58"/>
        <v>249</v>
      </c>
      <c r="AH271" s="14" t="s">
        <v>275</v>
      </c>
      <c r="AI271" s="8">
        <v>0</v>
      </c>
      <c r="AJ271" s="1">
        <f t="shared" si="51"/>
        <v>0</v>
      </c>
      <c r="AK271" s="1">
        <f t="shared" si="59"/>
        <v>19.254999999999999</v>
      </c>
      <c r="AL271" s="1">
        <f t="shared" si="60"/>
        <v>19.254999999999999</v>
      </c>
      <c r="AS271" s="1">
        <f t="shared" si="61"/>
        <v>249</v>
      </c>
      <c r="AT271" s="14" t="s">
        <v>275</v>
      </c>
      <c r="AU271" s="8">
        <v>0</v>
      </c>
      <c r="AV271" s="1">
        <f t="shared" si="52"/>
        <v>0</v>
      </c>
      <c r="AW271" s="1">
        <f t="shared" si="62"/>
        <v>17.019999999999996</v>
      </c>
      <c r="AX271" s="1">
        <f t="shared" si="63"/>
        <v>17.019999999999996</v>
      </c>
    </row>
    <row r="272" spans="8:50">
      <c r="H272" s="1">
        <f t="shared" si="53"/>
        <v>250</v>
      </c>
      <c r="I272" s="14" t="s">
        <v>275</v>
      </c>
      <c r="J272" s="127">
        <f>'Organized Input Output'!D267</f>
        <v>0</v>
      </c>
      <c r="K272" s="104">
        <f t="shared" si="54"/>
        <v>0</v>
      </c>
      <c r="L272" s="104">
        <f t="shared" si="64"/>
        <v>16.274999999999995</v>
      </c>
      <c r="M272" s="104">
        <f t="shared" si="65"/>
        <v>0.745</v>
      </c>
      <c r="T272" s="1">
        <f t="shared" si="55"/>
        <v>250</v>
      </c>
      <c r="U272" s="14" t="s">
        <v>275</v>
      </c>
      <c r="V272" s="8">
        <v>4</v>
      </c>
      <c r="W272" s="1">
        <f t="shared" si="50"/>
        <v>4.4000000000000004</v>
      </c>
      <c r="X272" s="1">
        <f t="shared" si="56"/>
        <v>20</v>
      </c>
      <c r="Y272" s="1">
        <f t="shared" si="57"/>
        <v>0</v>
      </c>
      <c r="AG272" s="1">
        <f t="shared" si="58"/>
        <v>250</v>
      </c>
      <c r="AH272" s="14" t="s">
        <v>275</v>
      </c>
      <c r="AI272" s="8">
        <v>29.6</v>
      </c>
      <c r="AJ272" s="1">
        <f t="shared" si="51"/>
        <v>32.56</v>
      </c>
      <c r="AK272" s="1">
        <f t="shared" si="59"/>
        <v>20</v>
      </c>
      <c r="AL272" s="1">
        <f t="shared" si="60"/>
        <v>0</v>
      </c>
      <c r="AS272" s="1">
        <f t="shared" si="61"/>
        <v>250</v>
      </c>
      <c r="AT272" s="14" t="s">
        <v>275</v>
      </c>
      <c r="AU272" s="8">
        <v>0</v>
      </c>
      <c r="AV272" s="1">
        <f t="shared" si="52"/>
        <v>0</v>
      </c>
      <c r="AW272" s="1">
        <f t="shared" si="62"/>
        <v>16.274999999999995</v>
      </c>
      <c r="AX272" s="1">
        <f t="shared" si="63"/>
        <v>16.274999999999995</v>
      </c>
    </row>
    <row r="273" spans="8:50">
      <c r="H273" s="1">
        <f t="shared" si="53"/>
        <v>251</v>
      </c>
      <c r="I273" s="14" t="s">
        <v>275</v>
      </c>
      <c r="J273" s="127">
        <f>'Organized Input Output'!D268</f>
        <v>0</v>
      </c>
      <c r="K273" s="104">
        <f t="shared" si="54"/>
        <v>0</v>
      </c>
      <c r="L273" s="104">
        <f t="shared" si="64"/>
        <v>15.529999999999996</v>
      </c>
      <c r="M273" s="104">
        <f t="shared" si="65"/>
        <v>0.745</v>
      </c>
      <c r="T273" s="1">
        <f t="shared" si="55"/>
        <v>251</v>
      </c>
      <c r="U273" s="14" t="s">
        <v>275</v>
      </c>
      <c r="V273" s="8">
        <v>0</v>
      </c>
      <c r="W273" s="1">
        <f t="shared" si="50"/>
        <v>0</v>
      </c>
      <c r="X273" s="1">
        <f t="shared" si="56"/>
        <v>19.254999999999999</v>
      </c>
      <c r="Y273" s="1">
        <f t="shared" si="57"/>
        <v>19.254999999999999</v>
      </c>
      <c r="AG273" s="1">
        <f t="shared" si="58"/>
        <v>251</v>
      </c>
      <c r="AH273" s="14" t="s">
        <v>275</v>
      </c>
      <c r="AI273" s="8">
        <v>13</v>
      </c>
      <c r="AJ273" s="1">
        <f t="shared" si="51"/>
        <v>14.299999999999999</v>
      </c>
      <c r="AK273" s="1">
        <f t="shared" si="59"/>
        <v>20</v>
      </c>
      <c r="AL273" s="1">
        <f t="shared" si="60"/>
        <v>0</v>
      </c>
      <c r="AS273" s="1">
        <f t="shared" si="61"/>
        <v>251</v>
      </c>
      <c r="AT273" s="14" t="s">
        <v>275</v>
      </c>
      <c r="AU273" s="8">
        <v>0</v>
      </c>
      <c r="AV273" s="1">
        <f t="shared" si="52"/>
        <v>0</v>
      </c>
      <c r="AW273" s="1">
        <f t="shared" si="62"/>
        <v>15.529999999999996</v>
      </c>
      <c r="AX273" s="1">
        <f t="shared" si="63"/>
        <v>15.529999999999996</v>
      </c>
    </row>
    <row r="274" spans="8:50">
      <c r="H274" s="1">
        <f t="shared" si="53"/>
        <v>252</v>
      </c>
      <c r="I274" s="14" t="s">
        <v>275</v>
      </c>
      <c r="J274" s="127">
        <f>'Organized Input Output'!D269</f>
        <v>0</v>
      </c>
      <c r="K274" s="104">
        <f t="shared" si="54"/>
        <v>0</v>
      </c>
      <c r="L274" s="104">
        <f t="shared" si="64"/>
        <v>14.784999999999997</v>
      </c>
      <c r="M274" s="104">
        <f t="shared" si="65"/>
        <v>0.745</v>
      </c>
      <c r="T274" s="1">
        <f t="shared" si="55"/>
        <v>252</v>
      </c>
      <c r="U274" s="14" t="s">
        <v>275</v>
      </c>
      <c r="V274" s="8">
        <v>0</v>
      </c>
      <c r="W274" s="1">
        <f t="shared" si="50"/>
        <v>0</v>
      </c>
      <c r="X274" s="1">
        <f t="shared" si="56"/>
        <v>18.509999999999998</v>
      </c>
      <c r="Y274" s="1">
        <f t="shared" si="57"/>
        <v>18.509999999999998</v>
      </c>
      <c r="AG274" s="1">
        <f t="shared" si="58"/>
        <v>252</v>
      </c>
      <c r="AH274" s="14" t="s">
        <v>275</v>
      </c>
      <c r="AI274" s="8">
        <v>1.4</v>
      </c>
      <c r="AJ274" s="1">
        <f t="shared" si="51"/>
        <v>1.54</v>
      </c>
      <c r="AK274" s="1">
        <f t="shared" si="59"/>
        <v>20</v>
      </c>
      <c r="AL274" s="1">
        <f t="shared" si="60"/>
        <v>0</v>
      </c>
      <c r="AS274" s="1">
        <f t="shared" si="61"/>
        <v>252</v>
      </c>
      <c r="AT274" s="14" t="s">
        <v>275</v>
      </c>
      <c r="AU274" s="8">
        <v>0</v>
      </c>
      <c r="AV274" s="1">
        <f t="shared" si="52"/>
        <v>0</v>
      </c>
      <c r="AW274" s="1">
        <f t="shared" si="62"/>
        <v>14.784999999999997</v>
      </c>
      <c r="AX274" s="1">
        <f t="shared" si="63"/>
        <v>14.784999999999997</v>
      </c>
    </row>
    <row r="275" spans="8:50">
      <c r="H275" s="1">
        <f t="shared" si="53"/>
        <v>253</v>
      </c>
      <c r="I275" s="14" t="s">
        <v>275</v>
      </c>
      <c r="J275" s="127">
        <f>'Organized Input Output'!D270</f>
        <v>0</v>
      </c>
      <c r="K275" s="104">
        <f t="shared" si="54"/>
        <v>0</v>
      </c>
      <c r="L275" s="104">
        <f t="shared" si="64"/>
        <v>14.039999999999997</v>
      </c>
      <c r="M275" s="104">
        <f t="shared" si="65"/>
        <v>0.745</v>
      </c>
      <c r="T275" s="1">
        <f t="shared" si="55"/>
        <v>253</v>
      </c>
      <c r="U275" s="14" t="s">
        <v>275</v>
      </c>
      <c r="V275" s="8">
        <v>0</v>
      </c>
      <c r="W275" s="1">
        <f t="shared" si="50"/>
        <v>0</v>
      </c>
      <c r="X275" s="1">
        <f t="shared" si="56"/>
        <v>17.764999999999997</v>
      </c>
      <c r="Y275" s="1">
        <f t="shared" si="57"/>
        <v>17.764999999999997</v>
      </c>
      <c r="AG275" s="1">
        <f t="shared" si="58"/>
        <v>253</v>
      </c>
      <c r="AH275" s="14" t="s">
        <v>275</v>
      </c>
      <c r="AI275" s="8">
        <v>0</v>
      </c>
      <c r="AJ275" s="1">
        <f t="shared" si="51"/>
        <v>0</v>
      </c>
      <c r="AK275" s="1">
        <f t="shared" si="59"/>
        <v>19.254999999999999</v>
      </c>
      <c r="AL275" s="1">
        <f t="shared" si="60"/>
        <v>19.254999999999999</v>
      </c>
      <c r="AS275" s="1">
        <f t="shared" si="61"/>
        <v>253</v>
      </c>
      <c r="AT275" s="14" t="s">
        <v>275</v>
      </c>
      <c r="AU275" s="8">
        <v>0</v>
      </c>
      <c r="AV275" s="1">
        <f t="shared" si="52"/>
        <v>0</v>
      </c>
      <c r="AW275" s="1">
        <f t="shared" si="62"/>
        <v>14.039999999999997</v>
      </c>
      <c r="AX275" s="1">
        <f t="shared" si="63"/>
        <v>14.039999999999997</v>
      </c>
    </row>
    <row r="276" spans="8:50">
      <c r="H276" s="1">
        <f t="shared" si="53"/>
        <v>254</v>
      </c>
      <c r="I276" s="14" t="s">
        <v>275</v>
      </c>
      <c r="J276" s="127">
        <f>'Organized Input Output'!D271</f>
        <v>0</v>
      </c>
      <c r="K276" s="104">
        <f t="shared" si="54"/>
        <v>0</v>
      </c>
      <c r="L276" s="104">
        <f t="shared" si="64"/>
        <v>13.294999999999998</v>
      </c>
      <c r="M276" s="104">
        <f t="shared" si="65"/>
        <v>0.745</v>
      </c>
      <c r="T276" s="1">
        <f t="shared" si="55"/>
        <v>254</v>
      </c>
      <c r="U276" s="14" t="s">
        <v>275</v>
      </c>
      <c r="V276" s="8">
        <v>0</v>
      </c>
      <c r="W276" s="1">
        <f t="shared" si="50"/>
        <v>0</v>
      </c>
      <c r="X276" s="1">
        <f t="shared" si="56"/>
        <v>17.019999999999996</v>
      </c>
      <c r="Y276" s="1">
        <f t="shared" si="57"/>
        <v>17.019999999999996</v>
      </c>
      <c r="AG276" s="1">
        <f t="shared" si="58"/>
        <v>254</v>
      </c>
      <c r="AH276" s="14" t="s">
        <v>275</v>
      </c>
      <c r="AI276" s="8">
        <v>0</v>
      </c>
      <c r="AJ276" s="1">
        <f t="shared" si="51"/>
        <v>0</v>
      </c>
      <c r="AK276" s="1">
        <f t="shared" si="59"/>
        <v>18.509999999999998</v>
      </c>
      <c r="AL276" s="1">
        <f t="shared" si="60"/>
        <v>18.509999999999998</v>
      </c>
      <c r="AS276" s="1">
        <f t="shared" si="61"/>
        <v>254</v>
      </c>
      <c r="AT276" s="14" t="s">
        <v>275</v>
      </c>
      <c r="AU276" s="8">
        <v>0</v>
      </c>
      <c r="AV276" s="1">
        <f t="shared" si="52"/>
        <v>0</v>
      </c>
      <c r="AW276" s="1">
        <f t="shared" si="62"/>
        <v>13.294999999999998</v>
      </c>
      <c r="AX276" s="1">
        <f t="shared" si="63"/>
        <v>13.294999999999998</v>
      </c>
    </row>
    <row r="277" spans="8:50">
      <c r="H277" s="1">
        <f t="shared" si="53"/>
        <v>255</v>
      </c>
      <c r="I277" s="14" t="s">
        <v>275</v>
      </c>
      <c r="J277" s="127">
        <f>'Organized Input Output'!D272</f>
        <v>0</v>
      </c>
      <c r="K277" s="104">
        <f t="shared" si="54"/>
        <v>0</v>
      </c>
      <c r="L277" s="104">
        <f t="shared" si="64"/>
        <v>12.549999999999999</v>
      </c>
      <c r="M277" s="104">
        <f t="shared" si="65"/>
        <v>0.745</v>
      </c>
      <c r="T277" s="1">
        <f t="shared" si="55"/>
        <v>255</v>
      </c>
      <c r="U277" s="14" t="s">
        <v>275</v>
      </c>
      <c r="V277" s="8">
        <v>0</v>
      </c>
      <c r="W277" s="1">
        <f t="shared" si="50"/>
        <v>0</v>
      </c>
      <c r="X277" s="1">
        <f t="shared" si="56"/>
        <v>16.274999999999995</v>
      </c>
      <c r="Y277" s="1">
        <f t="shared" si="57"/>
        <v>16.274999999999995</v>
      </c>
      <c r="AG277" s="1">
        <f t="shared" si="58"/>
        <v>255</v>
      </c>
      <c r="AH277" s="14" t="s">
        <v>275</v>
      </c>
      <c r="AI277" s="8">
        <v>0</v>
      </c>
      <c r="AJ277" s="1">
        <f t="shared" si="51"/>
        <v>0</v>
      </c>
      <c r="AK277" s="1">
        <f t="shared" si="59"/>
        <v>17.764999999999997</v>
      </c>
      <c r="AL277" s="1">
        <f t="shared" si="60"/>
        <v>17.764999999999997</v>
      </c>
      <c r="AS277" s="1">
        <f t="shared" si="61"/>
        <v>255</v>
      </c>
      <c r="AT277" s="14" t="s">
        <v>275</v>
      </c>
      <c r="AU277" s="8">
        <v>0</v>
      </c>
      <c r="AV277" s="1">
        <f t="shared" si="52"/>
        <v>0</v>
      </c>
      <c r="AW277" s="1">
        <f t="shared" si="62"/>
        <v>12.549999999999999</v>
      </c>
      <c r="AX277" s="1">
        <f t="shared" si="63"/>
        <v>12.549999999999999</v>
      </c>
    </row>
    <row r="278" spans="8:50">
      <c r="H278" s="1">
        <f t="shared" si="53"/>
        <v>256</v>
      </c>
      <c r="I278" s="14" t="s">
        <v>275</v>
      </c>
      <c r="J278" s="127">
        <f>'Organized Input Output'!D273</f>
        <v>0</v>
      </c>
      <c r="K278" s="104">
        <f t="shared" si="54"/>
        <v>0</v>
      </c>
      <c r="L278" s="104">
        <f t="shared" si="64"/>
        <v>11.805</v>
      </c>
      <c r="M278" s="104">
        <f t="shared" si="65"/>
        <v>0.745</v>
      </c>
      <c r="T278" s="1">
        <f t="shared" si="55"/>
        <v>256</v>
      </c>
      <c r="U278" s="14" t="s">
        <v>275</v>
      </c>
      <c r="V278" s="8">
        <v>0</v>
      </c>
      <c r="W278" s="1">
        <f t="shared" si="50"/>
        <v>0</v>
      </c>
      <c r="X278" s="1">
        <f t="shared" si="56"/>
        <v>15.529999999999996</v>
      </c>
      <c r="Y278" s="1">
        <f t="shared" si="57"/>
        <v>15.529999999999996</v>
      </c>
      <c r="AG278" s="1">
        <f t="shared" si="58"/>
        <v>256</v>
      </c>
      <c r="AH278" s="14" t="s">
        <v>275</v>
      </c>
      <c r="AI278" s="8">
        <v>0</v>
      </c>
      <c r="AJ278" s="1">
        <f t="shared" si="51"/>
        <v>0</v>
      </c>
      <c r="AK278" s="1">
        <f t="shared" si="59"/>
        <v>17.019999999999996</v>
      </c>
      <c r="AL278" s="1">
        <f t="shared" si="60"/>
        <v>17.019999999999996</v>
      </c>
      <c r="AS278" s="1">
        <f t="shared" si="61"/>
        <v>256</v>
      </c>
      <c r="AT278" s="14" t="s">
        <v>275</v>
      </c>
      <c r="AU278" s="8">
        <v>0</v>
      </c>
      <c r="AV278" s="1">
        <f t="shared" si="52"/>
        <v>0</v>
      </c>
      <c r="AW278" s="1">
        <f t="shared" si="62"/>
        <v>11.805</v>
      </c>
      <c r="AX278" s="1">
        <f t="shared" si="63"/>
        <v>11.805</v>
      </c>
    </row>
    <row r="279" spans="8:50">
      <c r="H279" s="1">
        <f t="shared" si="53"/>
        <v>257</v>
      </c>
      <c r="I279" s="14" t="s">
        <v>275</v>
      </c>
      <c r="J279" s="127">
        <f>'Organized Input Output'!D274</f>
        <v>0</v>
      </c>
      <c r="K279" s="104">
        <f t="shared" si="54"/>
        <v>0</v>
      </c>
      <c r="L279" s="104">
        <f t="shared" si="64"/>
        <v>11.06</v>
      </c>
      <c r="M279" s="104">
        <f t="shared" si="65"/>
        <v>0.745</v>
      </c>
      <c r="T279" s="1">
        <f t="shared" si="55"/>
        <v>257</v>
      </c>
      <c r="U279" s="14" t="s">
        <v>275</v>
      </c>
      <c r="V279" s="8">
        <v>0</v>
      </c>
      <c r="W279" s="1">
        <f t="shared" ref="W279:W342" si="66">(V279/1000)*$B$7</f>
        <v>0</v>
      </c>
      <c r="X279" s="1">
        <f t="shared" si="56"/>
        <v>14.784999999999997</v>
      </c>
      <c r="Y279" s="1">
        <f t="shared" si="57"/>
        <v>14.784999999999997</v>
      </c>
      <c r="AG279" s="1">
        <f t="shared" si="58"/>
        <v>257</v>
      </c>
      <c r="AH279" s="14" t="s">
        <v>275</v>
      </c>
      <c r="AI279" s="8">
        <v>0</v>
      </c>
      <c r="AJ279" s="1">
        <f t="shared" ref="AJ279:AJ342" si="67">(AI279/1000)*$B$7</f>
        <v>0</v>
      </c>
      <c r="AK279" s="1">
        <f t="shared" si="59"/>
        <v>16.274999999999995</v>
      </c>
      <c r="AL279" s="1">
        <f t="shared" si="60"/>
        <v>16.274999999999995</v>
      </c>
      <c r="AS279" s="1">
        <f t="shared" si="61"/>
        <v>257</v>
      </c>
      <c r="AT279" s="14" t="s">
        <v>275</v>
      </c>
      <c r="AU279" s="8">
        <v>0</v>
      </c>
      <c r="AV279" s="1">
        <f t="shared" ref="AV279:AV342" si="68">(AU279/1000)*$B$7</f>
        <v>0</v>
      </c>
      <c r="AW279" s="1">
        <f t="shared" si="62"/>
        <v>11.06</v>
      </c>
      <c r="AX279" s="1">
        <f t="shared" si="63"/>
        <v>11.06</v>
      </c>
    </row>
    <row r="280" spans="8:50">
      <c r="H280" s="1">
        <f t="shared" ref="H280:H343" si="69">H279+1</f>
        <v>258</v>
      </c>
      <c r="I280" s="14" t="s">
        <v>275</v>
      </c>
      <c r="J280" s="127">
        <f>'Organized Input Output'!D275</f>
        <v>0</v>
      </c>
      <c r="K280" s="104">
        <f t="shared" ref="K280:K343" si="70">(J280/1000)*$B$7</f>
        <v>0</v>
      </c>
      <c r="L280" s="104">
        <f t="shared" si="64"/>
        <v>10.315000000000001</v>
      </c>
      <c r="M280" s="104">
        <f t="shared" si="65"/>
        <v>0.745</v>
      </c>
      <c r="T280" s="1">
        <f t="shared" ref="T280:T343" si="71">T279+1</f>
        <v>258</v>
      </c>
      <c r="U280" s="14" t="s">
        <v>275</v>
      </c>
      <c r="V280" s="8">
        <v>3.2</v>
      </c>
      <c r="W280" s="1">
        <f t="shared" si="66"/>
        <v>3.52</v>
      </c>
      <c r="X280" s="1">
        <f t="shared" ref="X280:X343" si="72">IF(MAX(0,MIN($B$8,X279 + W280 - $D$11))&gt;$B$8, $B$8, MAX(0,MIN($B$8,X279 + W280 - $D$11)))</f>
        <v>17.559999999999995</v>
      </c>
      <c r="Y280" s="1">
        <f t="shared" ref="Y280:Y343" si="73">IF(ISNUMBER(MATCH($M$7, U280:U644, 0)), 0, MAX(0, X280-(W280*24)))</f>
        <v>0</v>
      </c>
      <c r="AG280" s="1">
        <f t="shared" ref="AG280:AG343" si="74">AG279+1</f>
        <v>258</v>
      </c>
      <c r="AH280" s="14" t="s">
        <v>275</v>
      </c>
      <c r="AI280" s="8">
        <v>2</v>
      </c>
      <c r="AJ280" s="1">
        <f t="shared" si="67"/>
        <v>2.2000000000000002</v>
      </c>
      <c r="AK280" s="1">
        <f t="shared" ref="AK280:AK343" si="75">IF(MAX(0,MIN($B$8,AK279 + AJ280 - $D$11))&gt;$B$8, $B$8, MAX(0,MIN($B$8,AK279 + AJ280 - $D$11)))</f>
        <v>17.729999999999993</v>
      </c>
      <c r="AL280" s="1">
        <f t="shared" ref="AL280:AL343" si="76">IF(ISNUMBER(MATCH($M$7, AH280:AH643, 0)), 0, MAX(0, AK280-(AJ280*24)))</f>
        <v>0</v>
      </c>
      <c r="AS280" s="1">
        <f t="shared" ref="AS280:AS343" si="77">AS279+1</f>
        <v>258</v>
      </c>
      <c r="AT280" s="14" t="s">
        <v>275</v>
      </c>
      <c r="AU280" s="8">
        <v>0</v>
      </c>
      <c r="AV280" s="1">
        <f t="shared" si="68"/>
        <v>0</v>
      </c>
      <c r="AW280" s="1">
        <f t="shared" ref="AW280:AW343" si="78">IF(MAX(0,MIN($B$8,AW279 + AV280 - $D$11))&gt;$B$8, $B$8, MAX(0,MIN($B$8,AW279 + AV280 - $D$11)))</f>
        <v>10.315000000000001</v>
      </c>
      <c r="AX280" s="1">
        <f t="shared" ref="AX280:AX343" si="79">IF(ISNUMBER(MATCH($M$7, AT280:AT643, 0)), 0, MAX(0, (AW280-(AV280*24))))</f>
        <v>10.315000000000001</v>
      </c>
    </row>
    <row r="281" spans="8:50">
      <c r="H281" s="1">
        <f t="shared" si="69"/>
        <v>259</v>
      </c>
      <c r="I281" s="14" t="s">
        <v>275</v>
      </c>
      <c r="J281" s="127">
        <f>'Organized Input Output'!D276</f>
        <v>0</v>
      </c>
      <c r="K281" s="104">
        <f t="shared" si="70"/>
        <v>0</v>
      </c>
      <c r="L281" s="104">
        <f t="shared" ref="L281:L344" si="80">MAX(0, IF(I280 = "Jan", MIN($B$8, K281 + L280), MIN($B$8, L280 + K281 - $D$11)))</f>
        <v>9.5700000000000021</v>
      </c>
      <c r="M281" s="104">
        <f t="shared" si="65"/>
        <v>0.745</v>
      </c>
      <c r="T281" s="1">
        <f t="shared" si="71"/>
        <v>259</v>
      </c>
      <c r="U281" s="14" t="s">
        <v>275</v>
      </c>
      <c r="V281" s="8">
        <v>6.4</v>
      </c>
      <c r="W281" s="1">
        <f t="shared" si="66"/>
        <v>7.04</v>
      </c>
      <c r="X281" s="1">
        <f t="shared" si="72"/>
        <v>20</v>
      </c>
      <c r="Y281" s="1">
        <f t="shared" si="73"/>
        <v>0</v>
      </c>
      <c r="AG281" s="1">
        <f t="shared" si="74"/>
        <v>259</v>
      </c>
      <c r="AH281" s="14" t="s">
        <v>275</v>
      </c>
      <c r="AI281" s="8">
        <v>4</v>
      </c>
      <c r="AJ281" s="1">
        <f t="shared" si="67"/>
        <v>4.4000000000000004</v>
      </c>
      <c r="AK281" s="1">
        <f t="shared" si="75"/>
        <v>20</v>
      </c>
      <c r="AL281" s="1">
        <f t="shared" si="76"/>
        <v>0</v>
      </c>
      <c r="AS281" s="1">
        <f t="shared" si="77"/>
        <v>259</v>
      </c>
      <c r="AT281" s="14" t="s">
        <v>275</v>
      </c>
      <c r="AU281" s="8">
        <v>0</v>
      </c>
      <c r="AV281" s="1">
        <f t="shared" si="68"/>
        <v>0</v>
      </c>
      <c r="AW281" s="1">
        <f t="shared" si="78"/>
        <v>9.5700000000000021</v>
      </c>
      <c r="AX281" s="1">
        <f t="shared" si="79"/>
        <v>9.5700000000000021</v>
      </c>
    </row>
    <row r="282" spans="8:50">
      <c r="H282" s="1">
        <f t="shared" si="69"/>
        <v>260</v>
      </c>
      <c r="I282" s="14" t="s">
        <v>275</v>
      </c>
      <c r="J282" s="127">
        <f>'Organized Input Output'!D277</f>
        <v>0</v>
      </c>
      <c r="K282" s="104">
        <f t="shared" si="70"/>
        <v>0</v>
      </c>
      <c r="L282" s="104">
        <f t="shared" si="80"/>
        <v>8.8250000000000028</v>
      </c>
      <c r="M282" s="104">
        <f t="shared" si="65"/>
        <v>0.745</v>
      </c>
      <c r="T282" s="1">
        <f t="shared" si="71"/>
        <v>260</v>
      </c>
      <c r="U282" s="14" t="s">
        <v>275</v>
      </c>
      <c r="V282" s="8">
        <v>2</v>
      </c>
      <c r="W282" s="1">
        <f t="shared" si="66"/>
        <v>2.2000000000000002</v>
      </c>
      <c r="X282" s="1">
        <f t="shared" si="72"/>
        <v>20</v>
      </c>
      <c r="Y282" s="1">
        <f t="shared" si="73"/>
        <v>0</v>
      </c>
      <c r="AG282" s="1">
        <f t="shared" si="74"/>
        <v>260</v>
      </c>
      <c r="AH282" s="14" t="s">
        <v>275</v>
      </c>
      <c r="AI282" s="8">
        <v>2.8</v>
      </c>
      <c r="AJ282" s="1">
        <f t="shared" si="67"/>
        <v>3.08</v>
      </c>
      <c r="AK282" s="1">
        <f t="shared" si="75"/>
        <v>20</v>
      </c>
      <c r="AL282" s="1">
        <f t="shared" si="76"/>
        <v>0</v>
      </c>
      <c r="AS282" s="1">
        <f t="shared" si="77"/>
        <v>260</v>
      </c>
      <c r="AT282" s="14" t="s">
        <v>275</v>
      </c>
      <c r="AU282" s="8">
        <v>0</v>
      </c>
      <c r="AV282" s="1">
        <f t="shared" si="68"/>
        <v>0</v>
      </c>
      <c r="AW282" s="1">
        <f t="shared" si="78"/>
        <v>8.8250000000000028</v>
      </c>
      <c r="AX282" s="1">
        <f t="shared" si="79"/>
        <v>8.8250000000000028</v>
      </c>
    </row>
    <row r="283" spans="8:50">
      <c r="H283" s="1">
        <f t="shared" si="69"/>
        <v>261</v>
      </c>
      <c r="I283" s="14" t="s">
        <v>275</v>
      </c>
      <c r="J283" s="127">
        <f>'Organized Input Output'!D278</f>
        <v>26.4</v>
      </c>
      <c r="K283" s="104">
        <f t="shared" si="70"/>
        <v>29.04</v>
      </c>
      <c r="L283" s="104">
        <f t="shared" si="80"/>
        <v>20</v>
      </c>
      <c r="M283" s="104">
        <f t="shared" si="65"/>
        <v>0.745</v>
      </c>
      <c r="T283" s="1">
        <f t="shared" si="71"/>
        <v>261</v>
      </c>
      <c r="U283" s="14" t="s">
        <v>275</v>
      </c>
      <c r="V283" s="8">
        <v>8.6</v>
      </c>
      <c r="W283" s="1">
        <f t="shared" si="66"/>
        <v>9.4600000000000009</v>
      </c>
      <c r="X283" s="1">
        <f t="shared" si="72"/>
        <v>20</v>
      </c>
      <c r="Y283" s="1">
        <f t="shared" si="73"/>
        <v>0</v>
      </c>
      <c r="AG283" s="1">
        <f t="shared" si="74"/>
        <v>261</v>
      </c>
      <c r="AH283" s="14" t="s">
        <v>275</v>
      </c>
      <c r="AI283" s="8">
        <v>46.4</v>
      </c>
      <c r="AJ283" s="1">
        <f t="shared" si="67"/>
        <v>51.04</v>
      </c>
      <c r="AK283" s="1">
        <f t="shared" si="75"/>
        <v>20</v>
      </c>
      <c r="AL283" s="1">
        <f t="shared" si="76"/>
        <v>0</v>
      </c>
      <c r="AS283" s="1">
        <f t="shared" si="77"/>
        <v>261</v>
      </c>
      <c r="AT283" s="14" t="s">
        <v>275</v>
      </c>
      <c r="AU283" s="8">
        <v>26.4</v>
      </c>
      <c r="AV283" s="1">
        <f t="shared" si="68"/>
        <v>29.04</v>
      </c>
      <c r="AW283" s="1">
        <f t="shared" si="78"/>
        <v>20</v>
      </c>
      <c r="AX283" s="1">
        <f t="shared" si="79"/>
        <v>0</v>
      </c>
    </row>
    <row r="284" spans="8:50">
      <c r="H284" s="1">
        <f t="shared" si="69"/>
        <v>262</v>
      </c>
      <c r="I284" s="14" t="s">
        <v>275</v>
      </c>
      <c r="J284" s="127">
        <f>'Organized Input Output'!D279</f>
        <v>0.4</v>
      </c>
      <c r="K284" s="104">
        <f t="shared" si="70"/>
        <v>0.44</v>
      </c>
      <c r="L284" s="104">
        <f t="shared" si="80"/>
        <v>19.695</v>
      </c>
      <c r="M284" s="104">
        <f t="shared" si="65"/>
        <v>0.745</v>
      </c>
      <c r="T284" s="1">
        <f t="shared" si="71"/>
        <v>262</v>
      </c>
      <c r="U284" s="14" t="s">
        <v>275</v>
      </c>
      <c r="V284" s="8">
        <v>9.8000000000000007</v>
      </c>
      <c r="W284" s="1">
        <f t="shared" si="66"/>
        <v>10.780000000000001</v>
      </c>
      <c r="X284" s="1">
        <f t="shared" si="72"/>
        <v>20</v>
      </c>
      <c r="Y284" s="1">
        <f t="shared" si="73"/>
        <v>0</v>
      </c>
      <c r="AG284" s="1">
        <f t="shared" si="74"/>
        <v>262</v>
      </c>
      <c r="AH284" s="14" t="s">
        <v>275</v>
      </c>
      <c r="AI284" s="8">
        <v>86.8</v>
      </c>
      <c r="AJ284" s="1">
        <f t="shared" si="67"/>
        <v>95.48</v>
      </c>
      <c r="AK284" s="1">
        <f t="shared" si="75"/>
        <v>20</v>
      </c>
      <c r="AL284" s="1">
        <f t="shared" si="76"/>
        <v>0</v>
      </c>
      <c r="AS284" s="1">
        <f t="shared" si="77"/>
        <v>262</v>
      </c>
      <c r="AT284" s="14" t="s">
        <v>275</v>
      </c>
      <c r="AU284" s="8">
        <v>0.4</v>
      </c>
      <c r="AV284" s="1">
        <f t="shared" si="68"/>
        <v>0.44</v>
      </c>
      <c r="AW284" s="1">
        <f t="shared" si="78"/>
        <v>19.695</v>
      </c>
      <c r="AX284" s="1">
        <f t="shared" si="79"/>
        <v>9.1349999999999998</v>
      </c>
    </row>
    <row r="285" spans="8:50">
      <c r="H285" s="1">
        <f t="shared" si="69"/>
        <v>263</v>
      </c>
      <c r="I285" s="14" t="s">
        <v>275</v>
      </c>
      <c r="J285" s="127">
        <f>'Organized Input Output'!D280</f>
        <v>0</v>
      </c>
      <c r="K285" s="104">
        <f t="shared" si="70"/>
        <v>0</v>
      </c>
      <c r="L285" s="104">
        <f t="shared" si="80"/>
        <v>18.95</v>
      </c>
      <c r="M285" s="104">
        <f t="shared" si="65"/>
        <v>0.745</v>
      </c>
      <c r="T285" s="1">
        <f t="shared" si="71"/>
        <v>263</v>
      </c>
      <c r="U285" s="14" t="s">
        <v>275</v>
      </c>
      <c r="V285" s="8">
        <v>7.4</v>
      </c>
      <c r="W285" s="1">
        <f t="shared" si="66"/>
        <v>8.14</v>
      </c>
      <c r="X285" s="1">
        <f t="shared" si="72"/>
        <v>20</v>
      </c>
      <c r="Y285" s="1">
        <f t="shared" si="73"/>
        <v>0</v>
      </c>
      <c r="AG285" s="1">
        <f t="shared" si="74"/>
        <v>263</v>
      </c>
      <c r="AH285" s="14" t="s">
        <v>275</v>
      </c>
      <c r="AI285" s="8">
        <v>1.4</v>
      </c>
      <c r="AJ285" s="1">
        <f t="shared" si="67"/>
        <v>1.54</v>
      </c>
      <c r="AK285" s="1">
        <f t="shared" si="75"/>
        <v>20</v>
      </c>
      <c r="AL285" s="1">
        <f t="shared" si="76"/>
        <v>0</v>
      </c>
      <c r="AS285" s="1">
        <f t="shared" si="77"/>
        <v>263</v>
      </c>
      <c r="AT285" s="14" t="s">
        <v>275</v>
      </c>
      <c r="AU285" s="8">
        <v>0</v>
      </c>
      <c r="AV285" s="1">
        <f t="shared" si="68"/>
        <v>0</v>
      </c>
      <c r="AW285" s="1">
        <f t="shared" si="78"/>
        <v>18.95</v>
      </c>
      <c r="AX285" s="1">
        <f t="shared" si="79"/>
        <v>18.95</v>
      </c>
    </row>
    <row r="286" spans="8:50">
      <c r="H286" s="1">
        <f t="shared" si="69"/>
        <v>264</v>
      </c>
      <c r="I286" s="14" t="s">
        <v>275</v>
      </c>
      <c r="J286" s="127">
        <f>'Organized Input Output'!D281</f>
        <v>2</v>
      </c>
      <c r="K286" s="104">
        <f t="shared" si="70"/>
        <v>2.2000000000000002</v>
      </c>
      <c r="L286" s="104">
        <f t="shared" si="80"/>
        <v>20</v>
      </c>
      <c r="M286" s="104">
        <f t="shared" si="65"/>
        <v>0.745</v>
      </c>
      <c r="T286" s="1">
        <f t="shared" si="71"/>
        <v>264</v>
      </c>
      <c r="U286" s="14" t="s">
        <v>275</v>
      </c>
      <c r="V286" s="8">
        <v>0</v>
      </c>
      <c r="W286" s="1">
        <f t="shared" si="66"/>
        <v>0</v>
      </c>
      <c r="X286" s="1">
        <f t="shared" si="72"/>
        <v>19.254999999999999</v>
      </c>
      <c r="Y286" s="1">
        <f t="shared" si="73"/>
        <v>19.254999999999999</v>
      </c>
      <c r="AG286" s="1">
        <f t="shared" si="74"/>
        <v>264</v>
      </c>
      <c r="AH286" s="14" t="s">
        <v>275</v>
      </c>
      <c r="AI286" s="8">
        <v>4.2</v>
      </c>
      <c r="AJ286" s="1">
        <f t="shared" si="67"/>
        <v>4.620000000000001</v>
      </c>
      <c r="AK286" s="1">
        <f t="shared" si="75"/>
        <v>20</v>
      </c>
      <c r="AL286" s="1">
        <f t="shared" si="76"/>
        <v>0</v>
      </c>
      <c r="AS286" s="1">
        <f t="shared" si="77"/>
        <v>264</v>
      </c>
      <c r="AT286" s="14" t="s">
        <v>275</v>
      </c>
      <c r="AU286" s="8">
        <v>2</v>
      </c>
      <c r="AV286" s="1">
        <f t="shared" si="68"/>
        <v>2.2000000000000002</v>
      </c>
      <c r="AW286" s="1">
        <f t="shared" si="78"/>
        <v>20</v>
      </c>
      <c r="AX286" s="1">
        <f t="shared" si="79"/>
        <v>0</v>
      </c>
    </row>
    <row r="287" spans="8:50">
      <c r="H287" s="1">
        <f t="shared" si="69"/>
        <v>265</v>
      </c>
      <c r="I287" s="14" t="s">
        <v>275</v>
      </c>
      <c r="J287" s="127">
        <f>'Organized Input Output'!D282</f>
        <v>12.4</v>
      </c>
      <c r="K287" s="104">
        <f t="shared" si="70"/>
        <v>13.639999999999999</v>
      </c>
      <c r="L287" s="104">
        <f t="shared" si="80"/>
        <v>20</v>
      </c>
      <c r="M287" s="104">
        <f t="shared" si="65"/>
        <v>0.745</v>
      </c>
      <c r="T287" s="1">
        <f t="shared" si="71"/>
        <v>265</v>
      </c>
      <c r="U287" s="14" t="s">
        <v>275</v>
      </c>
      <c r="V287" s="8">
        <v>0</v>
      </c>
      <c r="W287" s="1">
        <f t="shared" si="66"/>
        <v>0</v>
      </c>
      <c r="X287" s="1">
        <f t="shared" si="72"/>
        <v>18.509999999999998</v>
      </c>
      <c r="Y287" s="1">
        <f t="shared" si="73"/>
        <v>18.509999999999998</v>
      </c>
      <c r="AG287" s="1">
        <f t="shared" si="74"/>
        <v>265</v>
      </c>
      <c r="AH287" s="14" t="s">
        <v>275</v>
      </c>
      <c r="AI287" s="8">
        <v>39.799999999999997</v>
      </c>
      <c r="AJ287" s="1">
        <f t="shared" si="67"/>
        <v>43.779999999999994</v>
      </c>
      <c r="AK287" s="1">
        <f t="shared" si="75"/>
        <v>20</v>
      </c>
      <c r="AL287" s="1">
        <f t="shared" si="76"/>
        <v>0</v>
      </c>
      <c r="AS287" s="1">
        <f t="shared" si="77"/>
        <v>265</v>
      </c>
      <c r="AT287" s="14" t="s">
        <v>275</v>
      </c>
      <c r="AU287" s="8">
        <v>12.4</v>
      </c>
      <c r="AV287" s="1">
        <f t="shared" si="68"/>
        <v>13.639999999999999</v>
      </c>
      <c r="AW287" s="1">
        <f t="shared" si="78"/>
        <v>20</v>
      </c>
      <c r="AX287" s="1">
        <f t="shared" si="79"/>
        <v>0</v>
      </c>
    </row>
    <row r="288" spans="8:50">
      <c r="H288" s="1">
        <f t="shared" si="69"/>
        <v>266</v>
      </c>
      <c r="I288" s="14" t="s">
        <v>275</v>
      </c>
      <c r="J288" s="127">
        <f>'Organized Input Output'!D283</f>
        <v>29.4</v>
      </c>
      <c r="K288" s="104">
        <f t="shared" si="70"/>
        <v>32.339999999999996</v>
      </c>
      <c r="L288" s="104">
        <f t="shared" si="80"/>
        <v>20</v>
      </c>
      <c r="M288" s="104">
        <f t="shared" si="65"/>
        <v>0.745</v>
      </c>
      <c r="T288" s="1">
        <f t="shared" si="71"/>
        <v>266</v>
      </c>
      <c r="U288" s="14" t="s">
        <v>275</v>
      </c>
      <c r="V288" s="8">
        <v>8.4</v>
      </c>
      <c r="W288" s="1">
        <f t="shared" si="66"/>
        <v>9.240000000000002</v>
      </c>
      <c r="X288" s="1">
        <f t="shared" si="72"/>
        <v>20</v>
      </c>
      <c r="Y288" s="1">
        <f t="shared" si="73"/>
        <v>0</v>
      </c>
      <c r="AG288" s="1">
        <f t="shared" si="74"/>
        <v>266</v>
      </c>
      <c r="AH288" s="14" t="s">
        <v>275</v>
      </c>
      <c r="AI288" s="8">
        <v>29.8</v>
      </c>
      <c r="AJ288" s="1">
        <f t="shared" si="67"/>
        <v>32.78</v>
      </c>
      <c r="AK288" s="1">
        <f t="shared" si="75"/>
        <v>20</v>
      </c>
      <c r="AL288" s="1">
        <f t="shared" si="76"/>
        <v>0</v>
      </c>
      <c r="AS288" s="1">
        <f t="shared" si="77"/>
        <v>266</v>
      </c>
      <c r="AT288" s="14" t="s">
        <v>275</v>
      </c>
      <c r="AU288" s="8">
        <v>29.4</v>
      </c>
      <c r="AV288" s="1">
        <f t="shared" si="68"/>
        <v>32.339999999999996</v>
      </c>
      <c r="AW288" s="1">
        <f t="shared" si="78"/>
        <v>20</v>
      </c>
      <c r="AX288" s="1">
        <f t="shared" si="79"/>
        <v>0</v>
      </c>
    </row>
    <row r="289" spans="8:50">
      <c r="H289" s="1">
        <f t="shared" si="69"/>
        <v>267</v>
      </c>
      <c r="I289" s="14" t="s">
        <v>275</v>
      </c>
      <c r="J289" s="127">
        <f>'Organized Input Output'!D284</f>
        <v>1.6</v>
      </c>
      <c r="K289" s="104">
        <f t="shared" si="70"/>
        <v>1.76</v>
      </c>
      <c r="L289" s="104">
        <f t="shared" si="80"/>
        <v>20</v>
      </c>
      <c r="M289" s="104">
        <f t="shared" si="65"/>
        <v>0.745</v>
      </c>
      <c r="T289" s="1">
        <f t="shared" si="71"/>
        <v>267</v>
      </c>
      <c r="U289" s="14" t="s">
        <v>275</v>
      </c>
      <c r="V289" s="8">
        <v>7.8</v>
      </c>
      <c r="W289" s="1">
        <f t="shared" si="66"/>
        <v>8.58</v>
      </c>
      <c r="X289" s="1">
        <f t="shared" si="72"/>
        <v>20</v>
      </c>
      <c r="Y289" s="1">
        <f t="shared" si="73"/>
        <v>0</v>
      </c>
      <c r="AG289" s="1">
        <f t="shared" si="74"/>
        <v>267</v>
      </c>
      <c r="AH289" s="14" t="s">
        <v>275</v>
      </c>
      <c r="AI289" s="8">
        <v>11.8</v>
      </c>
      <c r="AJ289" s="1">
        <f t="shared" si="67"/>
        <v>12.980000000000002</v>
      </c>
      <c r="AK289" s="1">
        <f t="shared" si="75"/>
        <v>20</v>
      </c>
      <c r="AL289" s="1">
        <f t="shared" si="76"/>
        <v>0</v>
      </c>
      <c r="AS289" s="1">
        <f t="shared" si="77"/>
        <v>267</v>
      </c>
      <c r="AT289" s="14" t="s">
        <v>275</v>
      </c>
      <c r="AU289" s="8">
        <v>1.6</v>
      </c>
      <c r="AV289" s="1">
        <f t="shared" si="68"/>
        <v>1.76</v>
      </c>
      <c r="AW289" s="1">
        <f t="shared" si="78"/>
        <v>20</v>
      </c>
      <c r="AX289" s="1">
        <f t="shared" si="79"/>
        <v>0</v>
      </c>
    </row>
    <row r="290" spans="8:50">
      <c r="H290" s="1">
        <f t="shared" si="69"/>
        <v>268</v>
      </c>
      <c r="I290" s="14" t="s">
        <v>275</v>
      </c>
      <c r="J290" s="127">
        <f>'Organized Input Output'!D285</f>
        <v>0.6</v>
      </c>
      <c r="K290" s="104">
        <f t="shared" si="70"/>
        <v>0.65999999999999992</v>
      </c>
      <c r="L290" s="104">
        <f t="shared" si="80"/>
        <v>19.914999999999999</v>
      </c>
      <c r="M290" s="104">
        <f t="shared" si="65"/>
        <v>0.745</v>
      </c>
      <c r="T290" s="1">
        <f t="shared" si="71"/>
        <v>268</v>
      </c>
      <c r="U290" s="14" t="s">
        <v>275</v>
      </c>
      <c r="V290" s="8">
        <v>0.4</v>
      </c>
      <c r="W290" s="1">
        <f t="shared" si="66"/>
        <v>0.44</v>
      </c>
      <c r="X290" s="1">
        <f t="shared" si="72"/>
        <v>19.695</v>
      </c>
      <c r="Y290" s="1">
        <f t="shared" si="73"/>
        <v>9.1349999999999998</v>
      </c>
      <c r="AG290" s="1">
        <f t="shared" si="74"/>
        <v>268</v>
      </c>
      <c r="AH290" s="14" t="s">
        <v>275</v>
      </c>
      <c r="AI290" s="8">
        <v>1.6</v>
      </c>
      <c r="AJ290" s="1">
        <f t="shared" si="67"/>
        <v>1.76</v>
      </c>
      <c r="AK290" s="1">
        <f t="shared" si="75"/>
        <v>20</v>
      </c>
      <c r="AL290" s="1">
        <f t="shared" si="76"/>
        <v>0</v>
      </c>
      <c r="AS290" s="1">
        <f t="shared" si="77"/>
        <v>268</v>
      </c>
      <c r="AT290" s="14" t="s">
        <v>275</v>
      </c>
      <c r="AU290" s="8">
        <v>0.6</v>
      </c>
      <c r="AV290" s="1">
        <f t="shared" si="68"/>
        <v>0.65999999999999992</v>
      </c>
      <c r="AW290" s="1">
        <f t="shared" si="78"/>
        <v>19.914999999999999</v>
      </c>
      <c r="AX290" s="1">
        <f t="shared" si="79"/>
        <v>4.0750000000000011</v>
      </c>
    </row>
    <row r="291" spans="8:50">
      <c r="H291" s="1">
        <f t="shared" si="69"/>
        <v>269</v>
      </c>
      <c r="I291" s="14" t="s">
        <v>275</v>
      </c>
      <c r="J291" s="127">
        <f>'Organized Input Output'!D286</f>
        <v>8.1999999999999993</v>
      </c>
      <c r="K291" s="104">
        <f t="shared" si="70"/>
        <v>9.02</v>
      </c>
      <c r="L291" s="104">
        <f t="shared" si="80"/>
        <v>20</v>
      </c>
      <c r="M291" s="104">
        <f t="shared" si="65"/>
        <v>0.745</v>
      </c>
      <c r="T291" s="1">
        <f t="shared" si="71"/>
        <v>269</v>
      </c>
      <c r="U291" s="14" t="s">
        <v>275</v>
      </c>
      <c r="V291" s="8">
        <v>0</v>
      </c>
      <c r="W291" s="1">
        <f t="shared" si="66"/>
        <v>0</v>
      </c>
      <c r="X291" s="1">
        <f t="shared" si="72"/>
        <v>18.95</v>
      </c>
      <c r="Y291" s="1">
        <f t="shared" si="73"/>
        <v>18.95</v>
      </c>
      <c r="AG291" s="1">
        <f t="shared" si="74"/>
        <v>269</v>
      </c>
      <c r="AH291" s="14" t="s">
        <v>275</v>
      </c>
      <c r="AI291" s="8">
        <v>0</v>
      </c>
      <c r="AJ291" s="1">
        <f t="shared" si="67"/>
        <v>0</v>
      </c>
      <c r="AK291" s="1">
        <f t="shared" si="75"/>
        <v>19.254999999999999</v>
      </c>
      <c r="AL291" s="1">
        <f t="shared" si="76"/>
        <v>19.254999999999999</v>
      </c>
      <c r="AS291" s="1">
        <f t="shared" si="77"/>
        <v>269</v>
      </c>
      <c r="AT291" s="14" t="s">
        <v>275</v>
      </c>
      <c r="AU291" s="8">
        <v>8.1999999999999993</v>
      </c>
      <c r="AV291" s="1">
        <f t="shared" si="68"/>
        <v>9.02</v>
      </c>
      <c r="AW291" s="1">
        <f t="shared" si="78"/>
        <v>20</v>
      </c>
      <c r="AX291" s="1">
        <f t="shared" si="79"/>
        <v>0</v>
      </c>
    </row>
    <row r="292" spans="8:50">
      <c r="H292" s="1">
        <f t="shared" si="69"/>
        <v>270</v>
      </c>
      <c r="I292" s="14" t="s">
        <v>275</v>
      </c>
      <c r="J292" s="127">
        <f>'Organized Input Output'!D287</f>
        <v>0</v>
      </c>
      <c r="K292" s="104">
        <f t="shared" si="70"/>
        <v>0</v>
      </c>
      <c r="L292" s="104">
        <f t="shared" si="80"/>
        <v>19.254999999999999</v>
      </c>
      <c r="M292" s="104">
        <f t="shared" si="65"/>
        <v>0.745</v>
      </c>
      <c r="T292" s="1">
        <f t="shared" si="71"/>
        <v>270</v>
      </c>
      <c r="U292" s="14" t="s">
        <v>275</v>
      </c>
      <c r="V292" s="8">
        <v>0</v>
      </c>
      <c r="W292" s="1">
        <f t="shared" si="66"/>
        <v>0</v>
      </c>
      <c r="X292" s="1">
        <f t="shared" si="72"/>
        <v>18.204999999999998</v>
      </c>
      <c r="Y292" s="1">
        <f t="shared" si="73"/>
        <v>18.204999999999998</v>
      </c>
      <c r="AG292" s="1">
        <f t="shared" si="74"/>
        <v>270</v>
      </c>
      <c r="AH292" s="14" t="s">
        <v>275</v>
      </c>
      <c r="AI292" s="8">
        <v>0</v>
      </c>
      <c r="AJ292" s="1">
        <f t="shared" si="67"/>
        <v>0</v>
      </c>
      <c r="AK292" s="1">
        <f t="shared" si="75"/>
        <v>18.509999999999998</v>
      </c>
      <c r="AL292" s="1">
        <f t="shared" si="76"/>
        <v>18.509999999999998</v>
      </c>
      <c r="AS292" s="1">
        <f t="shared" si="77"/>
        <v>270</v>
      </c>
      <c r="AT292" s="14" t="s">
        <v>275</v>
      </c>
      <c r="AU292" s="8">
        <v>0</v>
      </c>
      <c r="AV292" s="1">
        <f t="shared" si="68"/>
        <v>0</v>
      </c>
      <c r="AW292" s="1">
        <f t="shared" si="78"/>
        <v>19.254999999999999</v>
      </c>
      <c r="AX292" s="1">
        <f t="shared" si="79"/>
        <v>19.254999999999999</v>
      </c>
    </row>
    <row r="293" spans="8:50">
      <c r="H293" s="1">
        <f t="shared" si="69"/>
        <v>271</v>
      </c>
      <c r="I293" s="14" t="s">
        <v>275</v>
      </c>
      <c r="J293" s="127">
        <f>'Organized Input Output'!D288</f>
        <v>12.4</v>
      </c>
      <c r="K293" s="104">
        <f t="shared" si="70"/>
        <v>13.639999999999999</v>
      </c>
      <c r="L293" s="104">
        <f t="shared" si="80"/>
        <v>20</v>
      </c>
      <c r="M293" s="104">
        <f t="shared" si="65"/>
        <v>0.745</v>
      </c>
      <c r="T293" s="1">
        <f t="shared" si="71"/>
        <v>271</v>
      </c>
      <c r="U293" s="14" t="s">
        <v>275</v>
      </c>
      <c r="V293" s="8">
        <v>0</v>
      </c>
      <c r="W293" s="1">
        <f t="shared" si="66"/>
        <v>0</v>
      </c>
      <c r="X293" s="1">
        <f t="shared" si="72"/>
        <v>17.459999999999997</v>
      </c>
      <c r="Y293" s="1">
        <f t="shared" si="73"/>
        <v>17.459999999999997</v>
      </c>
      <c r="AG293" s="1">
        <f t="shared" si="74"/>
        <v>271</v>
      </c>
      <c r="AH293" s="14" t="s">
        <v>275</v>
      </c>
      <c r="AI293" s="8">
        <v>0</v>
      </c>
      <c r="AJ293" s="1">
        <f t="shared" si="67"/>
        <v>0</v>
      </c>
      <c r="AK293" s="1">
        <f t="shared" si="75"/>
        <v>17.764999999999997</v>
      </c>
      <c r="AL293" s="1">
        <f t="shared" si="76"/>
        <v>17.764999999999997</v>
      </c>
      <c r="AS293" s="1">
        <f t="shared" si="77"/>
        <v>271</v>
      </c>
      <c r="AT293" s="14" t="s">
        <v>275</v>
      </c>
      <c r="AU293" s="8">
        <v>12.4</v>
      </c>
      <c r="AV293" s="1">
        <f t="shared" si="68"/>
        <v>13.639999999999999</v>
      </c>
      <c r="AW293" s="1">
        <f t="shared" si="78"/>
        <v>20</v>
      </c>
      <c r="AX293" s="1">
        <f t="shared" si="79"/>
        <v>0</v>
      </c>
    </row>
    <row r="294" spans="8:50">
      <c r="H294" s="1">
        <f t="shared" si="69"/>
        <v>272</v>
      </c>
      <c r="I294" s="14" t="s">
        <v>275</v>
      </c>
      <c r="J294" s="127">
        <f>'Organized Input Output'!D289</f>
        <v>5.6</v>
      </c>
      <c r="K294" s="104">
        <f t="shared" si="70"/>
        <v>6.16</v>
      </c>
      <c r="L294" s="104">
        <f t="shared" si="80"/>
        <v>20</v>
      </c>
      <c r="M294" s="104">
        <f t="shared" si="65"/>
        <v>0.745</v>
      </c>
      <c r="T294" s="1">
        <f t="shared" si="71"/>
        <v>272</v>
      </c>
      <c r="U294" s="14" t="s">
        <v>275</v>
      </c>
      <c r="V294" s="8">
        <v>0</v>
      </c>
      <c r="W294" s="1">
        <f t="shared" si="66"/>
        <v>0</v>
      </c>
      <c r="X294" s="1">
        <f t="shared" si="72"/>
        <v>16.714999999999996</v>
      </c>
      <c r="Y294" s="1">
        <f t="shared" si="73"/>
        <v>16.714999999999996</v>
      </c>
      <c r="AG294" s="1">
        <f t="shared" si="74"/>
        <v>272</v>
      </c>
      <c r="AH294" s="14" t="s">
        <v>275</v>
      </c>
      <c r="AI294" s="8">
        <v>0</v>
      </c>
      <c r="AJ294" s="1">
        <f t="shared" si="67"/>
        <v>0</v>
      </c>
      <c r="AK294" s="1">
        <f t="shared" si="75"/>
        <v>17.019999999999996</v>
      </c>
      <c r="AL294" s="1">
        <f t="shared" si="76"/>
        <v>17.019999999999996</v>
      </c>
      <c r="AS294" s="1">
        <f t="shared" si="77"/>
        <v>272</v>
      </c>
      <c r="AT294" s="14" t="s">
        <v>275</v>
      </c>
      <c r="AU294" s="8">
        <v>5.6</v>
      </c>
      <c r="AV294" s="1">
        <f t="shared" si="68"/>
        <v>6.16</v>
      </c>
      <c r="AW294" s="1">
        <f t="shared" si="78"/>
        <v>20</v>
      </c>
      <c r="AX294" s="1">
        <f t="shared" si="79"/>
        <v>0</v>
      </c>
    </row>
    <row r="295" spans="8:50">
      <c r="H295" s="1">
        <f t="shared" si="69"/>
        <v>273</v>
      </c>
      <c r="I295" s="14" t="s">
        <v>275</v>
      </c>
      <c r="J295" s="127">
        <f>'Organized Input Output'!D290</f>
        <v>0</v>
      </c>
      <c r="K295" s="104">
        <f t="shared" si="70"/>
        <v>0</v>
      </c>
      <c r="L295" s="104">
        <f t="shared" si="80"/>
        <v>19.254999999999999</v>
      </c>
      <c r="M295" s="104">
        <f t="shared" si="65"/>
        <v>0.745</v>
      </c>
      <c r="T295" s="1">
        <f t="shared" si="71"/>
        <v>273</v>
      </c>
      <c r="U295" s="14" t="s">
        <v>275</v>
      </c>
      <c r="V295" s="8">
        <v>0</v>
      </c>
      <c r="W295" s="1">
        <f t="shared" si="66"/>
        <v>0</v>
      </c>
      <c r="X295" s="1">
        <f t="shared" si="72"/>
        <v>15.969999999999997</v>
      </c>
      <c r="Y295" s="1">
        <f t="shared" si="73"/>
        <v>15.969999999999997</v>
      </c>
      <c r="AG295" s="1">
        <f t="shared" si="74"/>
        <v>273</v>
      </c>
      <c r="AH295" s="14" t="s">
        <v>275</v>
      </c>
      <c r="AI295" s="8">
        <v>0</v>
      </c>
      <c r="AJ295" s="1">
        <f t="shared" si="67"/>
        <v>0</v>
      </c>
      <c r="AK295" s="1">
        <f t="shared" si="75"/>
        <v>16.274999999999995</v>
      </c>
      <c r="AL295" s="1">
        <f t="shared" si="76"/>
        <v>16.274999999999995</v>
      </c>
      <c r="AS295" s="1">
        <f t="shared" si="77"/>
        <v>273</v>
      </c>
      <c r="AT295" s="14" t="s">
        <v>275</v>
      </c>
      <c r="AU295" s="8">
        <v>0</v>
      </c>
      <c r="AV295" s="1">
        <f t="shared" si="68"/>
        <v>0</v>
      </c>
      <c r="AW295" s="1">
        <f t="shared" si="78"/>
        <v>19.254999999999999</v>
      </c>
      <c r="AX295" s="1">
        <f t="shared" si="79"/>
        <v>19.254999999999999</v>
      </c>
    </row>
    <row r="296" spans="8:50">
      <c r="H296" s="1">
        <f t="shared" si="69"/>
        <v>274</v>
      </c>
      <c r="I296" s="14" t="s">
        <v>276</v>
      </c>
      <c r="J296" s="127">
        <f>'Organized Input Output'!D291</f>
        <v>0</v>
      </c>
      <c r="K296" s="104">
        <f t="shared" si="70"/>
        <v>0</v>
      </c>
      <c r="L296" s="104">
        <f t="shared" si="80"/>
        <v>18.509999999999998</v>
      </c>
      <c r="M296" s="104">
        <f t="shared" si="65"/>
        <v>0.745</v>
      </c>
      <c r="T296" s="1">
        <f t="shared" si="71"/>
        <v>274</v>
      </c>
      <c r="U296" s="14" t="s">
        <v>276</v>
      </c>
      <c r="V296" s="8">
        <v>0</v>
      </c>
      <c r="W296" s="1">
        <f t="shared" si="66"/>
        <v>0</v>
      </c>
      <c r="X296" s="1">
        <f t="shared" si="72"/>
        <v>15.224999999999998</v>
      </c>
      <c r="Y296" s="1">
        <f t="shared" si="73"/>
        <v>15.224999999999998</v>
      </c>
      <c r="AG296" s="1">
        <f t="shared" si="74"/>
        <v>274</v>
      </c>
      <c r="AH296" s="14" t="s">
        <v>276</v>
      </c>
      <c r="AI296" s="8">
        <v>0</v>
      </c>
      <c r="AJ296" s="1">
        <f t="shared" si="67"/>
        <v>0</v>
      </c>
      <c r="AK296" s="1">
        <f t="shared" si="75"/>
        <v>15.529999999999996</v>
      </c>
      <c r="AL296" s="1">
        <f t="shared" si="76"/>
        <v>15.529999999999996</v>
      </c>
      <c r="AS296" s="1">
        <f t="shared" si="77"/>
        <v>274</v>
      </c>
      <c r="AT296" s="14" t="s">
        <v>276</v>
      </c>
      <c r="AU296" s="8">
        <v>0</v>
      </c>
      <c r="AV296" s="1">
        <f t="shared" si="68"/>
        <v>0</v>
      </c>
      <c r="AW296" s="1">
        <f t="shared" si="78"/>
        <v>18.509999999999998</v>
      </c>
      <c r="AX296" s="1">
        <f t="shared" si="79"/>
        <v>18.509999999999998</v>
      </c>
    </row>
    <row r="297" spans="8:50">
      <c r="H297" s="1">
        <f t="shared" si="69"/>
        <v>275</v>
      </c>
      <c r="I297" s="14" t="s">
        <v>276</v>
      </c>
      <c r="J297" s="127">
        <f>'Organized Input Output'!D292</f>
        <v>0</v>
      </c>
      <c r="K297" s="104">
        <f t="shared" si="70"/>
        <v>0</v>
      </c>
      <c r="L297" s="104">
        <f t="shared" si="80"/>
        <v>17.764999999999997</v>
      </c>
      <c r="M297" s="104">
        <f t="shared" si="65"/>
        <v>0.745</v>
      </c>
      <c r="T297" s="1">
        <f t="shared" si="71"/>
        <v>275</v>
      </c>
      <c r="U297" s="14" t="s">
        <v>276</v>
      </c>
      <c r="V297" s="8">
        <v>0</v>
      </c>
      <c r="W297" s="1">
        <f t="shared" si="66"/>
        <v>0</v>
      </c>
      <c r="X297" s="1">
        <f t="shared" si="72"/>
        <v>14.479999999999999</v>
      </c>
      <c r="Y297" s="1">
        <f t="shared" si="73"/>
        <v>14.479999999999999</v>
      </c>
      <c r="AG297" s="1">
        <f t="shared" si="74"/>
        <v>275</v>
      </c>
      <c r="AH297" s="14" t="s">
        <v>276</v>
      </c>
      <c r="AI297" s="8">
        <v>0</v>
      </c>
      <c r="AJ297" s="1">
        <f t="shared" si="67"/>
        <v>0</v>
      </c>
      <c r="AK297" s="1">
        <f t="shared" si="75"/>
        <v>14.784999999999997</v>
      </c>
      <c r="AL297" s="1">
        <f t="shared" si="76"/>
        <v>14.784999999999997</v>
      </c>
      <c r="AS297" s="1">
        <f t="shared" si="77"/>
        <v>275</v>
      </c>
      <c r="AT297" s="14" t="s">
        <v>276</v>
      </c>
      <c r="AU297" s="8">
        <v>0</v>
      </c>
      <c r="AV297" s="1">
        <f t="shared" si="68"/>
        <v>0</v>
      </c>
      <c r="AW297" s="1">
        <f t="shared" si="78"/>
        <v>17.764999999999997</v>
      </c>
      <c r="AX297" s="1">
        <f t="shared" si="79"/>
        <v>17.764999999999997</v>
      </c>
    </row>
    <row r="298" spans="8:50">
      <c r="H298" s="1">
        <f t="shared" si="69"/>
        <v>276</v>
      </c>
      <c r="I298" s="14" t="s">
        <v>276</v>
      </c>
      <c r="J298" s="127">
        <f>'Organized Input Output'!D293</f>
        <v>57.8</v>
      </c>
      <c r="K298" s="104">
        <f t="shared" si="70"/>
        <v>63.58</v>
      </c>
      <c r="L298" s="104">
        <f t="shared" si="80"/>
        <v>20</v>
      </c>
      <c r="M298" s="104">
        <f t="shared" si="65"/>
        <v>0.745</v>
      </c>
      <c r="T298" s="1">
        <f t="shared" si="71"/>
        <v>276</v>
      </c>
      <c r="U298" s="14" t="s">
        <v>276</v>
      </c>
      <c r="V298" s="8">
        <v>0</v>
      </c>
      <c r="W298" s="1">
        <f t="shared" si="66"/>
        <v>0</v>
      </c>
      <c r="X298" s="1">
        <f t="shared" si="72"/>
        <v>13.734999999999999</v>
      </c>
      <c r="Y298" s="1">
        <f t="shared" si="73"/>
        <v>13.734999999999999</v>
      </c>
      <c r="AG298" s="1">
        <f t="shared" si="74"/>
        <v>276</v>
      </c>
      <c r="AH298" s="14" t="s">
        <v>276</v>
      </c>
      <c r="AI298" s="8">
        <v>0</v>
      </c>
      <c r="AJ298" s="1">
        <f t="shared" si="67"/>
        <v>0</v>
      </c>
      <c r="AK298" s="1">
        <f t="shared" si="75"/>
        <v>14.039999999999997</v>
      </c>
      <c r="AL298" s="1">
        <f t="shared" si="76"/>
        <v>14.039999999999997</v>
      </c>
      <c r="AS298" s="1">
        <f t="shared" si="77"/>
        <v>276</v>
      </c>
      <c r="AT298" s="14" t="s">
        <v>276</v>
      </c>
      <c r="AU298" s="8">
        <v>57.8</v>
      </c>
      <c r="AV298" s="1">
        <f t="shared" si="68"/>
        <v>63.58</v>
      </c>
      <c r="AW298" s="1">
        <f t="shared" si="78"/>
        <v>20</v>
      </c>
      <c r="AX298" s="1">
        <f t="shared" si="79"/>
        <v>0</v>
      </c>
    </row>
    <row r="299" spans="8:50">
      <c r="H299" s="1">
        <f t="shared" si="69"/>
        <v>277</v>
      </c>
      <c r="I299" s="14" t="s">
        <v>276</v>
      </c>
      <c r="J299" s="127">
        <f>'Organized Input Output'!D294</f>
        <v>6</v>
      </c>
      <c r="K299" s="104">
        <f t="shared" si="70"/>
        <v>6.6000000000000005</v>
      </c>
      <c r="L299" s="104">
        <f t="shared" si="80"/>
        <v>20</v>
      </c>
      <c r="M299" s="104">
        <f t="shared" si="65"/>
        <v>0.745</v>
      </c>
      <c r="T299" s="1">
        <f t="shared" si="71"/>
        <v>277</v>
      </c>
      <c r="U299" s="14" t="s">
        <v>276</v>
      </c>
      <c r="V299" s="8">
        <v>0</v>
      </c>
      <c r="W299" s="1">
        <f t="shared" si="66"/>
        <v>0</v>
      </c>
      <c r="X299" s="1">
        <f t="shared" si="72"/>
        <v>12.99</v>
      </c>
      <c r="Y299" s="1">
        <f t="shared" si="73"/>
        <v>12.99</v>
      </c>
      <c r="AG299" s="1">
        <f t="shared" si="74"/>
        <v>277</v>
      </c>
      <c r="AH299" s="14" t="s">
        <v>276</v>
      </c>
      <c r="AI299" s="8">
        <v>0</v>
      </c>
      <c r="AJ299" s="1">
        <f t="shared" si="67"/>
        <v>0</v>
      </c>
      <c r="AK299" s="1">
        <f t="shared" si="75"/>
        <v>13.294999999999998</v>
      </c>
      <c r="AL299" s="1">
        <f t="shared" si="76"/>
        <v>13.294999999999998</v>
      </c>
      <c r="AS299" s="1">
        <f t="shared" si="77"/>
        <v>277</v>
      </c>
      <c r="AT299" s="14" t="s">
        <v>276</v>
      </c>
      <c r="AU299" s="8">
        <v>6</v>
      </c>
      <c r="AV299" s="1">
        <f t="shared" si="68"/>
        <v>6.6000000000000005</v>
      </c>
      <c r="AW299" s="1">
        <f t="shared" si="78"/>
        <v>20</v>
      </c>
      <c r="AX299" s="1">
        <f t="shared" si="79"/>
        <v>0</v>
      </c>
    </row>
    <row r="300" spans="8:50">
      <c r="H300" s="1">
        <f t="shared" si="69"/>
        <v>278</v>
      </c>
      <c r="I300" s="14" t="s">
        <v>276</v>
      </c>
      <c r="J300" s="127">
        <f>'Organized Input Output'!D295</f>
        <v>9.1999999999999993</v>
      </c>
      <c r="K300" s="104">
        <f t="shared" si="70"/>
        <v>10.119999999999999</v>
      </c>
      <c r="L300" s="104">
        <f t="shared" si="80"/>
        <v>20</v>
      </c>
      <c r="M300" s="104">
        <f t="shared" si="65"/>
        <v>0.745</v>
      </c>
      <c r="T300" s="1">
        <f t="shared" si="71"/>
        <v>278</v>
      </c>
      <c r="U300" s="14" t="s">
        <v>276</v>
      </c>
      <c r="V300" s="8">
        <v>0</v>
      </c>
      <c r="W300" s="1">
        <f t="shared" si="66"/>
        <v>0</v>
      </c>
      <c r="X300" s="1">
        <f t="shared" si="72"/>
        <v>12.245000000000001</v>
      </c>
      <c r="Y300" s="1">
        <f t="shared" si="73"/>
        <v>12.245000000000001</v>
      </c>
      <c r="AG300" s="1">
        <f t="shared" si="74"/>
        <v>278</v>
      </c>
      <c r="AH300" s="14" t="s">
        <v>276</v>
      </c>
      <c r="AI300" s="8">
        <v>0</v>
      </c>
      <c r="AJ300" s="1">
        <f t="shared" si="67"/>
        <v>0</v>
      </c>
      <c r="AK300" s="1">
        <f t="shared" si="75"/>
        <v>12.549999999999999</v>
      </c>
      <c r="AL300" s="1">
        <f t="shared" si="76"/>
        <v>12.549999999999999</v>
      </c>
      <c r="AS300" s="1">
        <f t="shared" si="77"/>
        <v>278</v>
      </c>
      <c r="AT300" s="14" t="s">
        <v>276</v>
      </c>
      <c r="AU300" s="8">
        <v>9.1999999999999993</v>
      </c>
      <c r="AV300" s="1">
        <f t="shared" si="68"/>
        <v>10.119999999999999</v>
      </c>
      <c r="AW300" s="1">
        <f t="shared" si="78"/>
        <v>20</v>
      </c>
      <c r="AX300" s="1">
        <f t="shared" si="79"/>
        <v>0</v>
      </c>
    </row>
    <row r="301" spans="8:50">
      <c r="H301" s="1">
        <f t="shared" si="69"/>
        <v>279</v>
      </c>
      <c r="I301" s="14" t="s">
        <v>276</v>
      </c>
      <c r="J301" s="127">
        <f>'Organized Input Output'!D296</f>
        <v>0.4</v>
      </c>
      <c r="K301" s="104">
        <f t="shared" si="70"/>
        <v>0.44</v>
      </c>
      <c r="L301" s="104">
        <f t="shared" si="80"/>
        <v>19.695</v>
      </c>
      <c r="M301" s="104">
        <f t="shared" si="65"/>
        <v>0.745</v>
      </c>
      <c r="T301" s="1">
        <f t="shared" si="71"/>
        <v>279</v>
      </c>
      <c r="U301" s="14" t="s">
        <v>276</v>
      </c>
      <c r="V301" s="8">
        <v>2.4</v>
      </c>
      <c r="W301" s="1">
        <f t="shared" si="66"/>
        <v>2.6399999999999997</v>
      </c>
      <c r="X301" s="1">
        <f t="shared" si="72"/>
        <v>14.140000000000002</v>
      </c>
      <c r="Y301" s="1">
        <f t="shared" si="73"/>
        <v>0</v>
      </c>
      <c r="AG301" s="1">
        <f t="shared" si="74"/>
        <v>279</v>
      </c>
      <c r="AH301" s="14" t="s">
        <v>276</v>
      </c>
      <c r="AI301" s="8">
        <v>4</v>
      </c>
      <c r="AJ301" s="1">
        <f t="shared" si="67"/>
        <v>4.4000000000000004</v>
      </c>
      <c r="AK301" s="1">
        <f t="shared" si="75"/>
        <v>16.204999999999998</v>
      </c>
      <c r="AL301" s="1">
        <f t="shared" si="76"/>
        <v>0</v>
      </c>
      <c r="AS301" s="1">
        <f t="shared" si="77"/>
        <v>279</v>
      </c>
      <c r="AT301" s="14" t="s">
        <v>276</v>
      </c>
      <c r="AU301" s="8">
        <v>0.4</v>
      </c>
      <c r="AV301" s="1">
        <f t="shared" si="68"/>
        <v>0.44</v>
      </c>
      <c r="AW301" s="1">
        <f t="shared" si="78"/>
        <v>19.695</v>
      </c>
      <c r="AX301" s="1">
        <f t="shared" si="79"/>
        <v>9.1349999999999998</v>
      </c>
    </row>
    <row r="302" spans="8:50">
      <c r="H302" s="1">
        <f t="shared" si="69"/>
        <v>280</v>
      </c>
      <c r="I302" s="14" t="s">
        <v>276</v>
      </c>
      <c r="J302" s="127">
        <f>'Organized Input Output'!D297</f>
        <v>0</v>
      </c>
      <c r="K302" s="104">
        <f t="shared" si="70"/>
        <v>0</v>
      </c>
      <c r="L302" s="104">
        <f t="shared" si="80"/>
        <v>18.95</v>
      </c>
      <c r="M302" s="104">
        <f t="shared" si="65"/>
        <v>0.745</v>
      </c>
      <c r="T302" s="1">
        <f t="shared" si="71"/>
        <v>280</v>
      </c>
      <c r="U302" s="14" t="s">
        <v>276</v>
      </c>
      <c r="V302" s="8">
        <v>9</v>
      </c>
      <c r="W302" s="1">
        <f t="shared" si="66"/>
        <v>9.8999999999999986</v>
      </c>
      <c r="X302" s="1">
        <f t="shared" si="72"/>
        <v>20</v>
      </c>
      <c r="Y302" s="1">
        <f t="shared" si="73"/>
        <v>0</v>
      </c>
      <c r="AG302" s="1">
        <f t="shared" si="74"/>
        <v>280</v>
      </c>
      <c r="AH302" s="14" t="s">
        <v>276</v>
      </c>
      <c r="AI302" s="8">
        <v>15.6</v>
      </c>
      <c r="AJ302" s="1">
        <f t="shared" si="67"/>
        <v>17.16</v>
      </c>
      <c r="AK302" s="1">
        <f t="shared" si="75"/>
        <v>20</v>
      </c>
      <c r="AL302" s="1">
        <f t="shared" si="76"/>
        <v>0</v>
      </c>
      <c r="AS302" s="1">
        <f t="shared" si="77"/>
        <v>280</v>
      </c>
      <c r="AT302" s="14" t="s">
        <v>276</v>
      </c>
      <c r="AU302" s="8">
        <v>0</v>
      </c>
      <c r="AV302" s="1">
        <f t="shared" si="68"/>
        <v>0</v>
      </c>
      <c r="AW302" s="1">
        <f t="shared" si="78"/>
        <v>18.95</v>
      </c>
      <c r="AX302" s="1">
        <f t="shared" si="79"/>
        <v>18.95</v>
      </c>
    </row>
    <row r="303" spans="8:50">
      <c r="H303" s="1">
        <f t="shared" si="69"/>
        <v>281</v>
      </c>
      <c r="I303" s="14" t="s">
        <v>276</v>
      </c>
      <c r="J303" s="127">
        <f>'Organized Input Output'!D298</f>
        <v>1.4</v>
      </c>
      <c r="K303" s="104">
        <f t="shared" si="70"/>
        <v>1.54</v>
      </c>
      <c r="L303" s="104">
        <f t="shared" si="80"/>
        <v>19.744999999999997</v>
      </c>
      <c r="M303" s="104">
        <f t="shared" si="65"/>
        <v>0.745</v>
      </c>
      <c r="T303" s="1">
        <f t="shared" si="71"/>
        <v>281</v>
      </c>
      <c r="U303" s="14" t="s">
        <v>276</v>
      </c>
      <c r="V303" s="8">
        <v>1</v>
      </c>
      <c r="W303" s="1">
        <f t="shared" si="66"/>
        <v>1.1000000000000001</v>
      </c>
      <c r="X303" s="1">
        <f t="shared" si="72"/>
        <v>20</v>
      </c>
      <c r="Y303" s="1">
        <f t="shared" si="73"/>
        <v>0</v>
      </c>
      <c r="AG303" s="1">
        <f t="shared" si="74"/>
        <v>281</v>
      </c>
      <c r="AH303" s="14" t="s">
        <v>276</v>
      </c>
      <c r="AI303" s="8">
        <v>9.1999999999999993</v>
      </c>
      <c r="AJ303" s="1">
        <f t="shared" si="67"/>
        <v>10.119999999999999</v>
      </c>
      <c r="AK303" s="1">
        <f t="shared" si="75"/>
        <v>20</v>
      </c>
      <c r="AL303" s="1">
        <f t="shared" si="76"/>
        <v>0</v>
      </c>
      <c r="AS303" s="1">
        <f t="shared" si="77"/>
        <v>281</v>
      </c>
      <c r="AT303" s="14" t="s">
        <v>276</v>
      </c>
      <c r="AU303" s="8">
        <v>1.4</v>
      </c>
      <c r="AV303" s="1">
        <f t="shared" si="68"/>
        <v>1.54</v>
      </c>
      <c r="AW303" s="1">
        <f t="shared" si="78"/>
        <v>19.744999999999997</v>
      </c>
      <c r="AX303" s="1">
        <f t="shared" si="79"/>
        <v>0</v>
      </c>
    </row>
    <row r="304" spans="8:50">
      <c r="H304" s="1">
        <f t="shared" si="69"/>
        <v>282</v>
      </c>
      <c r="I304" s="14" t="s">
        <v>276</v>
      </c>
      <c r="J304" s="127">
        <f>'Organized Input Output'!D299</f>
        <v>1.8</v>
      </c>
      <c r="K304" s="104">
        <f t="shared" si="70"/>
        <v>1.98</v>
      </c>
      <c r="L304" s="104">
        <f t="shared" si="80"/>
        <v>20</v>
      </c>
      <c r="M304" s="104">
        <f t="shared" si="65"/>
        <v>0.745</v>
      </c>
      <c r="T304" s="1">
        <f t="shared" si="71"/>
        <v>282</v>
      </c>
      <c r="U304" s="14" t="s">
        <v>276</v>
      </c>
      <c r="V304" s="8">
        <v>15.6</v>
      </c>
      <c r="W304" s="1">
        <f t="shared" si="66"/>
        <v>17.16</v>
      </c>
      <c r="X304" s="1">
        <f t="shared" si="72"/>
        <v>20</v>
      </c>
      <c r="Y304" s="1">
        <f t="shared" si="73"/>
        <v>0</v>
      </c>
      <c r="AG304" s="1">
        <f t="shared" si="74"/>
        <v>282</v>
      </c>
      <c r="AH304" s="14" t="s">
        <v>276</v>
      </c>
      <c r="AI304" s="8">
        <v>26.4</v>
      </c>
      <c r="AJ304" s="1">
        <f t="shared" si="67"/>
        <v>29.04</v>
      </c>
      <c r="AK304" s="1">
        <f t="shared" si="75"/>
        <v>20</v>
      </c>
      <c r="AL304" s="1">
        <f t="shared" si="76"/>
        <v>0</v>
      </c>
      <c r="AS304" s="1">
        <f t="shared" si="77"/>
        <v>282</v>
      </c>
      <c r="AT304" s="14" t="s">
        <v>276</v>
      </c>
      <c r="AU304" s="8">
        <v>1.8</v>
      </c>
      <c r="AV304" s="1">
        <f t="shared" si="68"/>
        <v>1.98</v>
      </c>
      <c r="AW304" s="1">
        <f t="shared" si="78"/>
        <v>20</v>
      </c>
      <c r="AX304" s="1">
        <f t="shared" si="79"/>
        <v>0</v>
      </c>
    </row>
    <row r="305" spans="8:50">
      <c r="H305" s="1">
        <f t="shared" si="69"/>
        <v>283</v>
      </c>
      <c r="I305" s="14" t="s">
        <v>276</v>
      </c>
      <c r="J305" s="127">
        <f>'Organized Input Output'!D300</f>
        <v>17.8</v>
      </c>
      <c r="K305" s="104">
        <f t="shared" si="70"/>
        <v>19.579999999999998</v>
      </c>
      <c r="L305" s="104">
        <f t="shared" si="80"/>
        <v>20</v>
      </c>
      <c r="M305" s="104">
        <f t="shared" si="65"/>
        <v>0.745</v>
      </c>
      <c r="T305" s="1">
        <f t="shared" si="71"/>
        <v>283</v>
      </c>
      <c r="U305" s="14" t="s">
        <v>276</v>
      </c>
      <c r="V305" s="8">
        <v>14.4</v>
      </c>
      <c r="W305" s="1">
        <f t="shared" si="66"/>
        <v>15.84</v>
      </c>
      <c r="X305" s="1">
        <f t="shared" si="72"/>
        <v>20</v>
      </c>
      <c r="Y305" s="1">
        <f t="shared" si="73"/>
        <v>0</v>
      </c>
      <c r="AG305" s="1">
        <f t="shared" si="74"/>
        <v>283</v>
      </c>
      <c r="AH305" s="14" t="s">
        <v>276</v>
      </c>
      <c r="AI305" s="8">
        <v>27</v>
      </c>
      <c r="AJ305" s="1">
        <f t="shared" si="67"/>
        <v>29.7</v>
      </c>
      <c r="AK305" s="1">
        <f t="shared" si="75"/>
        <v>20</v>
      </c>
      <c r="AL305" s="1">
        <f t="shared" si="76"/>
        <v>0</v>
      </c>
      <c r="AS305" s="1">
        <f t="shared" si="77"/>
        <v>283</v>
      </c>
      <c r="AT305" s="14" t="s">
        <v>276</v>
      </c>
      <c r="AU305" s="8">
        <v>17.8</v>
      </c>
      <c r="AV305" s="1">
        <f t="shared" si="68"/>
        <v>19.579999999999998</v>
      </c>
      <c r="AW305" s="1">
        <f t="shared" si="78"/>
        <v>20</v>
      </c>
      <c r="AX305" s="1">
        <f t="shared" si="79"/>
        <v>0</v>
      </c>
    </row>
    <row r="306" spans="8:50">
      <c r="H306" s="1">
        <f t="shared" si="69"/>
        <v>284</v>
      </c>
      <c r="I306" s="14" t="s">
        <v>276</v>
      </c>
      <c r="J306" s="127">
        <f>'Organized Input Output'!D301</f>
        <v>15.4</v>
      </c>
      <c r="K306" s="104">
        <f t="shared" si="70"/>
        <v>16.940000000000001</v>
      </c>
      <c r="L306" s="104">
        <f t="shared" si="80"/>
        <v>20</v>
      </c>
      <c r="M306" s="104">
        <f t="shared" si="65"/>
        <v>0.745</v>
      </c>
      <c r="T306" s="1">
        <f t="shared" si="71"/>
        <v>284</v>
      </c>
      <c r="U306" s="14" t="s">
        <v>276</v>
      </c>
      <c r="V306" s="8">
        <v>7.8</v>
      </c>
      <c r="W306" s="1">
        <f t="shared" si="66"/>
        <v>8.58</v>
      </c>
      <c r="X306" s="1">
        <f t="shared" si="72"/>
        <v>20</v>
      </c>
      <c r="Y306" s="1">
        <f t="shared" si="73"/>
        <v>0</v>
      </c>
      <c r="AG306" s="1">
        <f t="shared" si="74"/>
        <v>284</v>
      </c>
      <c r="AH306" s="14" t="s">
        <v>276</v>
      </c>
      <c r="AI306" s="8">
        <v>37.6</v>
      </c>
      <c r="AJ306" s="1">
        <f t="shared" si="67"/>
        <v>41.36</v>
      </c>
      <c r="AK306" s="1">
        <f t="shared" si="75"/>
        <v>20</v>
      </c>
      <c r="AL306" s="1">
        <f t="shared" si="76"/>
        <v>0</v>
      </c>
      <c r="AS306" s="1">
        <f t="shared" si="77"/>
        <v>284</v>
      </c>
      <c r="AT306" s="14" t="s">
        <v>276</v>
      </c>
      <c r="AU306" s="8">
        <v>15.4</v>
      </c>
      <c r="AV306" s="1">
        <f t="shared" si="68"/>
        <v>16.940000000000001</v>
      </c>
      <c r="AW306" s="1">
        <f t="shared" si="78"/>
        <v>20</v>
      </c>
      <c r="AX306" s="1">
        <f t="shared" si="79"/>
        <v>0</v>
      </c>
    </row>
    <row r="307" spans="8:50">
      <c r="H307" s="1">
        <f t="shared" si="69"/>
        <v>285</v>
      </c>
      <c r="I307" s="14" t="s">
        <v>276</v>
      </c>
      <c r="J307" s="127">
        <f>'Organized Input Output'!D302</f>
        <v>33</v>
      </c>
      <c r="K307" s="104">
        <f t="shared" si="70"/>
        <v>36.300000000000004</v>
      </c>
      <c r="L307" s="104">
        <f t="shared" si="80"/>
        <v>20</v>
      </c>
      <c r="M307" s="104">
        <f t="shared" si="65"/>
        <v>0.745</v>
      </c>
      <c r="T307" s="1">
        <f t="shared" si="71"/>
        <v>285</v>
      </c>
      <c r="U307" s="14" t="s">
        <v>276</v>
      </c>
      <c r="V307" s="8">
        <v>6</v>
      </c>
      <c r="W307" s="1">
        <f t="shared" si="66"/>
        <v>6.6000000000000005</v>
      </c>
      <c r="X307" s="1">
        <f t="shared" si="72"/>
        <v>20</v>
      </c>
      <c r="Y307" s="1">
        <f t="shared" si="73"/>
        <v>0</v>
      </c>
      <c r="AG307" s="1">
        <f t="shared" si="74"/>
        <v>285</v>
      </c>
      <c r="AH307" s="14" t="s">
        <v>276</v>
      </c>
      <c r="AI307" s="8">
        <v>0.8</v>
      </c>
      <c r="AJ307" s="1">
        <f t="shared" si="67"/>
        <v>0.88</v>
      </c>
      <c r="AK307" s="1">
        <f t="shared" si="75"/>
        <v>20</v>
      </c>
      <c r="AL307" s="1">
        <f t="shared" si="76"/>
        <v>0</v>
      </c>
      <c r="AS307" s="1">
        <f t="shared" si="77"/>
        <v>285</v>
      </c>
      <c r="AT307" s="14" t="s">
        <v>276</v>
      </c>
      <c r="AU307" s="8">
        <v>33</v>
      </c>
      <c r="AV307" s="1">
        <f t="shared" si="68"/>
        <v>36.300000000000004</v>
      </c>
      <c r="AW307" s="1">
        <f t="shared" si="78"/>
        <v>20</v>
      </c>
      <c r="AX307" s="1">
        <f t="shared" si="79"/>
        <v>0</v>
      </c>
    </row>
    <row r="308" spans="8:50">
      <c r="H308" s="1">
        <f t="shared" si="69"/>
        <v>286</v>
      </c>
      <c r="I308" s="14" t="s">
        <v>276</v>
      </c>
      <c r="J308" s="127">
        <f>'Organized Input Output'!D303</f>
        <v>31.4</v>
      </c>
      <c r="K308" s="104">
        <f t="shared" si="70"/>
        <v>34.54</v>
      </c>
      <c r="L308" s="104">
        <f t="shared" si="80"/>
        <v>20</v>
      </c>
      <c r="M308" s="104">
        <f t="shared" si="65"/>
        <v>0.745</v>
      </c>
      <c r="T308" s="1">
        <f t="shared" si="71"/>
        <v>286</v>
      </c>
      <c r="U308" s="14" t="s">
        <v>276</v>
      </c>
      <c r="V308" s="8">
        <v>0</v>
      </c>
      <c r="W308" s="1">
        <f t="shared" si="66"/>
        <v>0</v>
      </c>
      <c r="X308" s="1">
        <f t="shared" si="72"/>
        <v>19.254999999999999</v>
      </c>
      <c r="Y308" s="1">
        <f t="shared" si="73"/>
        <v>19.254999999999999</v>
      </c>
      <c r="AG308" s="1">
        <f t="shared" si="74"/>
        <v>286</v>
      </c>
      <c r="AH308" s="14" t="s">
        <v>276</v>
      </c>
      <c r="AI308" s="8">
        <v>0.6</v>
      </c>
      <c r="AJ308" s="1">
        <f t="shared" si="67"/>
        <v>0.65999999999999992</v>
      </c>
      <c r="AK308" s="1">
        <f t="shared" si="75"/>
        <v>19.914999999999999</v>
      </c>
      <c r="AL308" s="1">
        <f t="shared" si="76"/>
        <v>4.0750000000000011</v>
      </c>
      <c r="AS308" s="1">
        <f t="shared" si="77"/>
        <v>286</v>
      </c>
      <c r="AT308" s="14" t="s">
        <v>276</v>
      </c>
      <c r="AU308" s="8">
        <v>31.4</v>
      </c>
      <c r="AV308" s="1">
        <f t="shared" si="68"/>
        <v>34.54</v>
      </c>
      <c r="AW308" s="1">
        <f t="shared" si="78"/>
        <v>20</v>
      </c>
      <c r="AX308" s="1">
        <f t="shared" si="79"/>
        <v>0</v>
      </c>
    </row>
    <row r="309" spans="8:50">
      <c r="H309" s="1">
        <f t="shared" si="69"/>
        <v>287</v>
      </c>
      <c r="I309" s="14" t="s">
        <v>276</v>
      </c>
      <c r="J309" s="127">
        <f>'Organized Input Output'!D304</f>
        <v>28.4</v>
      </c>
      <c r="K309" s="104">
        <f t="shared" si="70"/>
        <v>31.24</v>
      </c>
      <c r="L309" s="104">
        <f t="shared" si="80"/>
        <v>20</v>
      </c>
      <c r="M309" s="104">
        <f t="shared" si="65"/>
        <v>0.745</v>
      </c>
      <c r="T309" s="1">
        <f t="shared" si="71"/>
        <v>287</v>
      </c>
      <c r="U309" s="14" t="s">
        <v>276</v>
      </c>
      <c r="V309" s="8">
        <v>0</v>
      </c>
      <c r="W309" s="1">
        <f t="shared" si="66"/>
        <v>0</v>
      </c>
      <c r="X309" s="1">
        <f t="shared" si="72"/>
        <v>18.509999999999998</v>
      </c>
      <c r="Y309" s="1">
        <f t="shared" si="73"/>
        <v>18.509999999999998</v>
      </c>
      <c r="AG309" s="1">
        <f t="shared" si="74"/>
        <v>287</v>
      </c>
      <c r="AH309" s="14" t="s">
        <v>276</v>
      </c>
      <c r="AI309" s="8">
        <v>0</v>
      </c>
      <c r="AJ309" s="1">
        <f t="shared" si="67"/>
        <v>0</v>
      </c>
      <c r="AK309" s="1">
        <f t="shared" si="75"/>
        <v>19.169999999999998</v>
      </c>
      <c r="AL309" s="1">
        <f t="shared" si="76"/>
        <v>19.169999999999998</v>
      </c>
      <c r="AS309" s="1">
        <f t="shared" si="77"/>
        <v>287</v>
      </c>
      <c r="AT309" s="14" t="s">
        <v>276</v>
      </c>
      <c r="AU309" s="8">
        <v>28.4</v>
      </c>
      <c r="AV309" s="1">
        <f t="shared" si="68"/>
        <v>31.24</v>
      </c>
      <c r="AW309" s="1">
        <f t="shared" si="78"/>
        <v>20</v>
      </c>
      <c r="AX309" s="1">
        <f t="shared" si="79"/>
        <v>0</v>
      </c>
    </row>
    <row r="310" spans="8:50">
      <c r="H310" s="1">
        <f t="shared" si="69"/>
        <v>288</v>
      </c>
      <c r="I310" s="14" t="s">
        <v>276</v>
      </c>
      <c r="J310" s="127">
        <f>'Organized Input Output'!D305</f>
        <v>6.4</v>
      </c>
      <c r="K310" s="104">
        <f t="shared" si="70"/>
        <v>7.04</v>
      </c>
      <c r="L310" s="104">
        <f t="shared" si="80"/>
        <v>20</v>
      </c>
      <c r="M310" s="104">
        <f t="shared" ref="M310:M373" si="81">IF(I310="Jan", 0, $D$11)</f>
        <v>0.745</v>
      </c>
      <c r="T310" s="1">
        <f t="shared" si="71"/>
        <v>288</v>
      </c>
      <c r="U310" s="14" t="s">
        <v>276</v>
      </c>
      <c r="V310" s="8">
        <v>0</v>
      </c>
      <c r="W310" s="1">
        <f t="shared" si="66"/>
        <v>0</v>
      </c>
      <c r="X310" s="1">
        <f t="shared" si="72"/>
        <v>17.764999999999997</v>
      </c>
      <c r="Y310" s="1">
        <f t="shared" si="73"/>
        <v>17.764999999999997</v>
      </c>
      <c r="AG310" s="1">
        <f t="shared" si="74"/>
        <v>288</v>
      </c>
      <c r="AH310" s="14" t="s">
        <v>276</v>
      </c>
      <c r="AI310" s="8">
        <v>0</v>
      </c>
      <c r="AJ310" s="1">
        <f t="shared" si="67"/>
        <v>0</v>
      </c>
      <c r="AK310" s="1">
        <f t="shared" si="75"/>
        <v>18.424999999999997</v>
      </c>
      <c r="AL310" s="1">
        <f t="shared" si="76"/>
        <v>18.424999999999997</v>
      </c>
      <c r="AS310" s="1">
        <f t="shared" si="77"/>
        <v>288</v>
      </c>
      <c r="AT310" s="14" t="s">
        <v>276</v>
      </c>
      <c r="AU310" s="8">
        <v>6.4</v>
      </c>
      <c r="AV310" s="1">
        <f t="shared" si="68"/>
        <v>7.04</v>
      </c>
      <c r="AW310" s="1">
        <f t="shared" si="78"/>
        <v>20</v>
      </c>
      <c r="AX310" s="1">
        <f t="shared" si="79"/>
        <v>0</v>
      </c>
    </row>
    <row r="311" spans="8:50">
      <c r="H311" s="1">
        <f t="shared" si="69"/>
        <v>289</v>
      </c>
      <c r="I311" s="14" t="s">
        <v>276</v>
      </c>
      <c r="J311" s="127">
        <f>'Organized Input Output'!D306</f>
        <v>17.2</v>
      </c>
      <c r="K311" s="104">
        <f t="shared" si="70"/>
        <v>18.920000000000002</v>
      </c>
      <c r="L311" s="104">
        <f t="shared" si="80"/>
        <v>20</v>
      </c>
      <c r="M311" s="104">
        <f t="shared" si="81"/>
        <v>0.745</v>
      </c>
      <c r="T311" s="1">
        <f t="shared" si="71"/>
        <v>289</v>
      </c>
      <c r="U311" s="14" t="s">
        <v>276</v>
      </c>
      <c r="V311" s="8">
        <v>4.8</v>
      </c>
      <c r="W311" s="1">
        <f t="shared" si="66"/>
        <v>5.2799999999999994</v>
      </c>
      <c r="X311" s="1">
        <f t="shared" si="72"/>
        <v>20</v>
      </c>
      <c r="Y311" s="1">
        <f t="shared" si="73"/>
        <v>0</v>
      </c>
      <c r="AG311" s="1">
        <f t="shared" si="74"/>
        <v>289</v>
      </c>
      <c r="AH311" s="14" t="s">
        <v>276</v>
      </c>
      <c r="AI311" s="8">
        <v>14.2</v>
      </c>
      <c r="AJ311" s="1">
        <f t="shared" si="67"/>
        <v>15.62</v>
      </c>
      <c r="AK311" s="1">
        <f t="shared" si="75"/>
        <v>20</v>
      </c>
      <c r="AL311" s="1">
        <f t="shared" si="76"/>
        <v>0</v>
      </c>
      <c r="AS311" s="1">
        <f t="shared" si="77"/>
        <v>289</v>
      </c>
      <c r="AT311" s="14" t="s">
        <v>276</v>
      </c>
      <c r="AU311" s="8">
        <v>17.2</v>
      </c>
      <c r="AV311" s="1">
        <f t="shared" si="68"/>
        <v>18.920000000000002</v>
      </c>
      <c r="AW311" s="1">
        <f t="shared" si="78"/>
        <v>20</v>
      </c>
      <c r="AX311" s="1">
        <f t="shared" si="79"/>
        <v>0</v>
      </c>
    </row>
    <row r="312" spans="8:50">
      <c r="H312" s="1">
        <f t="shared" si="69"/>
        <v>290</v>
      </c>
      <c r="I312" s="14" t="s">
        <v>276</v>
      </c>
      <c r="J312" s="127">
        <f>'Organized Input Output'!D307</f>
        <v>27</v>
      </c>
      <c r="K312" s="104">
        <f t="shared" si="70"/>
        <v>29.7</v>
      </c>
      <c r="L312" s="104">
        <f t="shared" si="80"/>
        <v>20</v>
      </c>
      <c r="M312" s="104">
        <f t="shared" si="81"/>
        <v>0.745</v>
      </c>
      <c r="T312" s="1">
        <f t="shared" si="71"/>
        <v>290</v>
      </c>
      <c r="U312" s="14" t="s">
        <v>276</v>
      </c>
      <c r="V312" s="8">
        <v>1.8</v>
      </c>
      <c r="W312" s="1">
        <f t="shared" si="66"/>
        <v>1.98</v>
      </c>
      <c r="X312" s="1">
        <f t="shared" si="72"/>
        <v>20</v>
      </c>
      <c r="Y312" s="1">
        <f t="shared" si="73"/>
        <v>0</v>
      </c>
      <c r="AG312" s="1">
        <f t="shared" si="74"/>
        <v>290</v>
      </c>
      <c r="AH312" s="14" t="s">
        <v>276</v>
      </c>
      <c r="AI312" s="8">
        <v>6.4</v>
      </c>
      <c r="AJ312" s="1">
        <f t="shared" si="67"/>
        <v>7.04</v>
      </c>
      <c r="AK312" s="1">
        <f t="shared" si="75"/>
        <v>20</v>
      </c>
      <c r="AL312" s="1">
        <f t="shared" si="76"/>
        <v>0</v>
      </c>
      <c r="AS312" s="1">
        <f t="shared" si="77"/>
        <v>290</v>
      </c>
      <c r="AT312" s="14" t="s">
        <v>276</v>
      </c>
      <c r="AU312" s="8">
        <v>27</v>
      </c>
      <c r="AV312" s="1">
        <f t="shared" si="68"/>
        <v>29.7</v>
      </c>
      <c r="AW312" s="1">
        <f t="shared" si="78"/>
        <v>20</v>
      </c>
      <c r="AX312" s="1">
        <f t="shared" si="79"/>
        <v>0</v>
      </c>
    </row>
    <row r="313" spans="8:50">
      <c r="H313" s="1">
        <f t="shared" si="69"/>
        <v>291</v>
      </c>
      <c r="I313" s="14" t="s">
        <v>276</v>
      </c>
      <c r="J313" s="127">
        <f>'Organized Input Output'!D308</f>
        <v>16.8</v>
      </c>
      <c r="K313" s="104">
        <f t="shared" si="70"/>
        <v>18.480000000000004</v>
      </c>
      <c r="L313" s="104">
        <f t="shared" si="80"/>
        <v>20</v>
      </c>
      <c r="M313" s="104">
        <f t="shared" si="81"/>
        <v>0.745</v>
      </c>
      <c r="T313" s="1">
        <f t="shared" si="71"/>
        <v>291</v>
      </c>
      <c r="U313" s="14" t="s">
        <v>276</v>
      </c>
      <c r="V313" s="8">
        <v>3.2</v>
      </c>
      <c r="W313" s="1">
        <f t="shared" si="66"/>
        <v>3.52</v>
      </c>
      <c r="X313" s="1">
        <f t="shared" si="72"/>
        <v>20</v>
      </c>
      <c r="Y313" s="1">
        <f t="shared" si="73"/>
        <v>0</v>
      </c>
      <c r="AG313" s="1">
        <f t="shared" si="74"/>
        <v>291</v>
      </c>
      <c r="AH313" s="14" t="s">
        <v>276</v>
      </c>
      <c r="AI313" s="8">
        <v>23.4</v>
      </c>
      <c r="AJ313" s="1">
        <f t="shared" si="67"/>
        <v>25.74</v>
      </c>
      <c r="AK313" s="1">
        <f t="shared" si="75"/>
        <v>20</v>
      </c>
      <c r="AL313" s="1">
        <f t="shared" si="76"/>
        <v>0</v>
      </c>
      <c r="AS313" s="1">
        <f t="shared" si="77"/>
        <v>291</v>
      </c>
      <c r="AT313" s="14" t="s">
        <v>276</v>
      </c>
      <c r="AU313" s="8">
        <v>16.8</v>
      </c>
      <c r="AV313" s="1">
        <f t="shared" si="68"/>
        <v>18.480000000000004</v>
      </c>
      <c r="AW313" s="1">
        <f t="shared" si="78"/>
        <v>20</v>
      </c>
      <c r="AX313" s="1">
        <f t="shared" si="79"/>
        <v>0</v>
      </c>
    </row>
    <row r="314" spans="8:50">
      <c r="H314" s="1">
        <f t="shared" si="69"/>
        <v>292</v>
      </c>
      <c r="I314" s="14" t="s">
        <v>276</v>
      </c>
      <c r="J314" s="127">
        <f>'Organized Input Output'!D309</f>
        <v>46.2</v>
      </c>
      <c r="K314" s="104">
        <f t="shared" si="70"/>
        <v>50.820000000000007</v>
      </c>
      <c r="L314" s="104">
        <f t="shared" si="80"/>
        <v>20</v>
      </c>
      <c r="M314" s="104">
        <f t="shared" si="81"/>
        <v>0.745</v>
      </c>
      <c r="T314" s="1">
        <f t="shared" si="71"/>
        <v>292</v>
      </c>
      <c r="U314" s="14" t="s">
        <v>276</v>
      </c>
      <c r="V314" s="8">
        <v>4.2</v>
      </c>
      <c r="W314" s="1">
        <f t="shared" si="66"/>
        <v>4.620000000000001</v>
      </c>
      <c r="X314" s="1">
        <f t="shared" si="72"/>
        <v>20</v>
      </c>
      <c r="Y314" s="1">
        <f t="shared" si="73"/>
        <v>0</v>
      </c>
      <c r="AG314" s="1">
        <f t="shared" si="74"/>
        <v>292</v>
      </c>
      <c r="AH314" s="14" t="s">
        <v>276</v>
      </c>
      <c r="AI314" s="8">
        <v>0.6</v>
      </c>
      <c r="AJ314" s="1">
        <f t="shared" si="67"/>
        <v>0.65999999999999992</v>
      </c>
      <c r="AK314" s="1">
        <f t="shared" si="75"/>
        <v>19.914999999999999</v>
      </c>
      <c r="AL314" s="1">
        <f t="shared" si="76"/>
        <v>4.0750000000000011</v>
      </c>
      <c r="AS314" s="1">
        <f t="shared" si="77"/>
        <v>292</v>
      </c>
      <c r="AT314" s="14" t="s">
        <v>276</v>
      </c>
      <c r="AU314" s="8">
        <v>46.2</v>
      </c>
      <c r="AV314" s="1">
        <f t="shared" si="68"/>
        <v>50.820000000000007</v>
      </c>
      <c r="AW314" s="1">
        <f t="shared" si="78"/>
        <v>20</v>
      </c>
      <c r="AX314" s="1">
        <f t="shared" si="79"/>
        <v>0</v>
      </c>
    </row>
    <row r="315" spans="8:50">
      <c r="H315" s="1">
        <f t="shared" si="69"/>
        <v>293</v>
      </c>
      <c r="I315" s="14" t="s">
        <v>276</v>
      </c>
      <c r="J315" s="127">
        <f>'Organized Input Output'!D310</f>
        <v>10.8</v>
      </c>
      <c r="K315" s="104">
        <f t="shared" si="70"/>
        <v>11.88</v>
      </c>
      <c r="L315" s="104">
        <f t="shared" si="80"/>
        <v>20</v>
      </c>
      <c r="M315" s="104">
        <f t="shared" si="81"/>
        <v>0.745</v>
      </c>
      <c r="T315" s="1">
        <f t="shared" si="71"/>
        <v>293</v>
      </c>
      <c r="U315" s="14" t="s">
        <v>276</v>
      </c>
      <c r="V315" s="8">
        <v>0</v>
      </c>
      <c r="W315" s="1">
        <f t="shared" si="66"/>
        <v>0</v>
      </c>
      <c r="X315" s="1">
        <f t="shared" si="72"/>
        <v>19.254999999999999</v>
      </c>
      <c r="Y315" s="1">
        <f t="shared" si="73"/>
        <v>19.254999999999999</v>
      </c>
      <c r="AG315" s="1">
        <f t="shared" si="74"/>
        <v>293</v>
      </c>
      <c r="AH315" s="14" t="s">
        <v>276</v>
      </c>
      <c r="AI315" s="8">
        <v>10.199999999999999</v>
      </c>
      <c r="AJ315" s="1">
        <f t="shared" si="67"/>
        <v>11.219999999999999</v>
      </c>
      <c r="AK315" s="1">
        <f t="shared" si="75"/>
        <v>20</v>
      </c>
      <c r="AL315" s="1">
        <f t="shared" si="76"/>
        <v>0</v>
      </c>
      <c r="AS315" s="1">
        <f t="shared" si="77"/>
        <v>293</v>
      </c>
      <c r="AT315" s="14" t="s">
        <v>276</v>
      </c>
      <c r="AU315" s="8">
        <v>10.8</v>
      </c>
      <c r="AV315" s="1">
        <f t="shared" si="68"/>
        <v>11.88</v>
      </c>
      <c r="AW315" s="1">
        <f t="shared" si="78"/>
        <v>20</v>
      </c>
      <c r="AX315" s="1">
        <f t="shared" si="79"/>
        <v>0</v>
      </c>
    </row>
    <row r="316" spans="8:50">
      <c r="H316" s="1">
        <f t="shared" si="69"/>
        <v>294</v>
      </c>
      <c r="I316" s="14" t="s">
        <v>276</v>
      </c>
      <c r="J316" s="127">
        <f>'Organized Input Output'!D311</f>
        <v>40.200000000000003</v>
      </c>
      <c r="K316" s="104">
        <f t="shared" si="70"/>
        <v>44.22</v>
      </c>
      <c r="L316" s="104">
        <f t="shared" si="80"/>
        <v>20</v>
      </c>
      <c r="M316" s="104">
        <f t="shared" si="81"/>
        <v>0.745</v>
      </c>
      <c r="T316" s="1">
        <f t="shared" si="71"/>
        <v>294</v>
      </c>
      <c r="U316" s="14" t="s">
        <v>276</v>
      </c>
      <c r="V316" s="8">
        <v>6</v>
      </c>
      <c r="W316" s="1">
        <f t="shared" si="66"/>
        <v>6.6000000000000005</v>
      </c>
      <c r="X316" s="1">
        <f t="shared" si="72"/>
        <v>20</v>
      </c>
      <c r="Y316" s="1">
        <f t="shared" si="73"/>
        <v>0</v>
      </c>
      <c r="AG316" s="1">
        <f t="shared" si="74"/>
        <v>294</v>
      </c>
      <c r="AH316" s="14" t="s">
        <v>276</v>
      </c>
      <c r="AI316" s="8">
        <v>4</v>
      </c>
      <c r="AJ316" s="1">
        <f t="shared" si="67"/>
        <v>4.4000000000000004</v>
      </c>
      <c r="AK316" s="1">
        <f t="shared" si="75"/>
        <v>20</v>
      </c>
      <c r="AL316" s="1">
        <f t="shared" si="76"/>
        <v>0</v>
      </c>
      <c r="AS316" s="1">
        <f t="shared" si="77"/>
        <v>294</v>
      </c>
      <c r="AT316" s="14" t="s">
        <v>276</v>
      </c>
      <c r="AU316" s="8">
        <v>40.200000000000003</v>
      </c>
      <c r="AV316" s="1">
        <f t="shared" si="68"/>
        <v>44.22</v>
      </c>
      <c r="AW316" s="1">
        <f t="shared" si="78"/>
        <v>20</v>
      </c>
      <c r="AX316" s="1">
        <f t="shared" si="79"/>
        <v>0</v>
      </c>
    </row>
    <row r="317" spans="8:50">
      <c r="H317" s="1">
        <f t="shared" si="69"/>
        <v>295</v>
      </c>
      <c r="I317" s="14" t="s">
        <v>276</v>
      </c>
      <c r="J317" s="127">
        <f>'Organized Input Output'!D312</f>
        <v>21.4</v>
      </c>
      <c r="K317" s="104">
        <f t="shared" si="70"/>
        <v>23.54</v>
      </c>
      <c r="L317" s="104">
        <f t="shared" si="80"/>
        <v>20</v>
      </c>
      <c r="M317" s="104">
        <f t="shared" si="81"/>
        <v>0.745</v>
      </c>
      <c r="T317" s="1">
        <f t="shared" si="71"/>
        <v>295</v>
      </c>
      <c r="U317" s="14" t="s">
        <v>276</v>
      </c>
      <c r="V317" s="8">
        <v>0</v>
      </c>
      <c r="W317" s="1">
        <f t="shared" si="66"/>
        <v>0</v>
      </c>
      <c r="X317" s="1">
        <f t="shared" si="72"/>
        <v>19.254999999999999</v>
      </c>
      <c r="Y317" s="1">
        <f t="shared" si="73"/>
        <v>19.254999999999999</v>
      </c>
      <c r="AG317" s="1">
        <f t="shared" si="74"/>
        <v>295</v>
      </c>
      <c r="AH317" s="14" t="s">
        <v>276</v>
      </c>
      <c r="AI317" s="8">
        <v>9.8000000000000007</v>
      </c>
      <c r="AJ317" s="1">
        <f t="shared" si="67"/>
        <v>10.780000000000001</v>
      </c>
      <c r="AK317" s="1">
        <f t="shared" si="75"/>
        <v>20</v>
      </c>
      <c r="AL317" s="1">
        <f t="shared" si="76"/>
        <v>0</v>
      </c>
      <c r="AS317" s="1">
        <f t="shared" si="77"/>
        <v>295</v>
      </c>
      <c r="AT317" s="14" t="s">
        <v>276</v>
      </c>
      <c r="AU317" s="8">
        <v>21.4</v>
      </c>
      <c r="AV317" s="1">
        <f t="shared" si="68"/>
        <v>23.54</v>
      </c>
      <c r="AW317" s="1">
        <f t="shared" si="78"/>
        <v>20</v>
      </c>
      <c r="AX317" s="1">
        <f t="shared" si="79"/>
        <v>0</v>
      </c>
    </row>
    <row r="318" spans="8:50">
      <c r="H318" s="1">
        <f t="shared" si="69"/>
        <v>296</v>
      </c>
      <c r="I318" s="14" t="s">
        <v>276</v>
      </c>
      <c r="J318" s="127">
        <f>'Organized Input Output'!D313</f>
        <v>9.4</v>
      </c>
      <c r="K318" s="104">
        <f t="shared" si="70"/>
        <v>10.34</v>
      </c>
      <c r="L318" s="104">
        <f t="shared" si="80"/>
        <v>20</v>
      </c>
      <c r="M318" s="104">
        <f t="shared" si="81"/>
        <v>0.745</v>
      </c>
      <c r="T318" s="1">
        <f t="shared" si="71"/>
        <v>296</v>
      </c>
      <c r="U318" s="14" t="s">
        <v>276</v>
      </c>
      <c r="V318" s="8">
        <v>0</v>
      </c>
      <c r="W318" s="1">
        <f t="shared" si="66"/>
        <v>0</v>
      </c>
      <c r="X318" s="1">
        <f t="shared" si="72"/>
        <v>18.509999999999998</v>
      </c>
      <c r="Y318" s="1">
        <f t="shared" si="73"/>
        <v>18.509999999999998</v>
      </c>
      <c r="AG318" s="1">
        <f t="shared" si="74"/>
        <v>296</v>
      </c>
      <c r="AH318" s="14" t="s">
        <v>276</v>
      </c>
      <c r="AI318" s="8">
        <v>0</v>
      </c>
      <c r="AJ318" s="1">
        <f t="shared" si="67"/>
        <v>0</v>
      </c>
      <c r="AK318" s="1">
        <f t="shared" si="75"/>
        <v>19.254999999999999</v>
      </c>
      <c r="AL318" s="1">
        <f t="shared" si="76"/>
        <v>19.254999999999999</v>
      </c>
      <c r="AS318" s="1">
        <f t="shared" si="77"/>
        <v>296</v>
      </c>
      <c r="AT318" s="14" t="s">
        <v>276</v>
      </c>
      <c r="AU318" s="8">
        <v>9.4</v>
      </c>
      <c r="AV318" s="1">
        <f t="shared" si="68"/>
        <v>10.34</v>
      </c>
      <c r="AW318" s="1">
        <f t="shared" si="78"/>
        <v>20</v>
      </c>
      <c r="AX318" s="1">
        <f t="shared" si="79"/>
        <v>0</v>
      </c>
    </row>
    <row r="319" spans="8:50">
      <c r="H319" s="1">
        <f t="shared" si="69"/>
        <v>297</v>
      </c>
      <c r="I319" s="14" t="s">
        <v>276</v>
      </c>
      <c r="J319" s="127">
        <f>'Organized Input Output'!D314</f>
        <v>1.6</v>
      </c>
      <c r="K319" s="104">
        <f t="shared" si="70"/>
        <v>1.76</v>
      </c>
      <c r="L319" s="104">
        <f t="shared" si="80"/>
        <v>20</v>
      </c>
      <c r="M319" s="104">
        <f t="shared" si="81"/>
        <v>0.745</v>
      </c>
      <c r="T319" s="1">
        <f t="shared" si="71"/>
        <v>297</v>
      </c>
      <c r="U319" s="14" t="s">
        <v>276</v>
      </c>
      <c r="V319" s="8">
        <v>0.8</v>
      </c>
      <c r="W319" s="1">
        <f t="shared" si="66"/>
        <v>0.88</v>
      </c>
      <c r="X319" s="1">
        <f t="shared" si="72"/>
        <v>18.644999999999996</v>
      </c>
      <c r="Y319" s="1">
        <f t="shared" si="73"/>
        <v>0</v>
      </c>
      <c r="AG319" s="1">
        <f t="shared" si="74"/>
        <v>297</v>
      </c>
      <c r="AH319" s="14" t="s">
        <v>276</v>
      </c>
      <c r="AI319" s="8">
        <v>5.8</v>
      </c>
      <c r="AJ319" s="1">
        <f t="shared" si="67"/>
        <v>6.38</v>
      </c>
      <c r="AK319" s="1">
        <f t="shared" si="75"/>
        <v>20</v>
      </c>
      <c r="AL319" s="1">
        <f t="shared" si="76"/>
        <v>0</v>
      </c>
      <c r="AS319" s="1">
        <f t="shared" si="77"/>
        <v>297</v>
      </c>
      <c r="AT319" s="14" t="s">
        <v>276</v>
      </c>
      <c r="AU319" s="8">
        <v>1.6</v>
      </c>
      <c r="AV319" s="1">
        <f t="shared" si="68"/>
        <v>1.76</v>
      </c>
      <c r="AW319" s="1">
        <f t="shared" si="78"/>
        <v>20</v>
      </c>
      <c r="AX319" s="1">
        <f t="shared" si="79"/>
        <v>0</v>
      </c>
    </row>
    <row r="320" spans="8:50">
      <c r="H320" s="1">
        <f t="shared" si="69"/>
        <v>298</v>
      </c>
      <c r="I320" s="14" t="s">
        <v>276</v>
      </c>
      <c r="J320" s="127">
        <f>'Organized Input Output'!D315</f>
        <v>21.8</v>
      </c>
      <c r="K320" s="104">
        <f t="shared" si="70"/>
        <v>23.98</v>
      </c>
      <c r="L320" s="104">
        <f t="shared" si="80"/>
        <v>20</v>
      </c>
      <c r="M320" s="104">
        <f t="shared" si="81"/>
        <v>0.745</v>
      </c>
      <c r="T320" s="1">
        <f t="shared" si="71"/>
        <v>298</v>
      </c>
      <c r="U320" s="14" t="s">
        <v>276</v>
      </c>
      <c r="V320" s="8">
        <v>0</v>
      </c>
      <c r="W320" s="1">
        <f t="shared" si="66"/>
        <v>0</v>
      </c>
      <c r="X320" s="1">
        <f t="shared" si="72"/>
        <v>17.899999999999995</v>
      </c>
      <c r="Y320" s="1">
        <f t="shared" si="73"/>
        <v>17.899999999999995</v>
      </c>
      <c r="AG320" s="1">
        <f t="shared" si="74"/>
        <v>298</v>
      </c>
      <c r="AH320" s="14" t="s">
        <v>276</v>
      </c>
      <c r="AI320" s="8">
        <v>4</v>
      </c>
      <c r="AJ320" s="1">
        <f t="shared" si="67"/>
        <v>4.4000000000000004</v>
      </c>
      <c r="AK320" s="1">
        <f t="shared" si="75"/>
        <v>20</v>
      </c>
      <c r="AL320" s="1">
        <f t="shared" si="76"/>
        <v>0</v>
      </c>
      <c r="AS320" s="1">
        <f t="shared" si="77"/>
        <v>298</v>
      </c>
      <c r="AT320" s="14" t="s">
        <v>276</v>
      </c>
      <c r="AU320" s="8">
        <v>21.8</v>
      </c>
      <c r="AV320" s="1">
        <f t="shared" si="68"/>
        <v>23.98</v>
      </c>
      <c r="AW320" s="1">
        <f t="shared" si="78"/>
        <v>20</v>
      </c>
      <c r="AX320" s="1">
        <f t="shared" si="79"/>
        <v>0</v>
      </c>
    </row>
    <row r="321" spans="8:50">
      <c r="H321" s="1">
        <f t="shared" si="69"/>
        <v>299</v>
      </c>
      <c r="I321" s="14" t="s">
        <v>276</v>
      </c>
      <c r="J321" s="127">
        <f>'Organized Input Output'!D316</f>
        <v>2.4</v>
      </c>
      <c r="K321" s="104">
        <f t="shared" si="70"/>
        <v>2.6399999999999997</v>
      </c>
      <c r="L321" s="104">
        <f t="shared" si="80"/>
        <v>20</v>
      </c>
      <c r="M321" s="104">
        <f t="shared" si="81"/>
        <v>0.745</v>
      </c>
      <c r="T321" s="1">
        <f t="shared" si="71"/>
        <v>299</v>
      </c>
      <c r="U321" s="14" t="s">
        <v>276</v>
      </c>
      <c r="V321" s="8">
        <v>0</v>
      </c>
      <c r="W321" s="1">
        <f t="shared" si="66"/>
        <v>0</v>
      </c>
      <c r="X321" s="1">
        <f t="shared" si="72"/>
        <v>17.154999999999994</v>
      </c>
      <c r="Y321" s="1">
        <f t="shared" si="73"/>
        <v>17.154999999999994</v>
      </c>
      <c r="AG321" s="1">
        <f t="shared" si="74"/>
        <v>299</v>
      </c>
      <c r="AH321" s="14" t="s">
        <v>276</v>
      </c>
      <c r="AI321" s="8">
        <v>0</v>
      </c>
      <c r="AJ321" s="1">
        <f t="shared" si="67"/>
        <v>0</v>
      </c>
      <c r="AK321" s="1">
        <f t="shared" si="75"/>
        <v>19.254999999999999</v>
      </c>
      <c r="AL321" s="1">
        <f t="shared" si="76"/>
        <v>19.254999999999999</v>
      </c>
      <c r="AS321" s="1">
        <f t="shared" si="77"/>
        <v>299</v>
      </c>
      <c r="AT321" s="14" t="s">
        <v>276</v>
      </c>
      <c r="AU321" s="8">
        <v>2.4</v>
      </c>
      <c r="AV321" s="1">
        <f t="shared" si="68"/>
        <v>2.6399999999999997</v>
      </c>
      <c r="AW321" s="1">
        <f t="shared" si="78"/>
        <v>20</v>
      </c>
      <c r="AX321" s="1">
        <f t="shared" si="79"/>
        <v>0</v>
      </c>
    </row>
    <row r="322" spans="8:50">
      <c r="H322" s="1">
        <f t="shared" si="69"/>
        <v>300</v>
      </c>
      <c r="I322" s="14" t="s">
        <v>276</v>
      </c>
      <c r="J322" s="127">
        <f>'Organized Input Output'!D317</f>
        <v>33.6</v>
      </c>
      <c r="K322" s="104">
        <f t="shared" si="70"/>
        <v>36.960000000000008</v>
      </c>
      <c r="L322" s="104">
        <f t="shared" si="80"/>
        <v>20</v>
      </c>
      <c r="M322" s="104">
        <f t="shared" si="81"/>
        <v>0.745</v>
      </c>
      <c r="T322" s="1">
        <f t="shared" si="71"/>
        <v>300</v>
      </c>
      <c r="U322" s="14" t="s">
        <v>276</v>
      </c>
      <c r="V322" s="8">
        <v>6</v>
      </c>
      <c r="W322" s="1">
        <f t="shared" si="66"/>
        <v>6.6000000000000005</v>
      </c>
      <c r="X322" s="1">
        <f t="shared" si="72"/>
        <v>20</v>
      </c>
      <c r="Y322" s="1">
        <f t="shared" si="73"/>
        <v>0</v>
      </c>
      <c r="AG322" s="1">
        <f t="shared" si="74"/>
        <v>300</v>
      </c>
      <c r="AH322" s="14" t="s">
        <v>276</v>
      </c>
      <c r="AI322" s="8">
        <v>6.8</v>
      </c>
      <c r="AJ322" s="1">
        <f t="shared" si="67"/>
        <v>7.4799999999999995</v>
      </c>
      <c r="AK322" s="1">
        <f t="shared" si="75"/>
        <v>20</v>
      </c>
      <c r="AL322" s="1">
        <f t="shared" si="76"/>
        <v>0</v>
      </c>
      <c r="AS322" s="1">
        <f t="shared" si="77"/>
        <v>300</v>
      </c>
      <c r="AT322" s="14" t="s">
        <v>276</v>
      </c>
      <c r="AU322" s="8">
        <v>33.6</v>
      </c>
      <c r="AV322" s="1">
        <f t="shared" si="68"/>
        <v>36.960000000000008</v>
      </c>
      <c r="AW322" s="1">
        <f t="shared" si="78"/>
        <v>20</v>
      </c>
      <c r="AX322" s="1">
        <f t="shared" si="79"/>
        <v>0</v>
      </c>
    </row>
    <row r="323" spans="8:50">
      <c r="H323" s="1">
        <f t="shared" si="69"/>
        <v>301</v>
      </c>
      <c r="I323" s="14" t="s">
        <v>276</v>
      </c>
      <c r="J323" s="127">
        <f>'Organized Input Output'!D318</f>
        <v>24.4</v>
      </c>
      <c r="K323" s="104">
        <f t="shared" si="70"/>
        <v>26.839999999999996</v>
      </c>
      <c r="L323" s="104">
        <f t="shared" si="80"/>
        <v>20</v>
      </c>
      <c r="M323" s="104">
        <f t="shared" si="81"/>
        <v>0.745</v>
      </c>
      <c r="T323" s="1">
        <f t="shared" si="71"/>
        <v>301</v>
      </c>
      <c r="U323" s="14" t="s">
        <v>276</v>
      </c>
      <c r="V323" s="8">
        <v>4.8</v>
      </c>
      <c r="W323" s="1">
        <f t="shared" si="66"/>
        <v>5.2799999999999994</v>
      </c>
      <c r="X323" s="1">
        <f t="shared" si="72"/>
        <v>20</v>
      </c>
      <c r="Y323" s="1">
        <f t="shared" si="73"/>
        <v>0</v>
      </c>
      <c r="AG323" s="1">
        <f t="shared" si="74"/>
        <v>301</v>
      </c>
      <c r="AH323" s="14" t="s">
        <v>276</v>
      </c>
      <c r="AI323" s="8">
        <v>39</v>
      </c>
      <c r="AJ323" s="1">
        <f t="shared" si="67"/>
        <v>42.9</v>
      </c>
      <c r="AK323" s="1">
        <f t="shared" si="75"/>
        <v>20</v>
      </c>
      <c r="AL323" s="1">
        <f t="shared" si="76"/>
        <v>0</v>
      </c>
      <c r="AS323" s="1">
        <f t="shared" si="77"/>
        <v>301</v>
      </c>
      <c r="AT323" s="14" t="s">
        <v>276</v>
      </c>
      <c r="AU323" s="8">
        <v>24.4</v>
      </c>
      <c r="AV323" s="1">
        <f t="shared" si="68"/>
        <v>26.839999999999996</v>
      </c>
      <c r="AW323" s="1">
        <f t="shared" si="78"/>
        <v>20</v>
      </c>
      <c r="AX323" s="1">
        <f t="shared" si="79"/>
        <v>0</v>
      </c>
    </row>
    <row r="324" spans="8:50">
      <c r="H324" s="1">
        <f t="shared" si="69"/>
        <v>302</v>
      </c>
      <c r="I324" s="14" t="s">
        <v>276</v>
      </c>
      <c r="J324" s="127">
        <f>'Organized Input Output'!D319</f>
        <v>7</v>
      </c>
      <c r="K324" s="104">
        <f t="shared" si="70"/>
        <v>7.7</v>
      </c>
      <c r="L324" s="104">
        <f t="shared" si="80"/>
        <v>20</v>
      </c>
      <c r="M324" s="104">
        <f t="shared" si="81"/>
        <v>0.745</v>
      </c>
      <c r="T324" s="1">
        <f t="shared" si="71"/>
        <v>302</v>
      </c>
      <c r="U324" s="14" t="s">
        <v>276</v>
      </c>
      <c r="V324" s="8">
        <v>10.199999999999999</v>
      </c>
      <c r="W324" s="1">
        <f t="shared" si="66"/>
        <v>11.219999999999999</v>
      </c>
      <c r="X324" s="1">
        <f t="shared" si="72"/>
        <v>20</v>
      </c>
      <c r="Y324" s="1">
        <f t="shared" si="73"/>
        <v>0</v>
      </c>
      <c r="AG324" s="1">
        <f t="shared" si="74"/>
        <v>302</v>
      </c>
      <c r="AH324" s="14" t="s">
        <v>276</v>
      </c>
      <c r="AI324" s="8">
        <v>40.6</v>
      </c>
      <c r="AJ324" s="1">
        <f t="shared" si="67"/>
        <v>44.660000000000004</v>
      </c>
      <c r="AK324" s="1">
        <f t="shared" si="75"/>
        <v>20</v>
      </c>
      <c r="AL324" s="1">
        <f t="shared" si="76"/>
        <v>0</v>
      </c>
      <c r="AS324" s="1">
        <f t="shared" si="77"/>
        <v>302</v>
      </c>
      <c r="AT324" s="14" t="s">
        <v>276</v>
      </c>
      <c r="AU324" s="8">
        <v>7</v>
      </c>
      <c r="AV324" s="1">
        <f t="shared" si="68"/>
        <v>7.7</v>
      </c>
      <c r="AW324" s="1">
        <f t="shared" si="78"/>
        <v>20</v>
      </c>
      <c r="AX324" s="1">
        <f t="shared" si="79"/>
        <v>0</v>
      </c>
    </row>
    <row r="325" spans="8:50">
      <c r="H325" s="1">
        <f t="shared" si="69"/>
        <v>303</v>
      </c>
      <c r="I325" s="14" t="s">
        <v>276</v>
      </c>
      <c r="J325" s="127">
        <f>'Organized Input Output'!D320</f>
        <v>9</v>
      </c>
      <c r="K325" s="104">
        <f t="shared" si="70"/>
        <v>9.8999999999999986</v>
      </c>
      <c r="L325" s="104">
        <f t="shared" si="80"/>
        <v>20</v>
      </c>
      <c r="M325" s="104">
        <f t="shared" si="81"/>
        <v>0.745</v>
      </c>
      <c r="T325" s="1">
        <f t="shared" si="71"/>
        <v>303</v>
      </c>
      <c r="U325" s="14" t="s">
        <v>276</v>
      </c>
      <c r="V325" s="8">
        <v>8</v>
      </c>
      <c r="W325" s="1">
        <f t="shared" si="66"/>
        <v>8.8000000000000007</v>
      </c>
      <c r="X325" s="1">
        <f t="shared" si="72"/>
        <v>20</v>
      </c>
      <c r="Y325" s="1">
        <f t="shared" si="73"/>
        <v>0</v>
      </c>
      <c r="AG325" s="1">
        <f t="shared" si="74"/>
        <v>303</v>
      </c>
      <c r="AH325" s="14" t="s">
        <v>276</v>
      </c>
      <c r="AI325" s="8">
        <v>35.4</v>
      </c>
      <c r="AJ325" s="1">
        <f t="shared" si="67"/>
        <v>38.94</v>
      </c>
      <c r="AK325" s="1">
        <f t="shared" si="75"/>
        <v>20</v>
      </c>
      <c r="AL325" s="1">
        <f t="shared" si="76"/>
        <v>0</v>
      </c>
      <c r="AS325" s="1">
        <f t="shared" si="77"/>
        <v>303</v>
      </c>
      <c r="AT325" s="14" t="s">
        <v>276</v>
      </c>
      <c r="AU325" s="8">
        <v>9</v>
      </c>
      <c r="AV325" s="1">
        <f t="shared" si="68"/>
        <v>9.8999999999999986</v>
      </c>
      <c r="AW325" s="1">
        <f t="shared" si="78"/>
        <v>20</v>
      </c>
      <c r="AX325" s="1">
        <f t="shared" si="79"/>
        <v>0</v>
      </c>
    </row>
    <row r="326" spans="8:50">
      <c r="H326" s="1">
        <f t="shared" si="69"/>
        <v>304</v>
      </c>
      <c r="I326" s="14" t="s">
        <v>276</v>
      </c>
      <c r="J326" s="127">
        <f>'Organized Input Output'!D321</f>
        <v>15</v>
      </c>
      <c r="K326" s="104">
        <f t="shared" si="70"/>
        <v>16.5</v>
      </c>
      <c r="L326" s="104">
        <f t="shared" si="80"/>
        <v>20</v>
      </c>
      <c r="M326" s="104">
        <f t="shared" si="81"/>
        <v>0.745</v>
      </c>
      <c r="T326" s="1">
        <f t="shared" si="71"/>
        <v>304</v>
      </c>
      <c r="U326" s="14" t="s">
        <v>276</v>
      </c>
      <c r="V326" s="8">
        <v>10</v>
      </c>
      <c r="W326" s="1">
        <f t="shared" si="66"/>
        <v>11</v>
      </c>
      <c r="X326" s="1">
        <f t="shared" si="72"/>
        <v>20</v>
      </c>
      <c r="Y326" s="1">
        <f t="shared" si="73"/>
        <v>0</v>
      </c>
      <c r="AG326" s="1">
        <f t="shared" si="74"/>
        <v>304</v>
      </c>
      <c r="AH326" s="14" t="s">
        <v>276</v>
      </c>
      <c r="AI326" s="8">
        <v>21.2</v>
      </c>
      <c r="AJ326" s="1">
        <f t="shared" si="67"/>
        <v>23.32</v>
      </c>
      <c r="AK326" s="1">
        <f t="shared" si="75"/>
        <v>20</v>
      </c>
      <c r="AL326" s="1">
        <f t="shared" si="76"/>
        <v>0</v>
      </c>
      <c r="AS326" s="1">
        <f t="shared" si="77"/>
        <v>304</v>
      </c>
      <c r="AT326" s="14" t="s">
        <v>276</v>
      </c>
      <c r="AU326" s="8">
        <v>15</v>
      </c>
      <c r="AV326" s="1">
        <f t="shared" si="68"/>
        <v>16.5</v>
      </c>
      <c r="AW326" s="1">
        <f t="shared" si="78"/>
        <v>20</v>
      </c>
      <c r="AX326" s="1">
        <f t="shared" si="79"/>
        <v>0</v>
      </c>
    </row>
    <row r="327" spans="8:50">
      <c r="H327" s="1">
        <f t="shared" si="69"/>
        <v>305</v>
      </c>
      <c r="I327" s="14" t="s">
        <v>277</v>
      </c>
      <c r="J327" s="127">
        <f>'Organized Input Output'!D322</f>
        <v>6.4</v>
      </c>
      <c r="K327" s="104">
        <f t="shared" si="70"/>
        <v>7.04</v>
      </c>
      <c r="L327" s="104">
        <f t="shared" si="80"/>
        <v>20</v>
      </c>
      <c r="M327" s="104">
        <f t="shared" si="81"/>
        <v>0.745</v>
      </c>
      <c r="T327" s="1">
        <f t="shared" si="71"/>
        <v>305</v>
      </c>
      <c r="U327" s="14" t="s">
        <v>277</v>
      </c>
      <c r="V327" s="8">
        <v>7.6</v>
      </c>
      <c r="W327" s="1">
        <f t="shared" si="66"/>
        <v>8.36</v>
      </c>
      <c r="X327" s="1">
        <f t="shared" si="72"/>
        <v>20</v>
      </c>
      <c r="Y327" s="1">
        <f t="shared" si="73"/>
        <v>0</v>
      </c>
      <c r="AG327" s="1">
        <f t="shared" si="74"/>
        <v>305</v>
      </c>
      <c r="AH327" s="14" t="s">
        <v>277</v>
      </c>
      <c r="AI327" s="8">
        <v>1.2</v>
      </c>
      <c r="AJ327" s="1">
        <f t="shared" si="67"/>
        <v>1.3199999999999998</v>
      </c>
      <c r="AK327" s="1">
        <f t="shared" si="75"/>
        <v>20</v>
      </c>
      <c r="AL327" s="1">
        <f t="shared" si="76"/>
        <v>0</v>
      </c>
      <c r="AS327" s="1">
        <f t="shared" si="77"/>
        <v>305</v>
      </c>
      <c r="AT327" s="14" t="s">
        <v>277</v>
      </c>
      <c r="AU327" s="8">
        <v>6.4</v>
      </c>
      <c r="AV327" s="1">
        <f t="shared" si="68"/>
        <v>7.04</v>
      </c>
      <c r="AW327" s="1">
        <f t="shared" si="78"/>
        <v>20</v>
      </c>
      <c r="AX327" s="1">
        <f t="shared" si="79"/>
        <v>0</v>
      </c>
    </row>
    <row r="328" spans="8:50">
      <c r="H328" s="1">
        <f t="shared" si="69"/>
        <v>306</v>
      </c>
      <c r="I328" s="14" t="s">
        <v>277</v>
      </c>
      <c r="J328" s="127">
        <f>'Organized Input Output'!D323</f>
        <v>37.6</v>
      </c>
      <c r="K328" s="104">
        <f t="shared" si="70"/>
        <v>41.36</v>
      </c>
      <c r="L328" s="104">
        <f t="shared" si="80"/>
        <v>20</v>
      </c>
      <c r="M328" s="104">
        <f t="shared" si="81"/>
        <v>0.745</v>
      </c>
      <c r="T328" s="1">
        <f t="shared" si="71"/>
        <v>306</v>
      </c>
      <c r="U328" s="14" t="s">
        <v>277</v>
      </c>
      <c r="V328" s="8">
        <v>0</v>
      </c>
      <c r="W328" s="1">
        <f t="shared" si="66"/>
        <v>0</v>
      </c>
      <c r="X328" s="1">
        <f t="shared" si="72"/>
        <v>19.254999999999999</v>
      </c>
      <c r="Y328" s="1">
        <f t="shared" si="73"/>
        <v>19.254999999999999</v>
      </c>
      <c r="AG328" s="1">
        <f t="shared" si="74"/>
        <v>306</v>
      </c>
      <c r="AH328" s="14" t="s">
        <v>277</v>
      </c>
      <c r="AI328" s="8">
        <v>0</v>
      </c>
      <c r="AJ328" s="1">
        <f t="shared" si="67"/>
        <v>0</v>
      </c>
      <c r="AK328" s="1">
        <f t="shared" si="75"/>
        <v>19.254999999999999</v>
      </c>
      <c r="AL328" s="1">
        <f t="shared" si="76"/>
        <v>19.254999999999999</v>
      </c>
      <c r="AS328" s="1">
        <f t="shared" si="77"/>
        <v>306</v>
      </c>
      <c r="AT328" s="14" t="s">
        <v>277</v>
      </c>
      <c r="AU328" s="8">
        <v>37.6</v>
      </c>
      <c r="AV328" s="1">
        <f t="shared" si="68"/>
        <v>41.36</v>
      </c>
      <c r="AW328" s="1">
        <f t="shared" si="78"/>
        <v>20</v>
      </c>
      <c r="AX328" s="1">
        <f t="shared" si="79"/>
        <v>0</v>
      </c>
    </row>
    <row r="329" spans="8:50">
      <c r="H329" s="1">
        <f t="shared" si="69"/>
        <v>307</v>
      </c>
      <c r="I329" s="14" t="s">
        <v>277</v>
      </c>
      <c r="J329" s="127">
        <f>'Organized Input Output'!D324</f>
        <v>35.200000000000003</v>
      </c>
      <c r="K329" s="104">
        <f t="shared" si="70"/>
        <v>38.72</v>
      </c>
      <c r="L329" s="104">
        <f t="shared" si="80"/>
        <v>20</v>
      </c>
      <c r="M329" s="104">
        <f t="shared" si="81"/>
        <v>0.745</v>
      </c>
      <c r="T329" s="1">
        <f t="shared" si="71"/>
        <v>307</v>
      </c>
      <c r="U329" s="14" t="s">
        <v>277</v>
      </c>
      <c r="V329" s="8">
        <v>0</v>
      </c>
      <c r="W329" s="1">
        <f t="shared" si="66"/>
        <v>0</v>
      </c>
      <c r="X329" s="1">
        <f t="shared" si="72"/>
        <v>18.509999999999998</v>
      </c>
      <c r="Y329" s="1">
        <f t="shared" si="73"/>
        <v>18.509999999999998</v>
      </c>
      <c r="AG329" s="1">
        <f t="shared" si="74"/>
        <v>307</v>
      </c>
      <c r="AH329" s="14" t="s">
        <v>277</v>
      </c>
      <c r="AI329" s="8">
        <v>0</v>
      </c>
      <c r="AJ329" s="1">
        <f t="shared" si="67"/>
        <v>0</v>
      </c>
      <c r="AK329" s="1">
        <f t="shared" si="75"/>
        <v>18.509999999999998</v>
      </c>
      <c r="AL329" s="1">
        <f t="shared" si="76"/>
        <v>18.509999999999998</v>
      </c>
      <c r="AS329" s="1">
        <f t="shared" si="77"/>
        <v>307</v>
      </c>
      <c r="AT329" s="14" t="s">
        <v>277</v>
      </c>
      <c r="AU329" s="8">
        <v>35.200000000000003</v>
      </c>
      <c r="AV329" s="1">
        <f t="shared" si="68"/>
        <v>38.72</v>
      </c>
      <c r="AW329" s="1">
        <f t="shared" si="78"/>
        <v>20</v>
      </c>
      <c r="AX329" s="1">
        <f t="shared" si="79"/>
        <v>0</v>
      </c>
    </row>
    <row r="330" spans="8:50">
      <c r="H330" s="1">
        <f t="shared" si="69"/>
        <v>308</v>
      </c>
      <c r="I330" s="14" t="s">
        <v>277</v>
      </c>
      <c r="J330" s="127">
        <f>'Organized Input Output'!D325</f>
        <v>9</v>
      </c>
      <c r="K330" s="104">
        <f t="shared" si="70"/>
        <v>9.8999999999999986</v>
      </c>
      <c r="L330" s="104">
        <f t="shared" si="80"/>
        <v>20</v>
      </c>
      <c r="M330" s="104">
        <f t="shared" si="81"/>
        <v>0.745</v>
      </c>
      <c r="T330" s="1">
        <f t="shared" si="71"/>
        <v>308</v>
      </c>
      <c r="U330" s="14" t="s">
        <v>277</v>
      </c>
      <c r="V330" s="8">
        <v>4.5999999999999996</v>
      </c>
      <c r="W330" s="1">
        <f t="shared" si="66"/>
        <v>5.0599999999999996</v>
      </c>
      <c r="X330" s="1">
        <f t="shared" si="72"/>
        <v>20</v>
      </c>
      <c r="Y330" s="1">
        <f t="shared" si="73"/>
        <v>0</v>
      </c>
      <c r="AG330" s="1">
        <f t="shared" si="74"/>
        <v>308</v>
      </c>
      <c r="AH330" s="14" t="s">
        <v>277</v>
      </c>
      <c r="AI330" s="8">
        <v>3.4</v>
      </c>
      <c r="AJ330" s="1">
        <f t="shared" si="67"/>
        <v>3.7399999999999998</v>
      </c>
      <c r="AK330" s="1">
        <f t="shared" si="75"/>
        <v>20</v>
      </c>
      <c r="AL330" s="1">
        <f t="shared" si="76"/>
        <v>0</v>
      </c>
      <c r="AS330" s="1">
        <f t="shared" si="77"/>
        <v>308</v>
      </c>
      <c r="AT330" s="14" t="s">
        <v>277</v>
      </c>
      <c r="AU330" s="8">
        <v>9</v>
      </c>
      <c r="AV330" s="1">
        <f t="shared" si="68"/>
        <v>9.8999999999999986</v>
      </c>
      <c r="AW330" s="1">
        <f t="shared" si="78"/>
        <v>20</v>
      </c>
      <c r="AX330" s="1">
        <f t="shared" si="79"/>
        <v>0</v>
      </c>
    </row>
    <row r="331" spans="8:50">
      <c r="H331" s="1">
        <f t="shared" si="69"/>
        <v>309</v>
      </c>
      <c r="I331" s="14" t="s">
        <v>277</v>
      </c>
      <c r="J331" s="127">
        <f>'Organized Input Output'!D326</f>
        <v>4.4000000000000004</v>
      </c>
      <c r="K331" s="104">
        <f t="shared" si="70"/>
        <v>4.84</v>
      </c>
      <c r="L331" s="104">
        <f t="shared" si="80"/>
        <v>20</v>
      </c>
      <c r="M331" s="104">
        <f t="shared" si="81"/>
        <v>0.745</v>
      </c>
      <c r="T331" s="1">
        <f t="shared" si="71"/>
        <v>309</v>
      </c>
      <c r="U331" s="14" t="s">
        <v>277</v>
      </c>
      <c r="V331" s="8">
        <v>2</v>
      </c>
      <c r="W331" s="1">
        <f t="shared" si="66"/>
        <v>2.2000000000000002</v>
      </c>
      <c r="X331" s="1">
        <f t="shared" si="72"/>
        <v>20</v>
      </c>
      <c r="Y331" s="1">
        <f t="shared" si="73"/>
        <v>0</v>
      </c>
      <c r="AG331" s="1">
        <f t="shared" si="74"/>
        <v>309</v>
      </c>
      <c r="AH331" s="14" t="s">
        <v>277</v>
      </c>
      <c r="AI331" s="8">
        <v>6</v>
      </c>
      <c r="AJ331" s="1">
        <f t="shared" si="67"/>
        <v>6.6000000000000005</v>
      </c>
      <c r="AK331" s="1">
        <f t="shared" si="75"/>
        <v>20</v>
      </c>
      <c r="AL331" s="1">
        <f t="shared" si="76"/>
        <v>0</v>
      </c>
      <c r="AS331" s="1">
        <f t="shared" si="77"/>
        <v>309</v>
      </c>
      <c r="AT331" s="14" t="s">
        <v>277</v>
      </c>
      <c r="AU331" s="8">
        <v>4.4000000000000004</v>
      </c>
      <c r="AV331" s="1">
        <f t="shared" si="68"/>
        <v>4.84</v>
      </c>
      <c r="AW331" s="1">
        <f t="shared" si="78"/>
        <v>20</v>
      </c>
      <c r="AX331" s="1">
        <f t="shared" si="79"/>
        <v>0</v>
      </c>
    </row>
    <row r="332" spans="8:50">
      <c r="H332" s="1">
        <f t="shared" si="69"/>
        <v>310</v>
      </c>
      <c r="I332" s="14" t="s">
        <v>277</v>
      </c>
      <c r="J332" s="127">
        <f>'Organized Input Output'!D327</f>
        <v>20.2</v>
      </c>
      <c r="K332" s="104">
        <f t="shared" si="70"/>
        <v>22.22</v>
      </c>
      <c r="L332" s="104">
        <f t="shared" si="80"/>
        <v>20</v>
      </c>
      <c r="M332" s="104">
        <f t="shared" si="81"/>
        <v>0.745</v>
      </c>
      <c r="T332" s="1">
        <f t="shared" si="71"/>
        <v>310</v>
      </c>
      <c r="U332" s="14" t="s">
        <v>277</v>
      </c>
      <c r="V332" s="8">
        <v>15</v>
      </c>
      <c r="W332" s="1">
        <f t="shared" si="66"/>
        <v>16.5</v>
      </c>
      <c r="X332" s="1">
        <f t="shared" si="72"/>
        <v>20</v>
      </c>
      <c r="Y332" s="1">
        <f t="shared" si="73"/>
        <v>0</v>
      </c>
      <c r="AG332" s="1">
        <f t="shared" si="74"/>
        <v>310</v>
      </c>
      <c r="AH332" s="14" t="s">
        <v>277</v>
      </c>
      <c r="AI332" s="8">
        <v>44.2</v>
      </c>
      <c r="AJ332" s="1">
        <f t="shared" si="67"/>
        <v>48.620000000000005</v>
      </c>
      <c r="AK332" s="1">
        <f t="shared" si="75"/>
        <v>20</v>
      </c>
      <c r="AL332" s="1">
        <f t="shared" si="76"/>
        <v>0</v>
      </c>
      <c r="AS332" s="1">
        <f t="shared" si="77"/>
        <v>310</v>
      </c>
      <c r="AT332" s="14" t="s">
        <v>277</v>
      </c>
      <c r="AU332" s="8">
        <v>20.2</v>
      </c>
      <c r="AV332" s="1">
        <f t="shared" si="68"/>
        <v>22.22</v>
      </c>
      <c r="AW332" s="1">
        <f t="shared" si="78"/>
        <v>20</v>
      </c>
      <c r="AX332" s="1">
        <f t="shared" si="79"/>
        <v>0</v>
      </c>
    </row>
    <row r="333" spans="8:50">
      <c r="H333" s="1">
        <f t="shared" si="69"/>
        <v>311</v>
      </c>
      <c r="I333" s="14" t="s">
        <v>277</v>
      </c>
      <c r="J333" s="127">
        <f>'Organized Input Output'!D328</f>
        <v>1.4</v>
      </c>
      <c r="K333" s="104">
        <f t="shared" si="70"/>
        <v>1.54</v>
      </c>
      <c r="L333" s="104">
        <f t="shared" si="80"/>
        <v>20</v>
      </c>
      <c r="M333" s="104">
        <f t="shared" si="81"/>
        <v>0.745</v>
      </c>
      <c r="T333" s="1">
        <f t="shared" si="71"/>
        <v>311</v>
      </c>
      <c r="U333" s="14" t="s">
        <v>277</v>
      </c>
      <c r="V333" s="8">
        <v>3.6</v>
      </c>
      <c r="W333" s="1">
        <f t="shared" si="66"/>
        <v>3.96</v>
      </c>
      <c r="X333" s="1">
        <f t="shared" si="72"/>
        <v>20</v>
      </c>
      <c r="Y333" s="1">
        <f t="shared" si="73"/>
        <v>0</v>
      </c>
      <c r="AG333" s="1">
        <f t="shared" si="74"/>
        <v>311</v>
      </c>
      <c r="AH333" s="14" t="s">
        <v>277</v>
      </c>
      <c r="AI333" s="8">
        <v>2.2000000000000002</v>
      </c>
      <c r="AJ333" s="1">
        <f t="shared" si="67"/>
        <v>2.42</v>
      </c>
      <c r="AK333" s="1">
        <f t="shared" si="75"/>
        <v>20</v>
      </c>
      <c r="AL333" s="1">
        <f t="shared" si="76"/>
        <v>0</v>
      </c>
      <c r="AS333" s="1">
        <f t="shared" si="77"/>
        <v>311</v>
      </c>
      <c r="AT333" s="14" t="s">
        <v>277</v>
      </c>
      <c r="AU333" s="8">
        <v>1.4</v>
      </c>
      <c r="AV333" s="1">
        <f t="shared" si="68"/>
        <v>1.54</v>
      </c>
      <c r="AW333" s="1">
        <f t="shared" si="78"/>
        <v>20</v>
      </c>
      <c r="AX333" s="1">
        <f t="shared" si="79"/>
        <v>0</v>
      </c>
    </row>
    <row r="334" spans="8:50">
      <c r="H334" s="1">
        <f t="shared" si="69"/>
        <v>312</v>
      </c>
      <c r="I334" s="14" t="s">
        <v>277</v>
      </c>
      <c r="J334" s="127">
        <f>'Organized Input Output'!D329</f>
        <v>34</v>
      </c>
      <c r="K334" s="104">
        <f t="shared" si="70"/>
        <v>37.400000000000006</v>
      </c>
      <c r="L334" s="104">
        <f t="shared" si="80"/>
        <v>20</v>
      </c>
      <c r="M334" s="104">
        <f t="shared" si="81"/>
        <v>0.745</v>
      </c>
      <c r="T334" s="1">
        <f t="shared" si="71"/>
        <v>312</v>
      </c>
      <c r="U334" s="14" t="s">
        <v>277</v>
      </c>
      <c r="V334" s="8">
        <v>4.4000000000000004</v>
      </c>
      <c r="W334" s="1">
        <f t="shared" si="66"/>
        <v>4.84</v>
      </c>
      <c r="X334" s="1">
        <f t="shared" si="72"/>
        <v>20</v>
      </c>
      <c r="Y334" s="1">
        <f t="shared" si="73"/>
        <v>0</v>
      </c>
      <c r="AG334" s="1">
        <f t="shared" si="74"/>
        <v>312</v>
      </c>
      <c r="AH334" s="14" t="s">
        <v>277</v>
      </c>
      <c r="AI334" s="8">
        <v>1.6</v>
      </c>
      <c r="AJ334" s="1">
        <f t="shared" si="67"/>
        <v>1.76</v>
      </c>
      <c r="AK334" s="1">
        <f t="shared" si="75"/>
        <v>20</v>
      </c>
      <c r="AL334" s="1">
        <f t="shared" si="76"/>
        <v>0</v>
      </c>
      <c r="AS334" s="1">
        <f t="shared" si="77"/>
        <v>312</v>
      </c>
      <c r="AT334" s="14" t="s">
        <v>277</v>
      </c>
      <c r="AU334" s="8">
        <v>34</v>
      </c>
      <c r="AV334" s="1">
        <f t="shared" si="68"/>
        <v>37.400000000000006</v>
      </c>
      <c r="AW334" s="1">
        <f t="shared" si="78"/>
        <v>20</v>
      </c>
      <c r="AX334" s="1">
        <f t="shared" si="79"/>
        <v>0</v>
      </c>
    </row>
    <row r="335" spans="8:50">
      <c r="H335" s="1">
        <f t="shared" si="69"/>
        <v>313</v>
      </c>
      <c r="I335" s="14" t="s">
        <v>277</v>
      </c>
      <c r="J335" s="127">
        <f>'Organized Input Output'!D330</f>
        <v>0</v>
      </c>
      <c r="K335" s="104">
        <f t="shared" si="70"/>
        <v>0</v>
      </c>
      <c r="L335" s="104">
        <f t="shared" si="80"/>
        <v>19.254999999999999</v>
      </c>
      <c r="M335" s="104">
        <f t="shared" si="81"/>
        <v>0.745</v>
      </c>
      <c r="T335" s="1">
        <f t="shared" si="71"/>
        <v>313</v>
      </c>
      <c r="U335" s="14" t="s">
        <v>277</v>
      </c>
      <c r="V335" s="8">
        <v>0</v>
      </c>
      <c r="W335" s="1">
        <f t="shared" si="66"/>
        <v>0</v>
      </c>
      <c r="X335" s="1">
        <f t="shared" si="72"/>
        <v>19.254999999999999</v>
      </c>
      <c r="Y335" s="1">
        <f t="shared" si="73"/>
        <v>19.254999999999999</v>
      </c>
      <c r="AG335" s="1">
        <f t="shared" si="74"/>
        <v>313</v>
      </c>
      <c r="AH335" s="14" t="s">
        <v>277</v>
      </c>
      <c r="AI335" s="8">
        <v>0</v>
      </c>
      <c r="AJ335" s="1">
        <f t="shared" si="67"/>
        <v>0</v>
      </c>
      <c r="AK335" s="1">
        <f t="shared" si="75"/>
        <v>19.254999999999999</v>
      </c>
      <c r="AL335" s="1">
        <f t="shared" si="76"/>
        <v>19.254999999999999</v>
      </c>
      <c r="AS335" s="1">
        <f t="shared" si="77"/>
        <v>313</v>
      </c>
      <c r="AT335" s="14" t="s">
        <v>277</v>
      </c>
      <c r="AU335" s="8">
        <v>0</v>
      </c>
      <c r="AV335" s="1">
        <f t="shared" si="68"/>
        <v>0</v>
      </c>
      <c r="AW335" s="1">
        <f t="shared" si="78"/>
        <v>19.254999999999999</v>
      </c>
      <c r="AX335" s="1">
        <f t="shared" si="79"/>
        <v>19.254999999999999</v>
      </c>
    </row>
    <row r="336" spans="8:50">
      <c r="H336" s="1">
        <f t="shared" si="69"/>
        <v>314</v>
      </c>
      <c r="I336" s="14" t="s">
        <v>277</v>
      </c>
      <c r="J336" s="127">
        <f>'Organized Input Output'!D331</f>
        <v>0</v>
      </c>
      <c r="K336" s="104">
        <f t="shared" si="70"/>
        <v>0</v>
      </c>
      <c r="L336" s="104">
        <f t="shared" si="80"/>
        <v>18.509999999999998</v>
      </c>
      <c r="M336" s="104">
        <f t="shared" si="81"/>
        <v>0.745</v>
      </c>
      <c r="T336" s="1">
        <f t="shared" si="71"/>
        <v>314</v>
      </c>
      <c r="U336" s="14" t="s">
        <v>277</v>
      </c>
      <c r="V336" s="8">
        <v>9.6</v>
      </c>
      <c r="W336" s="1">
        <f t="shared" si="66"/>
        <v>10.559999999999999</v>
      </c>
      <c r="X336" s="1">
        <f t="shared" si="72"/>
        <v>20</v>
      </c>
      <c r="Y336" s="1">
        <f t="shared" si="73"/>
        <v>0</v>
      </c>
      <c r="AG336" s="1">
        <f t="shared" si="74"/>
        <v>314</v>
      </c>
      <c r="AH336" s="14" t="s">
        <v>277</v>
      </c>
      <c r="AI336" s="8">
        <v>20.5</v>
      </c>
      <c r="AJ336" s="1">
        <f t="shared" si="67"/>
        <v>22.55</v>
      </c>
      <c r="AK336" s="1">
        <f t="shared" si="75"/>
        <v>20</v>
      </c>
      <c r="AL336" s="1">
        <f t="shared" si="76"/>
        <v>0</v>
      </c>
      <c r="AS336" s="1">
        <f t="shared" si="77"/>
        <v>314</v>
      </c>
      <c r="AT336" s="14" t="s">
        <v>277</v>
      </c>
      <c r="AU336" s="8">
        <v>0</v>
      </c>
      <c r="AV336" s="1">
        <f t="shared" si="68"/>
        <v>0</v>
      </c>
      <c r="AW336" s="1">
        <f t="shared" si="78"/>
        <v>18.509999999999998</v>
      </c>
      <c r="AX336" s="1">
        <f t="shared" si="79"/>
        <v>18.509999999999998</v>
      </c>
    </row>
    <row r="337" spans="8:50">
      <c r="H337" s="1">
        <f t="shared" si="69"/>
        <v>315</v>
      </c>
      <c r="I337" s="14" t="s">
        <v>277</v>
      </c>
      <c r="J337" s="127">
        <f>'Organized Input Output'!D332</f>
        <v>0</v>
      </c>
      <c r="K337" s="104">
        <f t="shared" si="70"/>
        <v>0</v>
      </c>
      <c r="L337" s="104">
        <f t="shared" si="80"/>
        <v>17.764999999999997</v>
      </c>
      <c r="M337" s="104">
        <f t="shared" si="81"/>
        <v>0.745</v>
      </c>
      <c r="T337" s="1">
        <f t="shared" si="71"/>
        <v>315</v>
      </c>
      <c r="U337" s="14" t="s">
        <v>277</v>
      </c>
      <c r="V337" s="8">
        <v>1.2</v>
      </c>
      <c r="W337" s="1">
        <f t="shared" si="66"/>
        <v>1.3199999999999998</v>
      </c>
      <c r="X337" s="1">
        <f t="shared" si="72"/>
        <v>20</v>
      </c>
      <c r="Y337" s="1">
        <f t="shared" si="73"/>
        <v>0</v>
      </c>
      <c r="AG337" s="1">
        <f t="shared" si="74"/>
        <v>315</v>
      </c>
      <c r="AH337" s="14" t="s">
        <v>277</v>
      </c>
      <c r="AI337" s="8">
        <v>18.8</v>
      </c>
      <c r="AJ337" s="1">
        <f t="shared" si="67"/>
        <v>20.68</v>
      </c>
      <c r="AK337" s="1">
        <f t="shared" si="75"/>
        <v>20</v>
      </c>
      <c r="AL337" s="1">
        <f t="shared" si="76"/>
        <v>0</v>
      </c>
      <c r="AS337" s="1">
        <f t="shared" si="77"/>
        <v>315</v>
      </c>
      <c r="AT337" s="14" t="s">
        <v>277</v>
      </c>
      <c r="AU337" s="8">
        <v>0</v>
      </c>
      <c r="AV337" s="1">
        <f t="shared" si="68"/>
        <v>0</v>
      </c>
      <c r="AW337" s="1">
        <f t="shared" si="78"/>
        <v>17.764999999999997</v>
      </c>
      <c r="AX337" s="1">
        <f t="shared" si="79"/>
        <v>17.764999999999997</v>
      </c>
    </row>
    <row r="338" spans="8:50">
      <c r="H338" s="1">
        <f t="shared" si="69"/>
        <v>316</v>
      </c>
      <c r="I338" s="14" t="s">
        <v>277</v>
      </c>
      <c r="J338" s="127">
        <f>'Organized Input Output'!D333</f>
        <v>0</v>
      </c>
      <c r="K338" s="104">
        <f t="shared" si="70"/>
        <v>0</v>
      </c>
      <c r="L338" s="104">
        <f t="shared" si="80"/>
        <v>17.019999999999996</v>
      </c>
      <c r="M338" s="104">
        <f t="shared" si="81"/>
        <v>0.745</v>
      </c>
      <c r="T338" s="1">
        <f t="shared" si="71"/>
        <v>316</v>
      </c>
      <c r="U338" s="14" t="s">
        <v>277</v>
      </c>
      <c r="V338" s="8">
        <v>8.1999999999999993</v>
      </c>
      <c r="W338" s="1">
        <f t="shared" si="66"/>
        <v>9.02</v>
      </c>
      <c r="X338" s="1">
        <f t="shared" si="72"/>
        <v>20</v>
      </c>
      <c r="Y338" s="1">
        <f t="shared" si="73"/>
        <v>0</v>
      </c>
      <c r="AG338" s="1">
        <f t="shared" si="74"/>
        <v>316</v>
      </c>
      <c r="AH338" s="14" t="s">
        <v>277</v>
      </c>
      <c r="AI338" s="8">
        <v>59</v>
      </c>
      <c r="AJ338" s="1">
        <f t="shared" si="67"/>
        <v>64.899999999999991</v>
      </c>
      <c r="AK338" s="1">
        <f t="shared" si="75"/>
        <v>20</v>
      </c>
      <c r="AL338" s="1">
        <f t="shared" si="76"/>
        <v>0</v>
      </c>
      <c r="AS338" s="1">
        <f t="shared" si="77"/>
        <v>316</v>
      </c>
      <c r="AT338" s="14" t="s">
        <v>277</v>
      </c>
      <c r="AU338" s="8">
        <v>0</v>
      </c>
      <c r="AV338" s="1">
        <f t="shared" si="68"/>
        <v>0</v>
      </c>
      <c r="AW338" s="1">
        <f t="shared" si="78"/>
        <v>17.019999999999996</v>
      </c>
      <c r="AX338" s="1">
        <f t="shared" si="79"/>
        <v>17.019999999999996</v>
      </c>
    </row>
    <row r="339" spans="8:50">
      <c r="H339" s="1">
        <f t="shared" si="69"/>
        <v>317</v>
      </c>
      <c r="I339" s="14" t="s">
        <v>277</v>
      </c>
      <c r="J339" s="127">
        <f>'Organized Input Output'!D334</f>
        <v>0</v>
      </c>
      <c r="K339" s="104">
        <f t="shared" si="70"/>
        <v>0</v>
      </c>
      <c r="L339" s="104">
        <f t="shared" si="80"/>
        <v>16.274999999999995</v>
      </c>
      <c r="M339" s="104">
        <f t="shared" si="81"/>
        <v>0.745</v>
      </c>
      <c r="T339" s="1">
        <f t="shared" si="71"/>
        <v>317</v>
      </c>
      <c r="U339" s="14" t="s">
        <v>277</v>
      </c>
      <c r="V339" s="8">
        <v>0.8</v>
      </c>
      <c r="W339" s="1">
        <f t="shared" si="66"/>
        <v>0.88</v>
      </c>
      <c r="X339" s="1">
        <f t="shared" si="72"/>
        <v>20</v>
      </c>
      <c r="Y339" s="1">
        <f t="shared" si="73"/>
        <v>0</v>
      </c>
      <c r="AG339" s="1">
        <f t="shared" si="74"/>
        <v>317</v>
      </c>
      <c r="AH339" s="14" t="s">
        <v>277</v>
      </c>
      <c r="AI339" s="8">
        <v>11.4</v>
      </c>
      <c r="AJ339" s="1">
        <f t="shared" si="67"/>
        <v>12.540000000000001</v>
      </c>
      <c r="AK339" s="1">
        <f t="shared" si="75"/>
        <v>20</v>
      </c>
      <c r="AL339" s="1">
        <f t="shared" si="76"/>
        <v>0</v>
      </c>
      <c r="AS339" s="1">
        <f t="shared" si="77"/>
        <v>317</v>
      </c>
      <c r="AT339" s="14" t="s">
        <v>277</v>
      </c>
      <c r="AU339" s="8">
        <v>0</v>
      </c>
      <c r="AV339" s="1">
        <f t="shared" si="68"/>
        <v>0</v>
      </c>
      <c r="AW339" s="1">
        <f t="shared" si="78"/>
        <v>16.274999999999995</v>
      </c>
      <c r="AX339" s="1">
        <f t="shared" si="79"/>
        <v>16.274999999999995</v>
      </c>
    </row>
    <row r="340" spans="8:50">
      <c r="H340" s="1">
        <f t="shared" si="69"/>
        <v>318</v>
      </c>
      <c r="I340" s="14" t="s">
        <v>277</v>
      </c>
      <c r="J340" s="127">
        <f>'Organized Input Output'!D335</f>
        <v>0</v>
      </c>
      <c r="K340" s="104">
        <f t="shared" si="70"/>
        <v>0</v>
      </c>
      <c r="L340" s="104">
        <f t="shared" si="80"/>
        <v>15.529999999999996</v>
      </c>
      <c r="M340" s="104">
        <f t="shared" si="81"/>
        <v>0.745</v>
      </c>
      <c r="T340" s="1">
        <f t="shared" si="71"/>
        <v>318</v>
      </c>
      <c r="U340" s="14" t="s">
        <v>277</v>
      </c>
      <c r="V340" s="8">
        <v>2.4</v>
      </c>
      <c r="W340" s="1">
        <f t="shared" si="66"/>
        <v>2.6399999999999997</v>
      </c>
      <c r="X340" s="1">
        <f t="shared" si="72"/>
        <v>20</v>
      </c>
      <c r="Y340" s="1">
        <f t="shared" si="73"/>
        <v>0</v>
      </c>
      <c r="AG340" s="1">
        <f t="shared" si="74"/>
        <v>318</v>
      </c>
      <c r="AH340" s="14" t="s">
        <v>277</v>
      </c>
      <c r="AI340" s="8">
        <v>0.6</v>
      </c>
      <c r="AJ340" s="1">
        <f t="shared" si="67"/>
        <v>0.65999999999999992</v>
      </c>
      <c r="AK340" s="1">
        <f t="shared" si="75"/>
        <v>19.914999999999999</v>
      </c>
      <c r="AL340" s="1">
        <f t="shared" si="76"/>
        <v>4.0750000000000011</v>
      </c>
      <c r="AS340" s="1">
        <f t="shared" si="77"/>
        <v>318</v>
      </c>
      <c r="AT340" s="14" t="s">
        <v>277</v>
      </c>
      <c r="AU340" s="8">
        <v>0</v>
      </c>
      <c r="AV340" s="1">
        <f t="shared" si="68"/>
        <v>0</v>
      </c>
      <c r="AW340" s="1">
        <f t="shared" si="78"/>
        <v>15.529999999999996</v>
      </c>
      <c r="AX340" s="1">
        <f t="shared" si="79"/>
        <v>15.529999999999996</v>
      </c>
    </row>
    <row r="341" spans="8:50">
      <c r="H341" s="1">
        <f t="shared" si="69"/>
        <v>319</v>
      </c>
      <c r="I341" s="14" t="s">
        <v>277</v>
      </c>
      <c r="J341" s="127">
        <f>'Organized Input Output'!D336</f>
        <v>0</v>
      </c>
      <c r="K341" s="104">
        <f t="shared" si="70"/>
        <v>0</v>
      </c>
      <c r="L341" s="104">
        <f t="shared" si="80"/>
        <v>14.784999999999997</v>
      </c>
      <c r="M341" s="104">
        <f t="shared" si="81"/>
        <v>0.745</v>
      </c>
      <c r="T341" s="1">
        <f t="shared" si="71"/>
        <v>319</v>
      </c>
      <c r="U341" s="14" t="s">
        <v>277</v>
      </c>
      <c r="V341" s="8">
        <v>0.2</v>
      </c>
      <c r="W341" s="1">
        <f t="shared" si="66"/>
        <v>0.22</v>
      </c>
      <c r="X341" s="1">
        <f t="shared" si="72"/>
        <v>19.474999999999998</v>
      </c>
      <c r="Y341" s="1">
        <f t="shared" si="73"/>
        <v>14.194999999999997</v>
      </c>
      <c r="AG341" s="1">
        <f t="shared" si="74"/>
        <v>319</v>
      </c>
      <c r="AH341" s="14" t="s">
        <v>277</v>
      </c>
      <c r="AI341" s="8">
        <v>6</v>
      </c>
      <c r="AJ341" s="1">
        <f t="shared" si="67"/>
        <v>6.6000000000000005</v>
      </c>
      <c r="AK341" s="1">
        <f t="shared" si="75"/>
        <v>20</v>
      </c>
      <c r="AL341" s="1">
        <f t="shared" si="76"/>
        <v>0</v>
      </c>
      <c r="AS341" s="1">
        <f t="shared" si="77"/>
        <v>319</v>
      </c>
      <c r="AT341" s="14" t="s">
        <v>277</v>
      </c>
      <c r="AU341" s="8">
        <v>0</v>
      </c>
      <c r="AV341" s="1">
        <f t="shared" si="68"/>
        <v>0</v>
      </c>
      <c r="AW341" s="1">
        <f t="shared" si="78"/>
        <v>14.784999999999997</v>
      </c>
      <c r="AX341" s="1">
        <f t="shared" si="79"/>
        <v>14.784999999999997</v>
      </c>
    </row>
    <row r="342" spans="8:50">
      <c r="H342" s="1">
        <f t="shared" si="69"/>
        <v>320</v>
      </c>
      <c r="I342" s="14" t="s">
        <v>277</v>
      </c>
      <c r="J342" s="127">
        <f>'Organized Input Output'!D337</f>
        <v>0</v>
      </c>
      <c r="K342" s="104">
        <f t="shared" si="70"/>
        <v>0</v>
      </c>
      <c r="L342" s="104">
        <f t="shared" si="80"/>
        <v>14.039999999999997</v>
      </c>
      <c r="M342" s="104">
        <f t="shared" si="81"/>
        <v>0.745</v>
      </c>
      <c r="T342" s="1">
        <f t="shared" si="71"/>
        <v>320</v>
      </c>
      <c r="U342" s="14" t="s">
        <v>277</v>
      </c>
      <c r="V342" s="8">
        <v>8.1999999999999993</v>
      </c>
      <c r="W342" s="1">
        <f t="shared" si="66"/>
        <v>9.02</v>
      </c>
      <c r="X342" s="1">
        <f t="shared" si="72"/>
        <v>20</v>
      </c>
      <c r="Y342" s="1">
        <f t="shared" si="73"/>
        <v>0</v>
      </c>
      <c r="AG342" s="1">
        <f t="shared" si="74"/>
        <v>320</v>
      </c>
      <c r="AH342" s="14" t="s">
        <v>277</v>
      </c>
      <c r="AI342" s="8">
        <v>55.4</v>
      </c>
      <c r="AJ342" s="1">
        <f t="shared" si="67"/>
        <v>60.94</v>
      </c>
      <c r="AK342" s="1">
        <f t="shared" si="75"/>
        <v>20</v>
      </c>
      <c r="AL342" s="1">
        <f t="shared" si="76"/>
        <v>0</v>
      </c>
      <c r="AS342" s="1">
        <f t="shared" si="77"/>
        <v>320</v>
      </c>
      <c r="AT342" s="14" t="s">
        <v>277</v>
      </c>
      <c r="AU342" s="8">
        <v>0</v>
      </c>
      <c r="AV342" s="1">
        <f t="shared" si="68"/>
        <v>0</v>
      </c>
      <c r="AW342" s="1">
        <f t="shared" si="78"/>
        <v>14.039999999999997</v>
      </c>
      <c r="AX342" s="1">
        <f t="shared" si="79"/>
        <v>14.039999999999997</v>
      </c>
    </row>
    <row r="343" spans="8:50">
      <c r="H343" s="1">
        <f t="shared" si="69"/>
        <v>321</v>
      </c>
      <c r="I343" s="14" t="s">
        <v>277</v>
      </c>
      <c r="J343" s="127">
        <f>'Organized Input Output'!D338</f>
        <v>0</v>
      </c>
      <c r="K343" s="104">
        <f t="shared" si="70"/>
        <v>0</v>
      </c>
      <c r="L343" s="104">
        <f t="shared" si="80"/>
        <v>13.294999999999998</v>
      </c>
      <c r="M343" s="104">
        <f t="shared" si="81"/>
        <v>0.745</v>
      </c>
      <c r="T343" s="1">
        <f t="shared" si="71"/>
        <v>321</v>
      </c>
      <c r="U343" s="14" t="s">
        <v>277</v>
      </c>
      <c r="V343" s="8">
        <v>5.8</v>
      </c>
      <c r="W343" s="1">
        <f t="shared" ref="W343:W387" si="82">(V343/1000)*$B$7</f>
        <v>6.38</v>
      </c>
      <c r="X343" s="1">
        <f t="shared" si="72"/>
        <v>20</v>
      </c>
      <c r="Y343" s="1">
        <f t="shared" si="73"/>
        <v>0</v>
      </c>
      <c r="AG343" s="1">
        <f t="shared" si="74"/>
        <v>321</v>
      </c>
      <c r="AH343" s="14" t="s">
        <v>277</v>
      </c>
      <c r="AI343" s="8">
        <v>6.2</v>
      </c>
      <c r="AJ343" s="1">
        <f t="shared" ref="AJ343:AJ387" si="83">(AI343/1000)*$B$7</f>
        <v>6.8199999999999994</v>
      </c>
      <c r="AK343" s="1">
        <f t="shared" si="75"/>
        <v>20</v>
      </c>
      <c r="AL343" s="1">
        <f t="shared" si="76"/>
        <v>0</v>
      </c>
      <c r="AS343" s="1">
        <f t="shared" si="77"/>
        <v>321</v>
      </c>
      <c r="AT343" s="14" t="s">
        <v>277</v>
      </c>
      <c r="AU343" s="8">
        <v>0</v>
      </c>
      <c r="AV343" s="1">
        <f t="shared" ref="AV343:AV387" si="84">(AU343/1000)*$B$7</f>
        <v>0</v>
      </c>
      <c r="AW343" s="1">
        <f t="shared" si="78"/>
        <v>13.294999999999998</v>
      </c>
      <c r="AX343" s="1">
        <f t="shared" si="79"/>
        <v>13.294999999999998</v>
      </c>
    </row>
    <row r="344" spans="8:50">
      <c r="H344" s="1">
        <f t="shared" ref="H344:H387" si="85">H343+1</f>
        <v>322</v>
      </c>
      <c r="I344" s="14" t="s">
        <v>277</v>
      </c>
      <c r="J344" s="127">
        <f>'Organized Input Output'!D339</f>
        <v>0</v>
      </c>
      <c r="K344" s="104">
        <f t="shared" ref="K344:K387" si="86">(J344/1000)*$B$7</f>
        <v>0</v>
      </c>
      <c r="L344" s="104">
        <f t="shared" si="80"/>
        <v>12.549999999999999</v>
      </c>
      <c r="M344" s="104">
        <f t="shared" si="81"/>
        <v>0.745</v>
      </c>
      <c r="T344" s="1">
        <f t="shared" ref="T344:T387" si="87">T343+1</f>
        <v>322</v>
      </c>
      <c r="U344" s="14" t="s">
        <v>277</v>
      </c>
      <c r="V344" s="8">
        <v>0</v>
      </c>
      <c r="W344" s="1">
        <f t="shared" si="82"/>
        <v>0</v>
      </c>
      <c r="X344" s="1">
        <f t="shared" ref="X344:X387" si="88">IF(MAX(0,MIN($B$8,X343 + W344 - $D$11))&gt;$B$8, $B$8, MAX(0,MIN($B$8,X343 + W344 - $D$11)))</f>
        <v>19.254999999999999</v>
      </c>
      <c r="Y344" s="1">
        <f t="shared" ref="Y344:Y387" si="89">IF(ISNUMBER(MATCH($M$7, U344:U708, 0)), 0, MAX(0, X344-(W344*24)))</f>
        <v>19.254999999999999</v>
      </c>
      <c r="AG344" s="1">
        <f t="shared" ref="AG344:AG387" si="90">AG343+1</f>
        <v>322</v>
      </c>
      <c r="AH344" s="14" t="s">
        <v>277</v>
      </c>
      <c r="AI344" s="8">
        <v>0</v>
      </c>
      <c r="AJ344" s="1">
        <f t="shared" si="83"/>
        <v>0</v>
      </c>
      <c r="AK344" s="1">
        <f t="shared" ref="AK344:AK387" si="91">IF(MAX(0,MIN($B$8,AK343 + AJ344 - $D$11))&gt;$B$8, $B$8, MAX(0,MIN($B$8,AK343 + AJ344 - $D$11)))</f>
        <v>19.254999999999999</v>
      </c>
      <c r="AL344" s="1">
        <f t="shared" ref="AL344:AL387" si="92">IF(ISNUMBER(MATCH($M$7, AH344:AH707, 0)), 0, MAX(0, AK344-(AJ344*24)))</f>
        <v>19.254999999999999</v>
      </c>
      <c r="AS344" s="1">
        <f t="shared" ref="AS344:AS387" si="93">AS343+1</f>
        <v>322</v>
      </c>
      <c r="AT344" s="14" t="s">
        <v>277</v>
      </c>
      <c r="AU344" s="8">
        <v>0</v>
      </c>
      <c r="AV344" s="1">
        <f t="shared" si="84"/>
        <v>0</v>
      </c>
      <c r="AW344" s="1">
        <f t="shared" ref="AW344:AW387" si="94">IF(MAX(0,MIN($B$8,AW343 + AV344 - $D$11))&gt;$B$8, $B$8, MAX(0,MIN($B$8,AW343 + AV344 - $D$11)))</f>
        <v>12.549999999999999</v>
      </c>
      <c r="AX344" s="1">
        <f t="shared" ref="AX344:AX387" si="95">IF(ISNUMBER(MATCH($M$7, AT344:AT707, 0)), 0, MAX(0, (AW344-(AV344*24))))</f>
        <v>12.549999999999999</v>
      </c>
    </row>
    <row r="345" spans="8:50">
      <c r="H345" s="1">
        <f t="shared" si="85"/>
        <v>323</v>
      </c>
      <c r="I345" s="14" t="s">
        <v>277</v>
      </c>
      <c r="J345" s="127">
        <f>'Organized Input Output'!D340</f>
        <v>3.4</v>
      </c>
      <c r="K345" s="104">
        <f t="shared" si="86"/>
        <v>3.7399999999999998</v>
      </c>
      <c r="L345" s="104">
        <f t="shared" ref="L345:L387" si="96">MAX(0, IF(I344 = "Jan", MIN($B$8, K345 + L344), MIN($B$8, L344 + K345 - $D$11)))</f>
        <v>15.545</v>
      </c>
      <c r="M345" s="104">
        <f t="shared" si="81"/>
        <v>0.745</v>
      </c>
      <c r="T345" s="1">
        <f t="shared" si="87"/>
        <v>323</v>
      </c>
      <c r="U345" s="14" t="s">
        <v>277</v>
      </c>
      <c r="V345" s="8">
        <v>0</v>
      </c>
      <c r="W345" s="1">
        <f t="shared" si="82"/>
        <v>0</v>
      </c>
      <c r="X345" s="1">
        <f t="shared" si="88"/>
        <v>18.509999999999998</v>
      </c>
      <c r="Y345" s="1">
        <f t="shared" si="89"/>
        <v>18.509999999999998</v>
      </c>
      <c r="AG345" s="1">
        <f t="shared" si="90"/>
        <v>323</v>
      </c>
      <c r="AH345" s="14" t="s">
        <v>277</v>
      </c>
      <c r="AI345" s="8">
        <v>0</v>
      </c>
      <c r="AJ345" s="1">
        <f t="shared" si="83"/>
        <v>0</v>
      </c>
      <c r="AK345" s="1">
        <f t="shared" si="91"/>
        <v>18.509999999999998</v>
      </c>
      <c r="AL345" s="1">
        <f t="shared" si="92"/>
        <v>18.509999999999998</v>
      </c>
      <c r="AS345" s="1">
        <f t="shared" si="93"/>
        <v>323</v>
      </c>
      <c r="AT345" s="14" t="s">
        <v>277</v>
      </c>
      <c r="AU345" s="8">
        <v>3.4</v>
      </c>
      <c r="AV345" s="1">
        <f t="shared" si="84"/>
        <v>3.7399999999999998</v>
      </c>
      <c r="AW345" s="1">
        <f t="shared" si="94"/>
        <v>15.545</v>
      </c>
      <c r="AX345" s="1">
        <f t="shared" si="95"/>
        <v>0</v>
      </c>
    </row>
    <row r="346" spans="8:50">
      <c r="H346" s="1">
        <f t="shared" si="85"/>
        <v>324</v>
      </c>
      <c r="I346" s="14" t="s">
        <v>277</v>
      </c>
      <c r="J346" s="127">
        <f>'Organized Input Output'!D341</f>
        <v>29.4</v>
      </c>
      <c r="K346" s="104">
        <f t="shared" si="86"/>
        <v>32.339999999999996</v>
      </c>
      <c r="L346" s="104">
        <f t="shared" si="96"/>
        <v>20</v>
      </c>
      <c r="M346" s="104">
        <f t="shared" si="81"/>
        <v>0.745</v>
      </c>
      <c r="T346" s="1">
        <f t="shared" si="87"/>
        <v>324</v>
      </c>
      <c r="U346" s="14" t="s">
        <v>277</v>
      </c>
      <c r="V346" s="8">
        <v>0</v>
      </c>
      <c r="W346" s="1">
        <f t="shared" si="82"/>
        <v>0</v>
      </c>
      <c r="X346" s="1">
        <f t="shared" si="88"/>
        <v>17.764999999999997</v>
      </c>
      <c r="Y346" s="1">
        <f t="shared" si="89"/>
        <v>17.764999999999997</v>
      </c>
      <c r="AG346" s="1">
        <f t="shared" si="90"/>
        <v>324</v>
      </c>
      <c r="AH346" s="14" t="s">
        <v>277</v>
      </c>
      <c r="AI346" s="8">
        <v>0</v>
      </c>
      <c r="AJ346" s="1">
        <f t="shared" si="83"/>
        <v>0</v>
      </c>
      <c r="AK346" s="1">
        <f t="shared" si="91"/>
        <v>17.764999999999997</v>
      </c>
      <c r="AL346" s="1">
        <f t="shared" si="92"/>
        <v>17.764999999999997</v>
      </c>
      <c r="AS346" s="1">
        <f t="shared" si="93"/>
        <v>324</v>
      </c>
      <c r="AT346" s="14" t="s">
        <v>277</v>
      </c>
      <c r="AU346" s="8">
        <v>29.4</v>
      </c>
      <c r="AV346" s="1">
        <f t="shared" si="84"/>
        <v>32.339999999999996</v>
      </c>
      <c r="AW346" s="1">
        <f t="shared" si="94"/>
        <v>20</v>
      </c>
      <c r="AX346" s="1">
        <f t="shared" si="95"/>
        <v>0</v>
      </c>
    </row>
    <row r="347" spans="8:50">
      <c r="H347" s="1">
        <f t="shared" si="85"/>
        <v>325</v>
      </c>
      <c r="I347" s="14" t="s">
        <v>277</v>
      </c>
      <c r="J347" s="127">
        <f>'Organized Input Output'!D342</f>
        <v>32.799999999999997</v>
      </c>
      <c r="K347" s="104">
        <f t="shared" si="86"/>
        <v>36.08</v>
      </c>
      <c r="L347" s="104">
        <f t="shared" si="96"/>
        <v>20</v>
      </c>
      <c r="M347" s="104">
        <f t="shared" si="81"/>
        <v>0.745</v>
      </c>
      <c r="T347" s="1">
        <f t="shared" si="87"/>
        <v>325</v>
      </c>
      <c r="U347" s="14" t="s">
        <v>277</v>
      </c>
      <c r="V347" s="8">
        <v>0</v>
      </c>
      <c r="W347" s="1">
        <f t="shared" si="82"/>
        <v>0</v>
      </c>
      <c r="X347" s="1">
        <f t="shared" si="88"/>
        <v>17.019999999999996</v>
      </c>
      <c r="Y347" s="1">
        <f t="shared" si="89"/>
        <v>17.019999999999996</v>
      </c>
      <c r="AG347" s="1">
        <f t="shared" si="90"/>
        <v>325</v>
      </c>
      <c r="AH347" s="14" t="s">
        <v>277</v>
      </c>
      <c r="AI347" s="8">
        <v>0</v>
      </c>
      <c r="AJ347" s="1">
        <f t="shared" si="83"/>
        <v>0</v>
      </c>
      <c r="AK347" s="1">
        <f t="shared" si="91"/>
        <v>17.019999999999996</v>
      </c>
      <c r="AL347" s="1">
        <f t="shared" si="92"/>
        <v>17.019999999999996</v>
      </c>
      <c r="AS347" s="1">
        <f t="shared" si="93"/>
        <v>325</v>
      </c>
      <c r="AT347" s="14" t="s">
        <v>277</v>
      </c>
      <c r="AU347" s="8">
        <v>32.799999999999997</v>
      </c>
      <c r="AV347" s="1">
        <f t="shared" si="84"/>
        <v>36.08</v>
      </c>
      <c r="AW347" s="1">
        <f t="shared" si="94"/>
        <v>20</v>
      </c>
      <c r="AX347" s="1">
        <f t="shared" si="95"/>
        <v>0</v>
      </c>
    </row>
    <row r="348" spans="8:50">
      <c r="H348" s="1">
        <f t="shared" si="85"/>
        <v>326</v>
      </c>
      <c r="I348" s="14" t="s">
        <v>277</v>
      </c>
      <c r="J348" s="127">
        <f>'Organized Input Output'!D343</f>
        <v>25.6</v>
      </c>
      <c r="K348" s="104">
        <f t="shared" si="86"/>
        <v>28.16</v>
      </c>
      <c r="L348" s="104">
        <f t="shared" si="96"/>
        <v>20</v>
      </c>
      <c r="M348" s="104">
        <f t="shared" si="81"/>
        <v>0.745</v>
      </c>
      <c r="T348" s="1">
        <f t="shared" si="87"/>
        <v>326</v>
      </c>
      <c r="U348" s="14" t="s">
        <v>277</v>
      </c>
      <c r="V348" s="8">
        <v>1.8</v>
      </c>
      <c r="W348" s="1">
        <f t="shared" si="82"/>
        <v>1.98</v>
      </c>
      <c r="X348" s="1">
        <f t="shared" si="88"/>
        <v>18.254999999999995</v>
      </c>
      <c r="Y348" s="1">
        <f t="shared" si="89"/>
        <v>0</v>
      </c>
      <c r="AG348" s="1">
        <f t="shared" si="90"/>
        <v>326</v>
      </c>
      <c r="AH348" s="14" t="s">
        <v>277</v>
      </c>
      <c r="AI348" s="8">
        <v>0</v>
      </c>
      <c r="AJ348" s="1">
        <f t="shared" si="83"/>
        <v>0</v>
      </c>
      <c r="AK348" s="1">
        <f t="shared" si="91"/>
        <v>16.274999999999995</v>
      </c>
      <c r="AL348" s="1">
        <f t="shared" si="92"/>
        <v>16.274999999999995</v>
      </c>
      <c r="AS348" s="1">
        <f t="shared" si="93"/>
        <v>326</v>
      </c>
      <c r="AT348" s="14" t="s">
        <v>277</v>
      </c>
      <c r="AU348" s="8">
        <v>25.6</v>
      </c>
      <c r="AV348" s="1">
        <f t="shared" si="84"/>
        <v>28.16</v>
      </c>
      <c r="AW348" s="1">
        <f t="shared" si="94"/>
        <v>20</v>
      </c>
      <c r="AX348" s="1">
        <f t="shared" si="95"/>
        <v>0</v>
      </c>
    </row>
    <row r="349" spans="8:50">
      <c r="H349" s="1">
        <f t="shared" si="85"/>
        <v>327</v>
      </c>
      <c r="I349" s="14" t="s">
        <v>277</v>
      </c>
      <c r="J349" s="127">
        <f>'Organized Input Output'!D344</f>
        <v>15.2</v>
      </c>
      <c r="K349" s="104">
        <f t="shared" si="86"/>
        <v>16.72</v>
      </c>
      <c r="L349" s="104">
        <f t="shared" si="96"/>
        <v>20</v>
      </c>
      <c r="M349" s="104">
        <f t="shared" si="81"/>
        <v>0.745</v>
      </c>
      <c r="T349" s="1">
        <f t="shared" si="87"/>
        <v>327</v>
      </c>
      <c r="U349" s="14" t="s">
        <v>277</v>
      </c>
      <c r="V349" s="8">
        <v>4.5999999999999996</v>
      </c>
      <c r="W349" s="1">
        <f t="shared" si="82"/>
        <v>5.0599999999999996</v>
      </c>
      <c r="X349" s="1">
        <f t="shared" si="88"/>
        <v>20</v>
      </c>
      <c r="Y349" s="1">
        <f t="shared" si="89"/>
        <v>0</v>
      </c>
      <c r="AG349" s="1">
        <f t="shared" si="90"/>
        <v>327</v>
      </c>
      <c r="AH349" s="14" t="s">
        <v>277</v>
      </c>
      <c r="AI349" s="8">
        <v>0</v>
      </c>
      <c r="AJ349" s="1">
        <f t="shared" si="83"/>
        <v>0</v>
      </c>
      <c r="AK349" s="1">
        <f t="shared" si="91"/>
        <v>15.529999999999996</v>
      </c>
      <c r="AL349" s="1">
        <f t="shared" si="92"/>
        <v>15.529999999999996</v>
      </c>
      <c r="AS349" s="1">
        <f t="shared" si="93"/>
        <v>327</v>
      </c>
      <c r="AT349" s="14" t="s">
        <v>277</v>
      </c>
      <c r="AU349" s="8">
        <v>15.2</v>
      </c>
      <c r="AV349" s="1">
        <f t="shared" si="84"/>
        <v>16.72</v>
      </c>
      <c r="AW349" s="1">
        <f t="shared" si="94"/>
        <v>20</v>
      </c>
      <c r="AX349" s="1">
        <f t="shared" si="95"/>
        <v>0</v>
      </c>
    </row>
    <row r="350" spans="8:50">
      <c r="H350" s="1">
        <f t="shared" si="85"/>
        <v>328</v>
      </c>
      <c r="I350" s="14" t="s">
        <v>277</v>
      </c>
      <c r="J350" s="127">
        <f>'Organized Input Output'!D345</f>
        <v>60.6</v>
      </c>
      <c r="K350" s="104">
        <f t="shared" si="86"/>
        <v>66.66</v>
      </c>
      <c r="L350" s="104">
        <f t="shared" si="96"/>
        <v>20</v>
      </c>
      <c r="M350" s="104">
        <f t="shared" si="81"/>
        <v>0.745</v>
      </c>
      <c r="T350" s="1">
        <f t="shared" si="87"/>
        <v>328</v>
      </c>
      <c r="U350" s="14" t="s">
        <v>277</v>
      </c>
      <c r="V350" s="8">
        <v>0</v>
      </c>
      <c r="W350" s="1">
        <f t="shared" si="82"/>
        <v>0</v>
      </c>
      <c r="X350" s="1">
        <f t="shared" si="88"/>
        <v>19.254999999999999</v>
      </c>
      <c r="Y350" s="1">
        <f t="shared" si="89"/>
        <v>19.254999999999999</v>
      </c>
      <c r="AG350" s="1">
        <f t="shared" si="90"/>
        <v>328</v>
      </c>
      <c r="AH350" s="14" t="s">
        <v>277</v>
      </c>
      <c r="AI350" s="8">
        <v>0</v>
      </c>
      <c r="AJ350" s="1">
        <f t="shared" si="83"/>
        <v>0</v>
      </c>
      <c r="AK350" s="1">
        <f t="shared" si="91"/>
        <v>14.784999999999997</v>
      </c>
      <c r="AL350" s="1">
        <f t="shared" si="92"/>
        <v>14.784999999999997</v>
      </c>
      <c r="AS350" s="1">
        <f t="shared" si="93"/>
        <v>328</v>
      </c>
      <c r="AT350" s="14" t="s">
        <v>277</v>
      </c>
      <c r="AU350" s="8">
        <v>60.6</v>
      </c>
      <c r="AV350" s="1">
        <f t="shared" si="84"/>
        <v>66.66</v>
      </c>
      <c r="AW350" s="1">
        <f t="shared" si="94"/>
        <v>20</v>
      </c>
      <c r="AX350" s="1">
        <f t="shared" si="95"/>
        <v>0</v>
      </c>
    </row>
    <row r="351" spans="8:50">
      <c r="H351" s="1">
        <f t="shared" si="85"/>
        <v>329</v>
      </c>
      <c r="I351" s="14" t="s">
        <v>277</v>
      </c>
      <c r="J351" s="127">
        <f>'Organized Input Output'!D346</f>
        <v>15</v>
      </c>
      <c r="K351" s="104">
        <f t="shared" si="86"/>
        <v>16.5</v>
      </c>
      <c r="L351" s="104">
        <f t="shared" si="96"/>
        <v>20</v>
      </c>
      <c r="M351" s="104">
        <f t="shared" si="81"/>
        <v>0.745</v>
      </c>
      <c r="T351" s="1">
        <f t="shared" si="87"/>
        <v>329</v>
      </c>
      <c r="U351" s="14" t="s">
        <v>277</v>
      </c>
      <c r="V351" s="8">
        <v>0</v>
      </c>
      <c r="W351" s="1">
        <f t="shared" si="82"/>
        <v>0</v>
      </c>
      <c r="X351" s="1">
        <f t="shared" si="88"/>
        <v>18.509999999999998</v>
      </c>
      <c r="Y351" s="1">
        <f t="shared" si="89"/>
        <v>18.509999999999998</v>
      </c>
      <c r="AG351" s="1">
        <f t="shared" si="90"/>
        <v>329</v>
      </c>
      <c r="AH351" s="14" t="s">
        <v>277</v>
      </c>
      <c r="AI351" s="8">
        <v>0</v>
      </c>
      <c r="AJ351" s="1">
        <f t="shared" si="83"/>
        <v>0</v>
      </c>
      <c r="AK351" s="1">
        <f t="shared" si="91"/>
        <v>14.039999999999997</v>
      </c>
      <c r="AL351" s="1">
        <f t="shared" si="92"/>
        <v>14.039999999999997</v>
      </c>
      <c r="AS351" s="1">
        <f t="shared" si="93"/>
        <v>329</v>
      </c>
      <c r="AT351" s="14" t="s">
        <v>277</v>
      </c>
      <c r="AU351" s="8">
        <v>15</v>
      </c>
      <c r="AV351" s="1">
        <f t="shared" si="84"/>
        <v>16.5</v>
      </c>
      <c r="AW351" s="1">
        <f t="shared" si="94"/>
        <v>20</v>
      </c>
      <c r="AX351" s="1">
        <f t="shared" si="95"/>
        <v>0</v>
      </c>
    </row>
    <row r="352" spans="8:50">
      <c r="H352" s="1">
        <f t="shared" si="85"/>
        <v>330</v>
      </c>
      <c r="I352" s="14" t="s">
        <v>277</v>
      </c>
      <c r="J352" s="127">
        <f>'Organized Input Output'!D347</f>
        <v>43</v>
      </c>
      <c r="K352" s="104">
        <f t="shared" si="86"/>
        <v>47.3</v>
      </c>
      <c r="L352" s="104">
        <f t="shared" si="96"/>
        <v>20</v>
      </c>
      <c r="M352" s="104">
        <f t="shared" si="81"/>
        <v>0.745</v>
      </c>
      <c r="T352" s="1">
        <f t="shared" si="87"/>
        <v>330</v>
      </c>
      <c r="U352" s="14" t="s">
        <v>277</v>
      </c>
      <c r="V352" s="8">
        <v>0</v>
      </c>
      <c r="W352" s="1">
        <f t="shared" si="82"/>
        <v>0</v>
      </c>
      <c r="X352" s="1">
        <f t="shared" si="88"/>
        <v>17.764999999999997</v>
      </c>
      <c r="Y352" s="1">
        <f t="shared" si="89"/>
        <v>17.764999999999997</v>
      </c>
      <c r="AG352" s="1">
        <f t="shared" si="90"/>
        <v>330</v>
      </c>
      <c r="AH352" s="14" t="s">
        <v>277</v>
      </c>
      <c r="AI352" s="8">
        <v>0</v>
      </c>
      <c r="AJ352" s="1">
        <f t="shared" si="83"/>
        <v>0</v>
      </c>
      <c r="AK352" s="1">
        <f t="shared" si="91"/>
        <v>13.294999999999998</v>
      </c>
      <c r="AL352" s="1">
        <f t="shared" si="92"/>
        <v>13.294999999999998</v>
      </c>
      <c r="AS352" s="1">
        <f t="shared" si="93"/>
        <v>330</v>
      </c>
      <c r="AT352" s="14" t="s">
        <v>277</v>
      </c>
      <c r="AU352" s="8">
        <v>43</v>
      </c>
      <c r="AV352" s="1">
        <f t="shared" si="84"/>
        <v>47.3</v>
      </c>
      <c r="AW352" s="1">
        <f t="shared" si="94"/>
        <v>20</v>
      </c>
      <c r="AX352" s="1">
        <f t="shared" si="95"/>
        <v>0</v>
      </c>
    </row>
    <row r="353" spans="8:50">
      <c r="H353" s="1">
        <f t="shared" si="85"/>
        <v>331</v>
      </c>
      <c r="I353" s="14" t="s">
        <v>277</v>
      </c>
      <c r="J353" s="127">
        <f>'Organized Input Output'!D348</f>
        <v>15</v>
      </c>
      <c r="K353" s="104">
        <f t="shared" si="86"/>
        <v>16.5</v>
      </c>
      <c r="L353" s="104">
        <f t="shared" si="96"/>
        <v>20</v>
      </c>
      <c r="M353" s="104">
        <f t="shared" si="81"/>
        <v>0.745</v>
      </c>
      <c r="T353" s="1">
        <f t="shared" si="87"/>
        <v>331</v>
      </c>
      <c r="U353" s="14" t="s">
        <v>277</v>
      </c>
      <c r="V353" s="8">
        <v>0</v>
      </c>
      <c r="W353" s="1">
        <f t="shared" si="82"/>
        <v>0</v>
      </c>
      <c r="X353" s="1">
        <f t="shared" si="88"/>
        <v>17.019999999999996</v>
      </c>
      <c r="Y353" s="1">
        <f t="shared" si="89"/>
        <v>17.019999999999996</v>
      </c>
      <c r="AG353" s="1">
        <f t="shared" si="90"/>
        <v>331</v>
      </c>
      <c r="AH353" s="14" t="s">
        <v>277</v>
      </c>
      <c r="AI353" s="8">
        <v>0</v>
      </c>
      <c r="AJ353" s="1">
        <f t="shared" si="83"/>
        <v>0</v>
      </c>
      <c r="AK353" s="1">
        <f t="shared" si="91"/>
        <v>12.549999999999999</v>
      </c>
      <c r="AL353" s="1">
        <f t="shared" si="92"/>
        <v>12.549999999999999</v>
      </c>
      <c r="AS353" s="1">
        <f t="shared" si="93"/>
        <v>331</v>
      </c>
      <c r="AT353" s="14" t="s">
        <v>277</v>
      </c>
      <c r="AU353" s="8">
        <v>15</v>
      </c>
      <c r="AV353" s="1">
        <f t="shared" si="84"/>
        <v>16.5</v>
      </c>
      <c r="AW353" s="1">
        <f t="shared" si="94"/>
        <v>20</v>
      </c>
      <c r="AX353" s="1">
        <f t="shared" si="95"/>
        <v>0</v>
      </c>
    </row>
    <row r="354" spans="8:50">
      <c r="H354" s="1">
        <f t="shared" si="85"/>
        <v>332</v>
      </c>
      <c r="I354" s="14" t="s">
        <v>277</v>
      </c>
      <c r="J354" s="127">
        <f>'Organized Input Output'!D349</f>
        <v>0</v>
      </c>
      <c r="K354" s="104">
        <f t="shared" si="86"/>
        <v>0</v>
      </c>
      <c r="L354" s="104">
        <f t="shared" si="96"/>
        <v>19.254999999999999</v>
      </c>
      <c r="M354" s="104">
        <f t="shared" si="81"/>
        <v>0.745</v>
      </c>
      <c r="T354" s="1">
        <f t="shared" si="87"/>
        <v>332</v>
      </c>
      <c r="U354" s="14" t="s">
        <v>277</v>
      </c>
      <c r="V354" s="8">
        <v>0</v>
      </c>
      <c r="W354" s="1">
        <f t="shared" si="82"/>
        <v>0</v>
      </c>
      <c r="X354" s="1">
        <f t="shared" si="88"/>
        <v>16.274999999999995</v>
      </c>
      <c r="Y354" s="1">
        <f t="shared" si="89"/>
        <v>16.274999999999995</v>
      </c>
      <c r="AG354" s="1">
        <f t="shared" si="90"/>
        <v>332</v>
      </c>
      <c r="AH354" s="14" t="s">
        <v>277</v>
      </c>
      <c r="AI354" s="8">
        <v>0</v>
      </c>
      <c r="AJ354" s="1">
        <f t="shared" si="83"/>
        <v>0</v>
      </c>
      <c r="AK354" s="1">
        <f t="shared" si="91"/>
        <v>11.805</v>
      </c>
      <c r="AL354" s="1">
        <f t="shared" si="92"/>
        <v>11.805</v>
      </c>
      <c r="AS354" s="1">
        <f t="shared" si="93"/>
        <v>332</v>
      </c>
      <c r="AT354" s="14" t="s">
        <v>277</v>
      </c>
      <c r="AU354" s="8">
        <v>0</v>
      </c>
      <c r="AV354" s="1">
        <f t="shared" si="84"/>
        <v>0</v>
      </c>
      <c r="AW354" s="1">
        <f t="shared" si="94"/>
        <v>19.254999999999999</v>
      </c>
      <c r="AX354" s="1">
        <f t="shared" si="95"/>
        <v>19.254999999999999</v>
      </c>
    </row>
    <row r="355" spans="8:50">
      <c r="H355" s="1">
        <f t="shared" si="85"/>
        <v>333</v>
      </c>
      <c r="I355" s="14" t="s">
        <v>277</v>
      </c>
      <c r="J355" s="127">
        <f>'Organized Input Output'!D350</f>
        <v>0</v>
      </c>
      <c r="K355" s="104">
        <f t="shared" si="86"/>
        <v>0</v>
      </c>
      <c r="L355" s="104">
        <f t="shared" si="96"/>
        <v>18.509999999999998</v>
      </c>
      <c r="M355" s="104">
        <f t="shared" si="81"/>
        <v>0.745</v>
      </c>
      <c r="T355" s="1">
        <f t="shared" si="87"/>
        <v>333</v>
      </c>
      <c r="U355" s="14" t="s">
        <v>277</v>
      </c>
      <c r="V355" s="8">
        <v>0</v>
      </c>
      <c r="W355" s="1">
        <f t="shared" si="82"/>
        <v>0</v>
      </c>
      <c r="X355" s="1">
        <f t="shared" si="88"/>
        <v>15.529999999999996</v>
      </c>
      <c r="Y355" s="1">
        <f t="shared" si="89"/>
        <v>15.529999999999996</v>
      </c>
      <c r="AG355" s="1">
        <f t="shared" si="90"/>
        <v>333</v>
      </c>
      <c r="AH355" s="14" t="s">
        <v>277</v>
      </c>
      <c r="AI355" s="8">
        <v>0</v>
      </c>
      <c r="AJ355" s="1">
        <f t="shared" si="83"/>
        <v>0</v>
      </c>
      <c r="AK355" s="1">
        <f t="shared" si="91"/>
        <v>11.06</v>
      </c>
      <c r="AL355" s="1">
        <f t="shared" si="92"/>
        <v>11.06</v>
      </c>
      <c r="AS355" s="1">
        <f t="shared" si="93"/>
        <v>333</v>
      </c>
      <c r="AT355" s="14" t="s">
        <v>277</v>
      </c>
      <c r="AU355" s="8">
        <v>0</v>
      </c>
      <c r="AV355" s="1">
        <f t="shared" si="84"/>
        <v>0</v>
      </c>
      <c r="AW355" s="1">
        <f t="shared" si="94"/>
        <v>18.509999999999998</v>
      </c>
      <c r="AX355" s="1">
        <f t="shared" si="95"/>
        <v>18.509999999999998</v>
      </c>
    </row>
    <row r="356" spans="8:50">
      <c r="H356" s="1">
        <f t="shared" si="85"/>
        <v>334</v>
      </c>
      <c r="I356" s="14" t="s">
        <v>277</v>
      </c>
      <c r="J356" s="127">
        <f>'Organized Input Output'!D351</f>
        <v>0</v>
      </c>
      <c r="K356" s="104">
        <f t="shared" si="86"/>
        <v>0</v>
      </c>
      <c r="L356" s="104">
        <f t="shared" si="96"/>
        <v>17.764999999999997</v>
      </c>
      <c r="M356" s="104">
        <f t="shared" si="81"/>
        <v>0.745</v>
      </c>
      <c r="T356" s="1">
        <f t="shared" si="87"/>
        <v>334</v>
      </c>
      <c r="U356" s="14" t="s">
        <v>277</v>
      </c>
      <c r="V356" s="8">
        <v>4</v>
      </c>
      <c r="W356" s="1">
        <f t="shared" si="82"/>
        <v>4.4000000000000004</v>
      </c>
      <c r="X356" s="1">
        <f t="shared" si="88"/>
        <v>19.184999999999995</v>
      </c>
      <c r="Y356" s="1">
        <f t="shared" si="89"/>
        <v>0</v>
      </c>
      <c r="AG356" s="1">
        <f t="shared" si="90"/>
        <v>334</v>
      </c>
      <c r="AH356" s="14" t="s">
        <v>277</v>
      </c>
      <c r="AI356" s="8">
        <v>13</v>
      </c>
      <c r="AJ356" s="1">
        <f t="shared" si="83"/>
        <v>14.299999999999999</v>
      </c>
      <c r="AK356" s="1">
        <f t="shared" si="91"/>
        <v>20</v>
      </c>
      <c r="AL356" s="1">
        <f t="shared" si="92"/>
        <v>0</v>
      </c>
      <c r="AS356" s="1">
        <f t="shared" si="93"/>
        <v>334</v>
      </c>
      <c r="AT356" s="14" t="s">
        <v>277</v>
      </c>
      <c r="AU356" s="8">
        <v>0</v>
      </c>
      <c r="AV356" s="1">
        <f t="shared" si="84"/>
        <v>0</v>
      </c>
      <c r="AW356" s="1">
        <f t="shared" si="94"/>
        <v>17.764999999999997</v>
      </c>
      <c r="AX356" s="1">
        <f t="shared" si="95"/>
        <v>17.764999999999997</v>
      </c>
    </row>
    <row r="357" spans="8:50">
      <c r="H357" s="1">
        <f t="shared" si="85"/>
        <v>335</v>
      </c>
      <c r="I357" s="14" t="s">
        <v>278</v>
      </c>
      <c r="J357" s="127">
        <f>'Organized Input Output'!D352</f>
        <v>0</v>
      </c>
      <c r="K357" s="104">
        <f t="shared" si="86"/>
        <v>0</v>
      </c>
      <c r="L357" s="104">
        <f t="shared" si="96"/>
        <v>17.019999999999996</v>
      </c>
      <c r="M357" s="104">
        <f t="shared" si="81"/>
        <v>0.745</v>
      </c>
      <c r="T357" s="1">
        <f t="shared" si="87"/>
        <v>335</v>
      </c>
      <c r="U357" s="14" t="s">
        <v>278</v>
      </c>
      <c r="V357" s="8">
        <v>8.4</v>
      </c>
      <c r="W357" s="1">
        <f t="shared" si="82"/>
        <v>9.240000000000002</v>
      </c>
      <c r="X357" s="1">
        <f t="shared" si="88"/>
        <v>20</v>
      </c>
      <c r="Y357" s="1">
        <f t="shared" si="89"/>
        <v>0</v>
      </c>
      <c r="AG357" s="1">
        <f t="shared" si="90"/>
        <v>335</v>
      </c>
      <c r="AH357" s="14" t="s">
        <v>278</v>
      </c>
      <c r="AI357" s="8">
        <v>34.6</v>
      </c>
      <c r="AJ357" s="1">
        <f t="shared" si="83"/>
        <v>38.059999999999995</v>
      </c>
      <c r="AK357" s="1">
        <f t="shared" si="91"/>
        <v>20</v>
      </c>
      <c r="AL357" s="1">
        <f t="shared" si="92"/>
        <v>0</v>
      </c>
      <c r="AS357" s="1">
        <f t="shared" si="93"/>
        <v>335</v>
      </c>
      <c r="AT357" s="14" t="s">
        <v>278</v>
      </c>
      <c r="AU357" s="8">
        <v>0</v>
      </c>
      <c r="AV357" s="1">
        <f t="shared" si="84"/>
        <v>0</v>
      </c>
      <c r="AW357" s="1">
        <f t="shared" si="94"/>
        <v>17.019999999999996</v>
      </c>
      <c r="AX357" s="1">
        <f t="shared" si="95"/>
        <v>17.019999999999996</v>
      </c>
    </row>
    <row r="358" spans="8:50">
      <c r="H358" s="1">
        <f t="shared" si="85"/>
        <v>336</v>
      </c>
      <c r="I358" s="14" t="s">
        <v>278</v>
      </c>
      <c r="J358" s="127">
        <f>'Organized Input Output'!D353</f>
        <v>0</v>
      </c>
      <c r="K358" s="104">
        <f t="shared" si="86"/>
        <v>0</v>
      </c>
      <c r="L358" s="104">
        <f t="shared" si="96"/>
        <v>16.274999999999995</v>
      </c>
      <c r="M358" s="104">
        <f t="shared" si="81"/>
        <v>0.745</v>
      </c>
      <c r="T358" s="1">
        <f t="shared" si="87"/>
        <v>336</v>
      </c>
      <c r="U358" s="14" t="s">
        <v>278</v>
      </c>
      <c r="V358" s="8">
        <v>39.200000000000003</v>
      </c>
      <c r="W358" s="1">
        <f t="shared" si="82"/>
        <v>43.120000000000005</v>
      </c>
      <c r="X358" s="1">
        <f t="shared" si="88"/>
        <v>20</v>
      </c>
      <c r="Y358" s="1">
        <f t="shared" si="89"/>
        <v>0</v>
      </c>
      <c r="AG358" s="1">
        <f t="shared" si="90"/>
        <v>336</v>
      </c>
      <c r="AH358" s="14" t="s">
        <v>278</v>
      </c>
      <c r="AI358" s="8">
        <v>27.4</v>
      </c>
      <c r="AJ358" s="1">
        <f t="shared" si="83"/>
        <v>30.139999999999997</v>
      </c>
      <c r="AK358" s="1">
        <f t="shared" si="91"/>
        <v>20</v>
      </c>
      <c r="AL358" s="1">
        <f t="shared" si="92"/>
        <v>0</v>
      </c>
      <c r="AS358" s="1">
        <f t="shared" si="93"/>
        <v>336</v>
      </c>
      <c r="AT358" s="14" t="s">
        <v>278</v>
      </c>
      <c r="AU358" s="8">
        <v>0</v>
      </c>
      <c r="AV358" s="1">
        <f t="shared" si="84"/>
        <v>0</v>
      </c>
      <c r="AW358" s="1">
        <f t="shared" si="94"/>
        <v>16.274999999999995</v>
      </c>
      <c r="AX358" s="1">
        <f t="shared" si="95"/>
        <v>16.274999999999995</v>
      </c>
    </row>
    <row r="359" spans="8:50">
      <c r="H359" s="1">
        <f t="shared" si="85"/>
        <v>337</v>
      </c>
      <c r="I359" s="14" t="s">
        <v>278</v>
      </c>
      <c r="J359" s="127">
        <f>'Organized Input Output'!D354</f>
        <v>0</v>
      </c>
      <c r="K359" s="104">
        <f t="shared" si="86"/>
        <v>0</v>
      </c>
      <c r="L359" s="104">
        <f t="shared" si="96"/>
        <v>15.529999999999996</v>
      </c>
      <c r="M359" s="104">
        <f t="shared" si="81"/>
        <v>0.745</v>
      </c>
      <c r="T359" s="1">
        <f t="shared" si="87"/>
        <v>337</v>
      </c>
      <c r="U359" s="14" t="s">
        <v>278</v>
      </c>
      <c r="V359" s="8">
        <v>10.199999999999999</v>
      </c>
      <c r="W359" s="1">
        <f t="shared" si="82"/>
        <v>11.219999999999999</v>
      </c>
      <c r="X359" s="1">
        <f t="shared" si="88"/>
        <v>20</v>
      </c>
      <c r="Y359" s="1">
        <f t="shared" si="89"/>
        <v>0</v>
      </c>
      <c r="AG359" s="1">
        <f t="shared" si="90"/>
        <v>337</v>
      </c>
      <c r="AH359" s="14" t="s">
        <v>278</v>
      </c>
      <c r="AI359" s="8">
        <v>32.6</v>
      </c>
      <c r="AJ359" s="1">
        <f t="shared" si="83"/>
        <v>35.860000000000007</v>
      </c>
      <c r="AK359" s="1">
        <f t="shared" si="91"/>
        <v>20</v>
      </c>
      <c r="AL359" s="1">
        <f t="shared" si="92"/>
        <v>0</v>
      </c>
      <c r="AS359" s="1">
        <f t="shared" si="93"/>
        <v>337</v>
      </c>
      <c r="AT359" s="14" t="s">
        <v>278</v>
      </c>
      <c r="AU359" s="8">
        <v>0</v>
      </c>
      <c r="AV359" s="1">
        <f t="shared" si="84"/>
        <v>0</v>
      </c>
      <c r="AW359" s="1">
        <f t="shared" si="94"/>
        <v>15.529999999999996</v>
      </c>
      <c r="AX359" s="1">
        <f t="shared" si="95"/>
        <v>15.529999999999996</v>
      </c>
    </row>
    <row r="360" spans="8:50">
      <c r="H360" s="1">
        <f t="shared" si="85"/>
        <v>338</v>
      </c>
      <c r="I360" s="14" t="s">
        <v>278</v>
      </c>
      <c r="J360" s="127">
        <f>'Organized Input Output'!D355</f>
        <v>1.2</v>
      </c>
      <c r="K360" s="104">
        <f t="shared" si="86"/>
        <v>1.3199999999999998</v>
      </c>
      <c r="L360" s="104">
        <f t="shared" si="96"/>
        <v>16.104999999999993</v>
      </c>
      <c r="M360" s="104">
        <f t="shared" si="81"/>
        <v>0.745</v>
      </c>
      <c r="T360" s="1">
        <f t="shared" si="87"/>
        <v>338</v>
      </c>
      <c r="U360" s="14" t="s">
        <v>278</v>
      </c>
      <c r="V360" s="8">
        <v>6.4</v>
      </c>
      <c r="W360" s="1">
        <f t="shared" si="82"/>
        <v>7.04</v>
      </c>
      <c r="X360" s="1">
        <f t="shared" si="88"/>
        <v>20</v>
      </c>
      <c r="Y360" s="1">
        <f t="shared" si="89"/>
        <v>0</v>
      </c>
      <c r="AG360" s="1">
        <f t="shared" si="90"/>
        <v>338</v>
      </c>
      <c r="AH360" s="14" t="s">
        <v>278</v>
      </c>
      <c r="AI360" s="8">
        <v>27.2</v>
      </c>
      <c r="AJ360" s="1">
        <f t="shared" si="83"/>
        <v>29.919999999999998</v>
      </c>
      <c r="AK360" s="1">
        <f t="shared" si="91"/>
        <v>20</v>
      </c>
      <c r="AL360" s="1">
        <f t="shared" si="92"/>
        <v>0</v>
      </c>
      <c r="AS360" s="1">
        <f t="shared" si="93"/>
        <v>338</v>
      </c>
      <c r="AT360" s="14" t="s">
        <v>278</v>
      </c>
      <c r="AU360" s="8">
        <v>1.2</v>
      </c>
      <c r="AV360" s="1">
        <f t="shared" si="84"/>
        <v>1.3199999999999998</v>
      </c>
      <c r="AW360" s="1">
        <f t="shared" si="94"/>
        <v>16.104999999999993</v>
      </c>
      <c r="AX360" s="1">
        <f t="shared" si="95"/>
        <v>0</v>
      </c>
    </row>
    <row r="361" spans="8:50">
      <c r="H361" s="1">
        <f t="shared" si="85"/>
        <v>339</v>
      </c>
      <c r="I361" s="14" t="s">
        <v>278</v>
      </c>
      <c r="J361" s="127">
        <f>'Organized Input Output'!D356</f>
        <v>45.4</v>
      </c>
      <c r="K361" s="104">
        <f t="shared" si="86"/>
        <v>49.94</v>
      </c>
      <c r="L361" s="104">
        <f t="shared" si="96"/>
        <v>20</v>
      </c>
      <c r="M361" s="104">
        <f t="shared" si="81"/>
        <v>0.745</v>
      </c>
      <c r="T361" s="1">
        <f t="shared" si="87"/>
        <v>339</v>
      </c>
      <c r="U361" s="14" t="s">
        <v>278</v>
      </c>
      <c r="V361" s="8">
        <v>48.2</v>
      </c>
      <c r="W361" s="1">
        <f t="shared" si="82"/>
        <v>53.02</v>
      </c>
      <c r="X361" s="1">
        <f t="shared" si="88"/>
        <v>20</v>
      </c>
      <c r="Y361" s="1">
        <f t="shared" si="89"/>
        <v>0</v>
      </c>
      <c r="AG361" s="1">
        <f t="shared" si="90"/>
        <v>339</v>
      </c>
      <c r="AH361" s="14" t="s">
        <v>278</v>
      </c>
      <c r="AI361" s="8">
        <v>33.799999999999997</v>
      </c>
      <c r="AJ361" s="1">
        <f t="shared" si="83"/>
        <v>37.18</v>
      </c>
      <c r="AK361" s="1">
        <f t="shared" si="91"/>
        <v>20</v>
      </c>
      <c r="AL361" s="1">
        <f t="shared" si="92"/>
        <v>0</v>
      </c>
      <c r="AS361" s="1">
        <f t="shared" si="93"/>
        <v>339</v>
      </c>
      <c r="AT361" s="14" t="s">
        <v>278</v>
      </c>
      <c r="AU361" s="8">
        <v>45.4</v>
      </c>
      <c r="AV361" s="1">
        <f t="shared" si="84"/>
        <v>49.94</v>
      </c>
      <c r="AW361" s="1">
        <f t="shared" si="94"/>
        <v>20</v>
      </c>
      <c r="AX361" s="1">
        <f t="shared" si="95"/>
        <v>0</v>
      </c>
    </row>
    <row r="362" spans="8:50">
      <c r="H362" s="1">
        <f t="shared" si="85"/>
        <v>340</v>
      </c>
      <c r="I362" s="14" t="s">
        <v>278</v>
      </c>
      <c r="J362" s="127">
        <f>'Organized Input Output'!D357</f>
        <v>0.8</v>
      </c>
      <c r="K362" s="104">
        <f t="shared" si="86"/>
        <v>0.88</v>
      </c>
      <c r="L362" s="104">
        <f t="shared" si="96"/>
        <v>20</v>
      </c>
      <c r="M362" s="104">
        <f t="shared" si="81"/>
        <v>0.745</v>
      </c>
      <c r="T362" s="1">
        <f t="shared" si="87"/>
        <v>340</v>
      </c>
      <c r="U362" s="14" t="s">
        <v>278</v>
      </c>
      <c r="V362" s="8">
        <v>16.8</v>
      </c>
      <c r="W362" s="1">
        <f t="shared" si="82"/>
        <v>18.480000000000004</v>
      </c>
      <c r="X362" s="1">
        <f t="shared" si="88"/>
        <v>20</v>
      </c>
      <c r="Y362" s="1">
        <f t="shared" si="89"/>
        <v>0</v>
      </c>
      <c r="AG362" s="1">
        <f t="shared" si="90"/>
        <v>340</v>
      </c>
      <c r="AH362" s="14" t="s">
        <v>278</v>
      </c>
      <c r="AI362" s="8">
        <v>22.4</v>
      </c>
      <c r="AJ362" s="1">
        <f t="shared" si="83"/>
        <v>24.64</v>
      </c>
      <c r="AK362" s="1">
        <f t="shared" si="91"/>
        <v>20</v>
      </c>
      <c r="AL362" s="1">
        <f t="shared" si="92"/>
        <v>0</v>
      </c>
      <c r="AS362" s="1">
        <f t="shared" si="93"/>
        <v>340</v>
      </c>
      <c r="AT362" s="14" t="s">
        <v>278</v>
      </c>
      <c r="AU362" s="8">
        <v>0.8</v>
      </c>
      <c r="AV362" s="1">
        <f t="shared" si="84"/>
        <v>0.88</v>
      </c>
      <c r="AW362" s="1">
        <f t="shared" si="94"/>
        <v>20</v>
      </c>
      <c r="AX362" s="1">
        <f t="shared" si="95"/>
        <v>0</v>
      </c>
    </row>
    <row r="363" spans="8:50">
      <c r="H363" s="1">
        <f t="shared" si="85"/>
        <v>341</v>
      </c>
      <c r="I363" s="14" t="s">
        <v>278</v>
      </c>
      <c r="J363" s="127">
        <f>'Organized Input Output'!D358</f>
        <v>15.2</v>
      </c>
      <c r="K363" s="104">
        <f t="shared" si="86"/>
        <v>16.72</v>
      </c>
      <c r="L363" s="104">
        <f t="shared" si="96"/>
        <v>20</v>
      </c>
      <c r="M363" s="104">
        <f t="shared" si="81"/>
        <v>0.745</v>
      </c>
      <c r="T363" s="1">
        <f t="shared" si="87"/>
        <v>341</v>
      </c>
      <c r="U363" s="14" t="s">
        <v>278</v>
      </c>
      <c r="V363" s="8">
        <v>11</v>
      </c>
      <c r="W363" s="1">
        <f t="shared" si="82"/>
        <v>12.1</v>
      </c>
      <c r="X363" s="1">
        <f t="shared" si="88"/>
        <v>20</v>
      </c>
      <c r="Y363" s="1">
        <f t="shared" si="89"/>
        <v>0</v>
      </c>
      <c r="AG363" s="1">
        <f t="shared" si="90"/>
        <v>341</v>
      </c>
      <c r="AH363" s="14" t="s">
        <v>278</v>
      </c>
      <c r="AI363" s="8">
        <v>37.200000000000003</v>
      </c>
      <c r="AJ363" s="1">
        <f t="shared" si="83"/>
        <v>40.92</v>
      </c>
      <c r="AK363" s="1">
        <f t="shared" si="91"/>
        <v>20</v>
      </c>
      <c r="AL363" s="1">
        <f t="shared" si="92"/>
        <v>0</v>
      </c>
      <c r="AS363" s="1">
        <f t="shared" si="93"/>
        <v>341</v>
      </c>
      <c r="AT363" s="14" t="s">
        <v>278</v>
      </c>
      <c r="AU363" s="8">
        <v>15.2</v>
      </c>
      <c r="AV363" s="1">
        <f t="shared" si="84"/>
        <v>16.72</v>
      </c>
      <c r="AW363" s="1">
        <f t="shared" si="94"/>
        <v>20</v>
      </c>
      <c r="AX363" s="1">
        <f t="shared" si="95"/>
        <v>0</v>
      </c>
    </row>
    <row r="364" spans="8:50">
      <c r="H364" s="1">
        <f t="shared" si="85"/>
        <v>342</v>
      </c>
      <c r="I364" s="14" t="s">
        <v>278</v>
      </c>
      <c r="J364" s="127">
        <f>'Organized Input Output'!D359</f>
        <v>48.6</v>
      </c>
      <c r="K364" s="104">
        <f t="shared" si="86"/>
        <v>53.460000000000008</v>
      </c>
      <c r="L364" s="104">
        <f t="shared" si="96"/>
        <v>20</v>
      </c>
      <c r="M364" s="104">
        <f t="shared" si="81"/>
        <v>0.745</v>
      </c>
      <c r="T364" s="1">
        <f t="shared" si="87"/>
        <v>342</v>
      </c>
      <c r="U364" s="14" t="s">
        <v>278</v>
      </c>
      <c r="V364" s="8">
        <v>11</v>
      </c>
      <c r="W364" s="1">
        <f t="shared" si="82"/>
        <v>12.1</v>
      </c>
      <c r="X364" s="1">
        <f t="shared" si="88"/>
        <v>20</v>
      </c>
      <c r="Y364" s="1">
        <f t="shared" si="89"/>
        <v>0</v>
      </c>
      <c r="AG364" s="1">
        <f t="shared" si="90"/>
        <v>342</v>
      </c>
      <c r="AH364" s="14" t="s">
        <v>278</v>
      </c>
      <c r="AI364" s="8">
        <v>27</v>
      </c>
      <c r="AJ364" s="1">
        <f t="shared" si="83"/>
        <v>29.7</v>
      </c>
      <c r="AK364" s="1">
        <f t="shared" si="91"/>
        <v>20</v>
      </c>
      <c r="AL364" s="1">
        <f t="shared" si="92"/>
        <v>0</v>
      </c>
      <c r="AS364" s="1">
        <f t="shared" si="93"/>
        <v>342</v>
      </c>
      <c r="AT364" s="14" t="s">
        <v>278</v>
      </c>
      <c r="AU364" s="8">
        <v>48.6</v>
      </c>
      <c r="AV364" s="1">
        <f t="shared" si="84"/>
        <v>53.460000000000008</v>
      </c>
      <c r="AW364" s="1">
        <f t="shared" si="94"/>
        <v>20</v>
      </c>
      <c r="AX364" s="1">
        <f t="shared" si="95"/>
        <v>0</v>
      </c>
    </row>
    <row r="365" spans="8:50">
      <c r="H365" s="1">
        <f t="shared" si="85"/>
        <v>343</v>
      </c>
      <c r="I365" s="14" t="s">
        <v>278</v>
      </c>
      <c r="J365" s="127">
        <f>'Organized Input Output'!D360</f>
        <v>34.200000000000003</v>
      </c>
      <c r="K365" s="104">
        <f t="shared" si="86"/>
        <v>37.620000000000005</v>
      </c>
      <c r="L365" s="104">
        <f t="shared" si="96"/>
        <v>20</v>
      </c>
      <c r="M365" s="104">
        <f t="shared" si="81"/>
        <v>0.745</v>
      </c>
      <c r="T365" s="1">
        <f t="shared" si="87"/>
        <v>343</v>
      </c>
      <c r="U365" s="14" t="s">
        <v>278</v>
      </c>
      <c r="V365" s="8">
        <v>3.2</v>
      </c>
      <c r="W365" s="1">
        <f t="shared" si="82"/>
        <v>3.52</v>
      </c>
      <c r="X365" s="1">
        <f t="shared" si="88"/>
        <v>20</v>
      </c>
      <c r="Y365" s="1">
        <f t="shared" si="89"/>
        <v>0</v>
      </c>
      <c r="AG365" s="1">
        <f t="shared" si="90"/>
        <v>343</v>
      </c>
      <c r="AH365" s="14" t="s">
        <v>278</v>
      </c>
      <c r="AI365" s="8">
        <v>4.8</v>
      </c>
      <c r="AJ365" s="1">
        <f t="shared" si="83"/>
        <v>5.2799999999999994</v>
      </c>
      <c r="AK365" s="1">
        <f t="shared" si="91"/>
        <v>20</v>
      </c>
      <c r="AL365" s="1">
        <f t="shared" si="92"/>
        <v>0</v>
      </c>
      <c r="AS365" s="1">
        <f t="shared" si="93"/>
        <v>343</v>
      </c>
      <c r="AT365" s="14" t="s">
        <v>278</v>
      </c>
      <c r="AU365" s="8">
        <v>34.200000000000003</v>
      </c>
      <c r="AV365" s="1">
        <f t="shared" si="84"/>
        <v>37.620000000000005</v>
      </c>
      <c r="AW365" s="1">
        <f t="shared" si="94"/>
        <v>20</v>
      </c>
      <c r="AX365" s="1">
        <f t="shared" si="95"/>
        <v>0</v>
      </c>
    </row>
    <row r="366" spans="8:50">
      <c r="H366" s="1">
        <f t="shared" si="85"/>
        <v>344</v>
      </c>
      <c r="I366" s="14" t="s">
        <v>278</v>
      </c>
      <c r="J366" s="127">
        <f>'Organized Input Output'!D361</f>
        <v>4.4000000000000004</v>
      </c>
      <c r="K366" s="104">
        <f t="shared" si="86"/>
        <v>4.84</v>
      </c>
      <c r="L366" s="104">
        <f t="shared" si="96"/>
        <v>20</v>
      </c>
      <c r="M366" s="104">
        <f t="shared" si="81"/>
        <v>0.745</v>
      </c>
      <c r="T366" s="1">
        <f t="shared" si="87"/>
        <v>344</v>
      </c>
      <c r="U366" s="14" t="s">
        <v>278</v>
      </c>
      <c r="V366" s="8">
        <v>9</v>
      </c>
      <c r="W366" s="1">
        <f t="shared" si="82"/>
        <v>9.8999999999999986</v>
      </c>
      <c r="X366" s="1">
        <f t="shared" si="88"/>
        <v>20</v>
      </c>
      <c r="Y366" s="1">
        <f t="shared" si="89"/>
        <v>0</v>
      </c>
      <c r="AG366" s="1">
        <f t="shared" si="90"/>
        <v>344</v>
      </c>
      <c r="AH366" s="14" t="s">
        <v>278</v>
      </c>
      <c r="AI366" s="8">
        <v>12.2</v>
      </c>
      <c r="AJ366" s="1">
        <f t="shared" si="83"/>
        <v>13.419999999999998</v>
      </c>
      <c r="AK366" s="1">
        <f t="shared" si="91"/>
        <v>20</v>
      </c>
      <c r="AL366" s="1">
        <f t="shared" si="92"/>
        <v>0</v>
      </c>
      <c r="AS366" s="1">
        <f t="shared" si="93"/>
        <v>344</v>
      </c>
      <c r="AT366" s="14" t="s">
        <v>278</v>
      </c>
      <c r="AU366" s="8">
        <v>4.4000000000000004</v>
      </c>
      <c r="AV366" s="1">
        <f t="shared" si="84"/>
        <v>4.84</v>
      </c>
      <c r="AW366" s="1">
        <f t="shared" si="94"/>
        <v>20</v>
      </c>
      <c r="AX366" s="1">
        <f t="shared" si="95"/>
        <v>0</v>
      </c>
    </row>
    <row r="367" spans="8:50">
      <c r="H367" s="1">
        <f t="shared" si="85"/>
        <v>345</v>
      </c>
      <c r="I367" s="14" t="s">
        <v>278</v>
      </c>
      <c r="J367" s="127">
        <f>'Organized Input Output'!D362</f>
        <v>17.8</v>
      </c>
      <c r="K367" s="104">
        <f t="shared" si="86"/>
        <v>19.579999999999998</v>
      </c>
      <c r="L367" s="104">
        <f t="shared" si="96"/>
        <v>20</v>
      </c>
      <c r="M367" s="104">
        <f t="shared" si="81"/>
        <v>0.745</v>
      </c>
      <c r="T367" s="1">
        <f t="shared" si="87"/>
        <v>345</v>
      </c>
      <c r="U367" s="14" t="s">
        <v>278</v>
      </c>
      <c r="V367" s="8">
        <v>3</v>
      </c>
      <c r="W367" s="1">
        <f t="shared" si="82"/>
        <v>3.3000000000000003</v>
      </c>
      <c r="X367" s="1">
        <f t="shared" si="88"/>
        <v>20</v>
      </c>
      <c r="Y367" s="1">
        <f t="shared" si="89"/>
        <v>0</v>
      </c>
      <c r="AG367" s="1">
        <f t="shared" si="90"/>
        <v>345</v>
      </c>
      <c r="AH367" s="14" t="s">
        <v>278</v>
      </c>
      <c r="AI367" s="8">
        <v>3.4</v>
      </c>
      <c r="AJ367" s="1">
        <f t="shared" si="83"/>
        <v>3.7399999999999998</v>
      </c>
      <c r="AK367" s="1">
        <f t="shared" si="91"/>
        <v>20</v>
      </c>
      <c r="AL367" s="1">
        <f t="shared" si="92"/>
        <v>0</v>
      </c>
      <c r="AS367" s="1">
        <f t="shared" si="93"/>
        <v>345</v>
      </c>
      <c r="AT367" s="14" t="s">
        <v>278</v>
      </c>
      <c r="AU367" s="8">
        <v>17.8</v>
      </c>
      <c r="AV367" s="1">
        <f t="shared" si="84"/>
        <v>19.579999999999998</v>
      </c>
      <c r="AW367" s="1">
        <f t="shared" si="94"/>
        <v>20</v>
      </c>
      <c r="AX367" s="1">
        <f t="shared" si="95"/>
        <v>0</v>
      </c>
    </row>
    <row r="368" spans="8:50">
      <c r="H368" s="1">
        <f t="shared" si="85"/>
        <v>346</v>
      </c>
      <c r="I368" s="14" t="s">
        <v>278</v>
      </c>
      <c r="J368" s="127">
        <f>'Organized Input Output'!D363</f>
        <v>1.4</v>
      </c>
      <c r="K368" s="104">
        <f t="shared" si="86"/>
        <v>1.54</v>
      </c>
      <c r="L368" s="104">
        <f t="shared" si="96"/>
        <v>20</v>
      </c>
      <c r="M368" s="104">
        <f t="shared" si="81"/>
        <v>0.745</v>
      </c>
      <c r="T368" s="1">
        <f t="shared" si="87"/>
        <v>346</v>
      </c>
      <c r="U368" s="14" t="s">
        <v>278</v>
      </c>
      <c r="V368" s="8">
        <v>35.200000000000003</v>
      </c>
      <c r="W368" s="1">
        <f t="shared" si="82"/>
        <v>38.72</v>
      </c>
      <c r="X368" s="1">
        <f t="shared" si="88"/>
        <v>20</v>
      </c>
      <c r="Y368" s="1">
        <f t="shared" si="89"/>
        <v>0</v>
      </c>
      <c r="AG368" s="1">
        <f t="shared" si="90"/>
        <v>346</v>
      </c>
      <c r="AH368" s="14" t="s">
        <v>278</v>
      </c>
      <c r="AI368" s="8">
        <v>23.8</v>
      </c>
      <c r="AJ368" s="1">
        <f t="shared" si="83"/>
        <v>26.180000000000003</v>
      </c>
      <c r="AK368" s="1">
        <f t="shared" si="91"/>
        <v>20</v>
      </c>
      <c r="AL368" s="1">
        <f t="shared" si="92"/>
        <v>0</v>
      </c>
      <c r="AS368" s="1">
        <f t="shared" si="93"/>
        <v>346</v>
      </c>
      <c r="AT368" s="14" t="s">
        <v>278</v>
      </c>
      <c r="AU368" s="8">
        <v>1.4</v>
      </c>
      <c r="AV368" s="1">
        <f t="shared" si="84"/>
        <v>1.54</v>
      </c>
      <c r="AW368" s="1">
        <f t="shared" si="94"/>
        <v>20</v>
      </c>
      <c r="AX368" s="1">
        <f t="shared" si="95"/>
        <v>0</v>
      </c>
    </row>
    <row r="369" spans="8:50">
      <c r="H369" s="1">
        <f t="shared" si="85"/>
        <v>347</v>
      </c>
      <c r="I369" s="14" t="s">
        <v>278</v>
      </c>
      <c r="J369" s="127">
        <f>'Organized Input Output'!D364</f>
        <v>1</v>
      </c>
      <c r="K369" s="104">
        <f t="shared" si="86"/>
        <v>1.1000000000000001</v>
      </c>
      <c r="L369" s="104">
        <f t="shared" si="96"/>
        <v>20</v>
      </c>
      <c r="M369" s="104">
        <f t="shared" si="81"/>
        <v>0.745</v>
      </c>
      <c r="T369" s="1">
        <f t="shared" si="87"/>
        <v>347</v>
      </c>
      <c r="U369" s="14" t="s">
        <v>278</v>
      </c>
      <c r="V369" s="8">
        <v>1</v>
      </c>
      <c r="W369" s="1">
        <f t="shared" si="82"/>
        <v>1.1000000000000001</v>
      </c>
      <c r="X369" s="1">
        <f t="shared" si="88"/>
        <v>20</v>
      </c>
      <c r="Y369" s="1">
        <f t="shared" si="89"/>
        <v>0</v>
      </c>
      <c r="AG369" s="1">
        <f t="shared" si="90"/>
        <v>347</v>
      </c>
      <c r="AH369" s="14" t="s">
        <v>278</v>
      </c>
      <c r="AI369" s="8">
        <v>0</v>
      </c>
      <c r="AJ369" s="1">
        <f t="shared" si="83"/>
        <v>0</v>
      </c>
      <c r="AK369" s="1">
        <f t="shared" si="91"/>
        <v>19.254999999999999</v>
      </c>
      <c r="AL369" s="1">
        <f t="shared" si="92"/>
        <v>19.254999999999999</v>
      </c>
      <c r="AS369" s="1">
        <f t="shared" si="93"/>
        <v>347</v>
      </c>
      <c r="AT369" s="14" t="s">
        <v>278</v>
      </c>
      <c r="AU369" s="8">
        <v>1</v>
      </c>
      <c r="AV369" s="1">
        <f t="shared" si="84"/>
        <v>1.1000000000000001</v>
      </c>
      <c r="AW369" s="1">
        <f t="shared" si="94"/>
        <v>20</v>
      </c>
      <c r="AX369" s="1">
        <f t="shared" si="95"/>
        <v>0</v>
      </c>
    </row>
    <row r="370" spans="8:50">
      <c r="H370" s="1">
        <f t="shared" si="85"/>
        <v>348</v>
      </c>
      <c r="I370" s="14" t="s">
        <v>278</v>
      </c>
      <c r="J370" s="127">
        <f>'Organized Input Output'!D365</f>
        <v>0</v>
      </c>
      <c r="K370" s="104">
        <f t="shared" si="86"/>
        <v>0</v>
      </c>
      <c r="L370" s="104">
        <f t="shared" si="96"/>
        <v>19.254999999999999</v>
      </c>
      <c r="M370" s="104">
        <f t="shared" si="81"/>
        <v>0.745</v>
      </c>
      <c r="T370" s="1">
        <f t="shared" si="87"/>
        <v>348</v>
      </c>
      <c r="U370" s="14" t="s">
        <v>278</v>
      </c>
      <c r="V370" s="8">
        <v>0</v>
      </c>
      <c r="W370" s="1">
        <f t="shared" si="82"/>
        <v>0</v>
      </c>
      <c r="X370" s="1">
        <f t="shared" si="88"/>
        <v>19.254999999999999</v>
      </c>
      <c r="Y370" s="1">
        <f t="shared" si="89"/>
        <v>19.254999999999999</v>
      </c>
      <c r="AG370" s="1">
        <f t="shared" si="90"/>
        <v>348</v>
      </c>
      <c r="AH370" s="14" t="s">
        <v>278</v>
      </c>
      <c r="AI370" s="8">
        <v>2.4</v>
      </c>
      <c r="AJ370" s="1">
        <f t="shared" si="83"/>
        <v>2.6399999999999997</v>
      </c>
      <c r="AK370" s="1">
        <f t="shared" si="91"/>
        <v>20</v>
      </c>
      <c r="AL370" s="1">
        <f t="shared" si="92"/>
        <v>0</v>
      </c>
      <c r="AS370" s="1">
        <f t="shared" si="93"/>
        <v>348</v>
      </c>
      <c r="AT370" s="14" t="s">
        <v>278</v>
      </c>
      <c r="AU370" s="8">
        <v>0</v>
      </c>
      <c r="AV370" s="1">
        <f t="shared" si="84"/>
        <v>0</v>
      </c>
      <c r="AW370" s="1">
        <f t="shared" si="94"/>
        <v>19.254999999999999</v>
      </c>
      <c r="AX370" s="1">
        <f t="shared" si="95"/>
        <v>19.254999999999999</v>
      </c>
    </row>
    <row r="371" spans="8:50">
      <c r="H371" s="1">
        <f t="shared" si="85"/>
        <v>349</v>
      </c>
      <c r="I371" s="14" t="s">
        <v>278</v>
      </c>
      <c r="J371" s="127">
        <f>'Organized Input Output'!D366</f>
        <v>9</v>
      </c>
      <c r="K371" s="104">
        <f t="shared" si="86"/>
        <v>9.8999999999999986</v>
      </c>
      <c r="L371" s="104">
        <f t="shared" si="96"/>
        <v>20</v>
      </c>
      <c r="M371" s="104">
        <f t="shared" si="81"/>
        <v>0.745</v>
      </c>
      <c r="T371" s="1">
        <f t="shared" si="87"/>
        <v>349</v>
      </c>
      <c r="U371" s="14" t="s">
        <v>278</v>
      </c>
      <c r="V371" s="8">
        <v>2</v>
      </c>
      <c r="W371" s="1">
        <f t="shared" si="82"/>
        <v>2.2000000000000002</v>
      </c>
      <c r="X371" s="1">
        <f t="shared" si="88"/>
        <v>20</v>
      </c>
      <c r="Y371" s="1">
        <f t="shared" si="89"/>
        <v>0</v>
      </c>
      <c r="AG371" s="1">
        <f t="shared" si="90"/>
        <v>349</v>
      </c>
      <c r="AH371" s="14" t="s">
        <v>278</v>
      </c>
      <c r="AI371" s="8">
        <v>3</v>
      </c>
      <c r="AJ371" s="1">
        <f t="shared" si="83"/>
        <v>3.3000000000000003</v>
      </c>
      <c r="AK371" s="1">
        <f t="shared" si="91"/>
        <v>20</v>
      </c>
      <c r="AL371" s="1">
        <f t="shared" si="92"/>
        <v>0</v>
      </c>
      <c r="AS371" s="1">
        <f t="shared" si="93"/>
        <v>349</v>
      </c>
      <c r="AT371" s="14" t="s">
        <v>278</v>
      </c>
      <c r="AU371" s="8">
        <v>9</v>
      </c>
      <c r="AV371" s="1">
        <f t="shared" si="84"/>
        <v>9.8999999999999986</v>
      </c>
      <c r="AW371" s="1">
        <f t="shared" si="94"/>
        <v>20</v>
      </c>
      <c r="AX371" s="1">
        <f t="shared" si="95"/>
        <v>0</v>
      </c>
    </row>
    <row r="372" spans="8:50">
      <c r="H372" s="1">
        <f t="shared" si="85"/>
        <v>350</v>
      </c>
      <c r="I372" s="14" t="s">
        <v>278</v>
      </c>
      <c r="J372" s="127">
        <f>'Organized Input Output'!D367</f>
        <v>20.2</v>
      </c>
      <c r="K372" s="104">
        <f t="shared" si="86"/>
        <v>22.22</v>
      </c>
      <c r="L372" s="104">
        <f t="shared" si="96"/>
        <v>20</v>
      </c>
      <c r="M372" s="104">
        <f t="shared" si="81"/>
        <v>0.745</v>
      </c>
      <c r="T372" s="1">
        <f t="shared" si="87"/>
        <v>350</v>
      </c>
      <c r="U372" s="14" t="s">
        <v>278</v>
      </c>
      <c r="V372" s="8">
        <v>0</v>
      </c>
      <c r="W372" s="1">
        <f t="shared" si="82"/>
        <v>0</v>
      </c>
      <c r="X372" s="1">
        <f t="shared" si="88"/>
        <v>19.254999999999999</v>
      </c>
      <c r="Y372" s="1">
        <f t="shared" si="89"/>
        <v>19.254999999999999</v>
      </c>
      <c r="AG372" s="1">
        <f t="shared" si="90"/>
        <v>350</v>
      </c>
      <c r="AH372" s="14" t="s">
        <v>278</v>
      </c>
      <c r="AI372" s="8">
        <v>2.2000000000000002</v>
      </c>
      <c r="AJ372" s="1">
        <f t="shared" si="83"/>
        <v>2.42</v>
      </c>
      <c r="AK372" s="1">
        <f t="shared" si="91"/>
        <v>20</v>
      </c>
      <c r="AL372" s="1">
        <f t="shared" si="92"/>
        <v>0</v>
      </c>
      <c r="AS372" s="1">
        <f t="shared" si="93"/>
        <v>350</v>
      </c>
      <c r="AT372" s="14" t="s">
        <v>278</v>
      </c>
      <c r="AU372" s="8">
        <v>20.2</v>
      </c>
      <c r="AV372" s="1">
        <f t="shared" si="84"/>
        <v>22.22</v>
      </c>
      <c r="AW372" s="1">
        <f t="shared" si="94"/>
        <v>20</v>
      </c>
      <c r="AX372" s="1">
        <f t="shared" si="95"/>
        <v>0</v>
      </c>
    </row>
    <row r="373" spans="8:50">
      <c r="H373" s="1">
        <f t="shared" si="85"/>
        <v>351</v>
      </c>
      <c r="I373" s="14" t="s">
        <v>278</v>
      </c>
      <c r="J373" s="127">
        <f>'Organized Input Output'!D368</f>
        <v>0.8</v>
      </c>
      <c r="K373" s="104">
        <f t="shared" si="86"/>
        <v>0.88</v>
      </c>
      <c r="L373" s="104">
        <f t="shared" si="96"/>
        <v>20</v>
      </c>
      <c r="M373" s="104">
        <f t="shared" si="81"/>
        <v>0.745</v>
      </c>
      <c r="T373" s="1">
        <f t="shared" si="87"/>
        <v>351</v>
      </c>
      <c r="U373" s="14" t="s">
        <v>278</v>
      </c>
      <c r="V373" s="8">
        <v>10.199999999999999</v>
      </c>
      <c r="W373" s="1">
        <f t="shared" si="82"/>
        <v>11.219999999999999</v>
      </c>
      <c r="X373" s="1">
        <f t="shared" si="88"/>
        <v>20</v>
      </c>
      <c r="Y373" s="1">
        <f t="shared" si="89"/>
        <v>0</v>
      </c>
      <c r="AG373" s="1">
        <f t="shared" si="90"/>
        <v>351</v>
      </c>
      <c r="AH373" s="14" t="s">
        <v>278</v>
      </c>
      <c r="AI373" s="8">
        <v>21.8</v>
      </c>
      <c r="AJ373" s="1">
        <f t="shared" si="83"/>
        <v>23.98</v>
      </c>
      <c r="AK373" s="1">
        <f t="shared" si="91"/>
        <v>20</v>
      </c>
      <c r="AL373" s="1">
        <f t="shared" si="92"/>
        <v>0</v>
      </c>
      <c r="AS373" s="1">
        <f t="shared" si="93"/>
        <v>351</v>
      </c>
      <c r="AT373" s="14" t="s">
        <v>278</v>
      </c>
      <c r="AU373" s="8">
        <v>0.8</v>
      </c>
      <c r="AV373" s="1">
        <f t="shared" si="84"/>
        <v>0.88</v>
      </c>
      <c r="AW373" s="1">
        <f t="shared" si="94"/>
        <v>20</v>
      </c>
      <c r="AX373" s="1">
        <f t="shared" si="95"/>
        <v>0</v>
      </c>
    </row>
    <row r="374" spans="8:50">
      <c r="H374" s="1">
        <f t="shared" si="85"/>
        <v>352</v>
      </c>
      <c r="I374" s="14" t="s">
        <v>278</v>
      </c>
      <c r="J374" s="127">
        <f>'Organized Input Output'!D369</f>
        <v>24.6</v>
      </c>
      <c r="K374" s="104">
        <f t="shared" si="86"/>
        <v>27.06</v>
      </c>
      <c r="L374" s="104">
        <f t="shared" si="96"/>
        <v>20</v>
      </c>
      <c r="M374" s="104">
        <f t="shared" ref="M374:M387" si="97">IF(I374="Jan", 0, $D$11)</f>
        <v>0.745</v>
      </c>
      <c r="T374" s="1">
        <f t="shared" si="87"/>
        <v>352</v>
      </c>
      <c r="U374" s="14" t="s">
        <v>278</v>
      </c>
      <c r="V374" s="8">
        <v>5.4</v>
      </c>
      <c r="W374" s="1">
        <f t="shared" si="82"/>
        <v>5.94</v>
      </c>
      <c r="X374" s="1">
        <f t="shared" si="88"/>
        <v>20</v>
      </c>
      <c r="Y374" s="1">
        <f t="shared" si="89"/>
        <v>0</v>
      </c>
      <c r="AG374" s="1">
        <f t="shared" si="90"/>
        <v>352</v>
      </c>
      <c r="AH374" s="14" t="s">
        <v>278</v>
      </c>
      <c r="AI374" s="8">
        <v>25.5</v>
      </c>
      <c r="AJ374" s="1">
        <f t="shared" si="83"/>
        <v>28.049999999999997</v>
      </c>
      <c r="AK374" s="1">
        <f t="shared" si="91"/>
        <v>20</v>
      </c>
      <c r="AL374" s="1">
        <f t="shared" si="92"/>
        <v>0</v>
      </c>
      <c r="AS374" s="1">
        <f t="shared" si="93"/>
        <v>352</v>
      </c>
      <c r="AT374" s="14" t="s">
        <v>278</v>
      </c>
      <c r="AU374" s="8">
        <v>24.6</v>
      </c>
      <c r="AV374" s="1">
        <f t="shared" si="84"/>
        <v>27.06</v>
      </c>
      <c r="AW374" s="1">
        <f t="shared" si="94"/>
        <v>20</v>
      </c>
      <c r="AX374" s="1">
        <f t="shared" si="95"/>
        <v>0</v>
      </c>
    </row>
    <row r="375" spans="8:50">
      <c r="H375" s="1">
        <f t="shared" si="85"/>
        <v>353</v>
      </c>
      <c r="I375" s="14" t="s">
        <v>278</v>
      </c>
      <c r="J375" s="127">
        <f>'Organized Input Output'!D370</f>
        <v>0</v>
      </c>
      <c r="K375" s="104">
        <f t="shared" si="86"/>
        <v>0</v>
      </c>
      <c r="L375" s="104">
        <f t="shared" si="96"/>
        <v>19.254999999999999</v>
      </c>
      <c r="M375" s="104">
        <f t="shared" si="97"/>
        <v>0.745</v>
      </c>
      <c r="T375" s="1">
        <f t="shared" si="87"/>
        <v>353</v>
      </c>
      <c r="U375" s="14" t="s">
        <v>278</v>
      </c>
      <c r="V375" s="8">
        <v>11.4</v>
      </c>
      <c r="W375" s="1">
        <f t="shared" si="82"/>
        <v>12.540000000000001</v>
      </c>
      <c r="X375" s="1">
        <f t="shared" si="88"/>
        <v>20</v>
      </c>
      <c r="Y375" s="1">
        <f t="shared" si="89"/>
        <v>0</v>
      </c>
      <c r="AG375" s="1">
        <f t="shared" si="90"/>
        <v>353</v>
      </c>
      <c r="AH375" s="14" t="s">
        <v>278</v>
      </c>
      <c r="AI375" s="8">
        <v>31.8</v>
      </c>
      <c r="AJ375" s="1">
        <f t="shared" si="83"/>
        <v>34.980000000000004</v>
      </c>
      <c r="AK375" s="1">
        <f t="shared" si="91"/>
        <v>20</v>
      </c>
      <c r="AL375" s="1">
        <f t="shared" si="92"/>
        <v>0</v>
      </c>
      <c r="AS375" s="1">
        <f t="shared" si="93"/>
        <v>353</v>
      </c>
      <c r="AT375" s="14" t="s">
        <v>278</v>
      </c>
      <c r="AU375" s="8">
        <v>0</v>
      </c>
      <c r="AV375" s="1">
        <f t="shared" si="84"/>
        <v>0</v>
      </c>
      <c r="AW375" s="1">
        <f t="shared" si="94"/>
        <v>19.254999999999999</v>
      </c>
      <c r="AX375" s="1">
        <f t="shared" si="95"/>
        <v>19.254999999999999</v>
      </c>
    </row>
    <row r="376" spans="8:50">
      <c r="H376" s="1">
        <f t="shared" si="85"/>
        <v>354</v>
      </c>
      <c r="I376" s="14" t="s">
        <v>278</v>
      </c>
      <c r="J376" s="127">
        <f>'Organized Input Output'!D371</f>
        <v>0</v>
      </c>
      <c r="K376" s="104">
        <f t="shared" si="86"/>
        <v>0</v>
      </c>
      <c r="L376" s="104">
        <f t="shared" si="96"/>
        <v>18.509999999999998</v>
      </c>
      <c r="M376" s="104">
        <f t="shared" si="97"/>
        <v>0.745</v>
      </c>
      <c r="T376" s="1">
        <f t="shared" si="87"/>
        <v>354</v>
      </c>
      <c r="U376" s="14" t="s">
        <v>278</v>
      </c>
      <c r="V376" s="8">
        <v>2.4</v>
      </c>
      <c r="W376" s="1">
        <f t="shared" si="82"/>
        <v>2.6399999999999997</v>
      </c>
      <c r="X376" s="1">
        <f t="shared" si="88"/>
        <v>20</v>
      </c>
      <c r="Y376" s="1">
        <f t="shared" si="89"/>
        <v>0</v>
      </c>
      <c r="AG376" s="1">
        <f t="shared" si="90"/>
        <v>354</v>
      </c>
      <c r="AH376" s="14" t="s">
        <v>278</v>
      </c>
      <c r="AI376" s="8">
        <v>22.6</v>
      </c>
      <c r="AJ376" s="1">
        <f t="shared" si="83"/>
        <v>24.860000000000003</v>
      </c>
      <c r="AK376" s="1">
        <f t="shared" si="91"/>
        <v>20</v>
      </c>
      <c r="AL376" s="1">
        <f t="shared" si="92"/>
        <v>0</v>
      </c>
      <c r="AS376" s="1">
        <f t="shared" si="93"/>
        <v>354</v>
      </c>
      <c r="AT376" s="14" t="s">
        <v>278</v>
      </c>
      <c r="AU376" s="8">
        <v>0</v>
      </c>
      <c r="AV376" s="1">
        <f t="shared" si="84"/>
        <v>0</v>
      </c>
      <c r="AW376" s="1">
        <f t="shared" si="94"/>
        <v>18.509999999999998</v>
      </c>
      <c r="AX376" s="1">
        <f t="shared" si="95"/>
        <v>18.509999999999998</v>
      </c>
    </row>
    <row r="377" spans="8:50">
      <c r="H377" s="1">
        <f t="shared" si="85"/>
        <v>355</v>
      </c>
      <c r="I377" s="14" t="s">
        <v>278</v>
      </c>
      <c r="J377" s="127">
        <f>'Organized Input Output'!D372</f>
        <v>8.8000000000000007</v>
      </c>
      <c r="K377" s="104">
        <f t="shared" si="86"/>
        <v>9.68</v>
      </c>
      <c r="L377" s="104">
        <f t="shared" si="96"/>
        <v>20</v>
      </c>
      <c r="M377" s="104">
        <f t="shared" si="97"/>
        <v>0.745</v>
      </c>
      <c r="T377" s="1">
        <f t="shared" si="87"/>
        <v>355</v>
      </c>
      <c r="U377" s="14" t="s">
        <v>278</v>
      </c>
      <c r="V377" s="8">
        <v>0.4</v>
      </c>
      <c r="W377" s="1">
        <f t="shared" si="82"/>
        <v>0.44</v>
      </c>
      <c r="X377" s="1">
        <f t="shared" si="88"/>
        <v>19.695</v>
      </c>
      <c r="Y377" s="1">
        <f t="shared" si="89"/>
        <v>9.1349999999999998</v>
      </c>
      <c r="AG377" s="1">
        <f t="shared" si="90"/>
        <v>355</v>
      </c>
      <c r="AH377" s="14" t="s">
        <v>278</v>
      </c>
      <c r="AI377" s="8">
        <v>9</v>
      </c>
      <c r="AJ377" s="1">
        <f t="shared" si="83"/>
        <v>9.8999999999999986</v>
      </c>
      <c r="AK377" s="1">
        <f t="shared" si="91"/>
        <v>20</v>
      </c>
      <c r="AL377" s="1">
        <f t="shared" si="92"/>
        <v>0</v>
      </c>
      <c r="AS377" s="1">
        <f t="shared" si="93"/>
        <v>355</v>
      </c>
      <c r="AT377" s="14" t="s">
        <v>278</v>
      </c>
      <c r="AU377" s="8">
        <v>8.8000000000000007</v>
      </c>
      <c r="AV377" s="1">
        <f t="shared" si="84"/>
        <v>9.68</v>
      </c>
      <c r="AW377" s="1">
        <f t="shared" si="94"/>
        <v>20</v>
      </c>
      <c r="AX377" s="1">
        <f t="shared" si="95"/>
        <v>0</v>
      </c>
    </row>
    <row r="378" spans="8:50">
      <c r="H378" s="1">
        <f t="shared" si="85"/>
        <v>356</v>
      </c>
      <c r="I378" s="14" t="s">
        <v>278</v>
      </c>
      <c r="J378" s="127">
        <f>'Organized Input Output'!D373</f>
        <v>11.6</v>
      </c>
      <c r="K378" s="104">
        <f t="shared" si="86"/>
        <v>12.76</v>
      </c>
      <c r="L378" s="104">
        <f t="shared" si="96"/>
        <v>20</v>
      </c>
      <c r="M378" s="104">
        <f t="shared" si="97"/>
        <v>0.745</v>
      </c>
      <c r="T378" s="1">
        <f t="shared" si="87"/>
        <v>356</v>
      </c>
      <c r="U378" s="14" t="s">
        <v>278</v>
      </c>
      <c r="V378" s="8">
        <v>4</v>
      </c>
      <c r="W378" s="1">
        <f t="shared" si="82"/>
        <v>4.4000000000000004</v>
      </c>
      <c r="X378" s="1">
        <f t="shared" si="88"/>
        <v>20</v>
      </c>
      <c r="Y378" s="1">
        <f t="shared" si="89"/>
        <v>0</v>
      </c>
      <c r="AG378" s="1">
        <f t="shared" si="90"/>
        <v>356</v>
      </c>
      <c r="AH378" s="14" t="s">
        <v>278</v>
      </c>
      <c r="AI378" s="8">
        <v>35.799999999999997</v>
      </c>
      <c r="AJ378" s="1">
        <f t="shared" si="83"/>
        <v>39.379999999999995</v>
      </c>
      <c r="AK378" s="1">
        <f t="shared" si="91"/>
        <v>20</v>
      </c>
      <c r="AL378" s="1">
        <f t="shared" si="92"/>
        <v>0</v>
      </c>
      <c r="AS378" s="1">
        <f t="shared" si="93"/>
        <v>356</v>
      </c>
      <c r="AT378" s="14" t="s">
        <v>278</v>
      </c>
      <c r="AU378" s="8">
        <v>11.6</v>
      </c>
      <c r="AV378" s="1">
        <f t="shared" si="84"/>
        <v>12.76</v>
      </c>
      <c r="AW378" s="1">
        <f t="shared" si="94"/>
        <v>20</v>
      </c>
      <c r="AX378" s="1">
        <f t="shared" si="95"/>
        <v>0</v>
      </c>
    </row>
    <row r="379" spans="8:50">
      <c r="H379" s="1">
        <f t="shared" si="85"/>
        <v>357</v>
      </c>
      <c r="I379" s="14" t="s">
        <v>278</v>
      </c>
      <c r="J379" s="127">
        <f>'Organized Input Output'!D374</f>
        <v>10</v>
      </c>
      <c r="K379" s="104">
        <f t="shared" si="86"/>
        <v>11</v>
      </c>
      <c r="L379" s="104">
        <f t="shared" si="96"/>
        <v>20</v>
      </c>
      <c r="M379" s="104">
        <f t="shared" si="97"/>
        <v>0.745</v>
      </c>
      <c r="T379" s="1">
        <f t="shared" si="87"/>
        <v>357</v>
      </c>
      <c r="U379" s="14" t="s">
        <v>278</v>
      </c>
      <c r="V379" s="8">
        <v>10.8</v>
      </c>
      <c r="W379" s="1">
        <f t="shared" si="82"/>
        <v>11.88</v>
      </c>
      <c r="X379" s="1">
        <f t="shared" si="88"/>
        <v>20</v>
      </c>
      <c r="Y379" s="1">
        <f t="shared" si="89"/>
        <v>0</v>
      </c>
      <c r="AG379" s="1">
        <f t="shared" si="90"/>
        <v>357</v>
      </c>
      <c r="AH379" s="14" t="s">
        <v>278</v>
      </c>
      <c r="AI379" s="8">
        <v>9.4</v>
      </c>
      <c r="AJ379" s="1">
        <f t="shared" si="83"/>
        <v>10.34</v>
      </c>
      <c r="AK379" s="1">
        <f t="shared" si="91"/>
        <v>20</v>
      </c>
      <c r="AL379" s="1">
        <f t="shared" si="92"/>
        <v>0</v>
      </c>
      <c r="AS379" s="1">
        <f t="shared" si="93"/>
        <v>357</v>
      </c>
      <c r="AT379" s="14" t="s">
        <v>278</v>
      </c>
      <c r="AU379" s="8">
        <v>10</v>
      </c>
      <c r="AV379" s="1">
        <f t="shared" si="84"/>
        <v>11</v>
      </c>
      <c r="AW379" s="1">
        <f t="shared" si="94"/>
        <v>20</v>
      </c>
      <c r="AX379" s="1">
        <f t="shared" si="95"/>
        <v>0</v>
      </c>
    </row>
    <row r="380" spans="8:50">
      <c r="H380" s="1">
        <f t="shared" si="85"/>
        <v>358</v>
      </c>
      <c r="I380" s="14" t="s">
        <v>278</v>
      </c>
      <c r="J380" s="127">
        <f>'Organized Input Output'!D375</f>
        <v>2.2000000000000002</v>
      </c>
      <c r="K380" s="104">
        <f t="shared" si="86"/>
        <v>2.42</v>
      </c>
      <c r="L380" s="104">
        <f t="shared" si="96"/>
        <v>20</v>
      </c>
      <c r="M380" s="104">
        <f t="shared" si="97"/>
        <v>0.745</v>
      </c>
      <c r="T380" s="1">
        <f t="shared" si="87"/>
        <v>358</v>
      </c>
      <c r="U380" s="14" t="s">
        <v>278</v>
      </c>
      <c r="V380" s="8">
        <v>0.6</v>
      </c>
      <c r="W380" s="1">
        <f t="shared" si="82"/>
        <v>0.65999999999999992</v>
      </c>
      <c r="X380" s="1">
        <f t="shared" si="88"/>
        <v>19.914999999999999</v>
      </c>
      <c r="Y380" s="1">
        <f t="shared" si="89"/>
        <v>4.0750000000000011</v>
      </c>
      <c r="AG380" s="1">
        <f t="shared" si="90"/>
        <v>358</v>
      </c>
      <c r="AH380" s="14" t="s">
        <v>278</v>
      </c>
      <c r="AI380" s="8">
        <v>0</v>
      </c>
      <c r="AJ380" s="1">
        <f t="shared" si="83"/>
        <v>0</v>
      </c>
      <c r="AK380" s="1">
        <f t="shared" si="91"/>
        <v>19.254999999999999</v>
      </c>
      <c r="AL380" s="1">
        <f t="shared" si="92"/>
        <v>19.254999999999999</v>
      </c>
      <c r="AS380" s="1">
        <f t="shared" si="93"/>
        <v>358</v>
      </c>
      <c r="AT380" s="14" t="s">
        <v>278</v>
      </c>
      <c r="AU380" s="8">
        <v>2.2000000000000002</v>
      </c>
      <c r="AV380" s="1">
        <f t="shared" si="84"/>
        <v>2.42</v>
      </c>
      <c r="AW380" s="1">
        <f t="shared" si="94"/>
        <v>20</v>
      </c>
      <c r="AX380" s="1">
        <f t="shared" si="95"/>
        <v>0</v>
      </c>
    </row>
    <row r="381" spans="8:50">
      <c r="H381" s="1">
        <f t="shared" si="85"/>
        <v>359</v>
      </c>
      <c r="I381" s="14" t="s">
        <v>278</v>
      </c>
      <c r="J381" s="127">
        <f>'Organized Input Output'!D376</f>
        <v>0.6</v>
      </c>
      <c r="K381" s="104">
        <f t="shared" si="86"/>
        <v>0.65999999999999992</v>
      </c>
      <c r="L381" s="104">
        <f t="shared" si="96"/>
        <v>19.914999999999999</v>
      </c>
      <c r="M381" s="104">
        <f t="shared" si="97"/>
        <v>0.745</v>
      </c>
      <c r="T381" s="1">
        <f t="shared" si="87"/>
        <v>359</v>
      </c>
      <c r="U381" s="14" t="s">
        <v>278</v>
      </c>
      <c r="V381" s="8">
        <v>0</v>
      </c>
      <c r="W381" s="1">
        <f t="shared" si="82"/>
        <v>0</v>
      </c>
      <c r="X381" s="1">
        <f t="shared" si="88"/>
        <v>19.169999999999998</v>
      </c>
      <c r="Y381" s="1">
        <f t="shared" si="89"/>
        <v>19.169999999999998</v>
      </c>
      <c r="AG381" s="1">
        <f t="shared" si="90"/>
        <v>359</v>
      </c>
      <c r="AH381" s="14" t="s">
        <v>278</v>
      </c>
      <c r="AI381" s="8">
        <v>0</v>
      </c>
      <c r="AJ381" s="1">
        <f t="shared" si="83"/>
        <v>0</v>
      </c>
      <c r="AK381" s="1">
        <f t="shared" si="91"/>
        <v>18.509999999999998</v>
      </c>
      <c r="AL381" s="1">
        <f t="shared" si="92"/>
        <v>18.509999999999998</v>
      </c>
      <c r="AS381" s="1">
        <f t="shared" si="93"/>
        <v>359</v>
      </c>
      <c r="AT381" s="14" t="s">
        <v>278</v>
      </c>
      <c r="AU381" s="8">
        <v>0.6</v>
      </c>
      <c r="AV381" s="1">
        <f t="shared" si="84"/>
        <v>0.65999999999999992</v>
      </c>
      <c r="AW381" s="1">
        <f t="shared" si="94"/>
        <v>19.914999999999999</v>
      </c>
      <c r="AX381" s="1">
        <f t="shared" si="95"/>
        <v>4.0750000000000011</v>
      </c>
    </row>
    <row r="382" spans="8:50">
      <c r="H382" s="1">
        <f t="shared" si="85"/>
        <v>360</v>
      </c>
      <c r="I382" s="14" t="s">
        <v>278</v>
      </c>
      <c r="J382" s="127">
        <f>'Organized Input Output'!D377</f>
        <v>10.199999999999999</v>
      </c>
      <c r="K382" s="104">
        <f t="shared" si="86"/>
        <v>11.219999999999999</v>
      </c>
      <c r="L382" s="104">
        <f t="shared" si="96"/>
        <v>20</v>
      </c>
      <c r="M382" s="104">
        <f t="shared" si="97"/>
        <v>0.745</v>
      </c>
      <c r="T382" s="1">
        <f t="shared" si="87"/>
        <v>360</v>
      </c>
      <c r="U382" s="14" t="s">
        <v>278</v>
      </c>
      <c r="V382" s="8">
        <v>6.4</v>
      </c>
      <c r="W382" s="1">
        <f t="shared" si="82"/>
        <v>7.04</v>
      </c>
      <c r="X382" s="1">
        <f t="shared" si="88"/>
        <v>20</v>
      </c>
      <c r="Y382" s="1">
        <f t="shared" si="89"/>
        <v>0</v>
      </c>
      <c r="AG382" s="1">
        <f t="shared" si="90"/>
        <v>360</v>
      </c>
      <c r="AH382" s="14" t="s">
        <v>278</v>
      </c>
      <c r="AI382" s="8">
        <v>26.2</v>
      </c>
      <c r="AJ382" s="1">
        <f t="shared" si="83"/>
        <v>28.819999999999997</v>
      </c>
      <c r="AK382" s="1">
        <f t="shared" si="91"/>
        <v>20</v>
      </c>
      <c r="AL382" s="1">
        <f t="shared" si="92"/>
        <v>0</v>
      </c>
      <c r="AS382" s="1">
        <f t="shared" si="93"/>
        <v>360</v>
      </c>
      <c r="AT382" s="14" t="s">
        <v>278</v>
      </c>
      <c r="AU382" s="8">
        <v>10.199999999999999</v>
      </c>
      <c r="AV382" s="1">
        <f t="shared" si="84"/>
        <v>11.219999999999999</v>
      </c>
      <c r="AW382" s="1">
        <f t="shared" si="94"/>
        <v>20</v>
      </c>
      <c r="AX382" s="1">
        <f t="shared" si="95"/>
        <v>0</v>
      </c>
    </row>
    <row r="383" spans="8:50">
      <c r="H383" s="1">
        <f t="shared" si="85"/>
        <v>361</v>
      </c>
      <c r="I383" s="14" t="s">
        <v>278</v>
      </c>
      <c r="J383" s="127">
        <f>'Organized Input Output'!D378</f>
        <v>5.4</v>
      </c>
      <c r="K383" s="104">
        <f t="shared" si="86"/>
        <v>5.94</v>
      </c>
      <c r="L383" s="104">
        <f t="shared" si="96"/>
        <v>20</v>
      </c>
      <c r="M383" s="104">
        <f t="shared" si="97"/>
        <v>0.745</v>
      </c>
      <c r="T383" s="1">
        <f t="shared" si="87"/>
        <v>361</v>
      </c>
      <c r="U383" s="14" t="s">
        <v>278</v>
      </c>
      <c r="V383" s="8">
        <v>2.4</v>
      </c>
      <c r="W383" s="1">
        <f t="shared" si="82"/>
        <v>2.6399999999999997</v>
      </c>
      <c r="X383" s="1">
        <f t="shared" si="88"/>
        <v>20</v>
      </c>
      <c r="Y383" s="1">
        <f t="shared" si="89"/>
        <v>0</v>
      </c>
      <c r="AG383" s="1">
        <f t="shared" si="90"/>
        <v>361</v>
      </c>
      <c r="AH383" s="14" t="s">
        <v>278</v>
      </c>
      <c r="AI383" s="8">
        <v>1.6</v>
      </c>
      <c r="AJ383" s="1">
        <f t="shared" si="83"/>
        <v>1.76</v>
      </c>
      <c r="AK383" s="1">
        <f t="shared" si="91"/>
        <v>20</v>
      </c>
      <c r="AL383" s="1">
        <f t="shared" si="92"/>
        <v>0</v>
      </c>
      <c r="AS383" s="1">
        <f t="shared" si="93"/>
        <v>361</v>
      </c>
      <c r="AT383" s="14" t="s">
        <v>278</v>
      </c>
      <c r="AU383" s="8">
        <v>5.4</v>
      </c>
      <c r="AV383" s="1">
        <f t="shared" si="84"/>
        <v>5.94</v>
      </c>
      <c r="AW383" s="1">
        <f t="shared" si="94"/>
        <v>20</v>
      </c>
      <c r="AX383" s="1">
        <f t="shared" si="95"/>
        <v>0</v>
      </c>
    </row>
    <row r="384" spans="8:50">
      <c r="H384" s="1">
        <f t="shared" si="85"/>
        <v>362</v>
      </c>
      <c r="I384" s="14" t="s">
        <v>278</v>
      </c>
      <c r="J384" s="127">
        <f>'Organized Input Output'!D379</f>
        <v>0</v>
      </c>
      <c r="K384" s="104">
        <f t="shared" si="86"/>
        <v>0</v>
      </c>
      <c r="L384" s="104">
        <f t="shared" si="96"/>
        <v>19.254999999999999</v>
      </c>
      <c r="M384" s="104">
        <f t="shared" si="97"/>
        <v>0.745</v>
      </c>
      <c r="T384" s="1">
        <f t="shared" si="87"/>
        <v>362</v>
      </c>
      <c r="U384" s="14" t="s">
        <v>278</v>
      </c>
      <c r="V384" s="8">
        <v>0</v>
      </c>
      <c r="W384" s="1">
        <f t="shared" si="82"/>
        <v>0</v>
      </c>
      <c r="X384" s="1">
        <f t="shared" si="88"/>
        <v>19.254999999999999</v>
      </c>
      <c r="Y384" s="1">
        <f t="shared" si="89"/>
        <v>19.254999999999999</v>
      </c>
      <c r="AG384" s="1">
        <f t="shared" si="90"/>
        <v>362</v>
      </c>
      <c r="AH384" s="14" t="s">
        <v>278</v>
      </c>
      <c r="AI384" s="8">
        <v>0.2</v>
      </c>
      <c r="AJ384" s="1">
        <f t="shared" si="83"/>
        <v>0.22</v>
      </c>
      <c r="AK384" s="1">
        <f t="shared" si="91"/>
        <v>19.474999999999998</v>
      </c>
      <c r="AL384" s="1">
        <f t="shared" si="92"/>
        <v>14.194999999999997</v>
      </c>
      <c r="AS384" s="1">
        <f t="shared" si="93"/>
        <v>362</v>
      </c>
      <c r="AT384" s="14" t="s">
        <v>278</v>
      </c>
      <c r="AU384" s="8">
        <v>0</v>
      </c>
      <c r="AV384" s="1">
        <f t="shared" si="84"/>
        <v>0</v>
      </c>
      <c r="AW384" s="1">
        <f t="shared" si="94"/>
        <v>19.254999999999999</v>
      </c>
      <c r="AX384" s="1">
        <f t="shared" si="95"/>
        <v>19.254999999999999</v>
      </c>
    </row>
    <row r="385" spans="8:50">
      <c r="H385" s="1">
        <f t="shared" si="85"/>
        <v>363</v>
      </c>
      <c r="I385" s="14" t="s">
        <v>278</v>
      </c>
      <c r="J385" s="127">
        <f>'Organized Input Output'!D380</f>
        <v>0</v>
      </c>
      <c r="K385" s="104">
        <f t="shared" si="86"/>
        <v>0</v>
      </c>
      <c r="L385" s="104">
        <f t="shared" si="96"/>
        <v>18.509999999999998</v>
      </c>
      <c r="M385" s="104">
        <f t="shared" si="97"/>
        <v>0.745</v>
      </c>
      <c r="T385" s="1">
        <f t="shared" si="87"/>
        <v>363</v>
      </c>
      <c r="U385" s="14" t="s">
        <v>278</v>
      </c>
      <c r="V385" s="8">
        <v>0</v>
      </c>
      <c r="W385" s="1">
        <f t="shared" si="82"/>
        <v>0</v>
      </c>
      <c r="X385" s="1">
        <f t="shared" si="88"/>
        <v>18.509999999999998</v>
      </c>
      <c r="Y385" s="1">
        <f t="shared" si="89"/>
        <v>18.509999999999998</v>
      </c>
      <c r="AG385" s="1">
        <f t="shared" si="90"/>
        <v>363</v>
      </c>
      <c r="AH385" s="14" t="s">
        <v>278</v>
      </c>
      <c r="AI385" s="8">
        <v>0</v>
      </c>
      <c r="AJ385" s="1">
        <f t="shared" si="83"/>
        <v>0</v>
      </c>
      <c r="AK385" s="1">
        <f t="shared" si="91"/>
        <v>18.729999999999997</v>
      </c>
      <c r="AL385" s="1">
        <f t="shared" si="92"/>
        <v>18.729999999999997</v>
      </c>
      <c r="AS385" s="1">
        <f t="shared" si="93"/>
        <v>363</v>
      </c>
      <c r="AT385" s="14" t="s">
        <v>278</v>
      </c>
      <c r="AU385" s="8">
        <v>0</v>
      </c>
      <c r="AV385" s="1">
        <f t="shared" si="84"/>
        <v>0</v>
      </c>
      <c r="AW385" s="1">
        <f t="shared" si="94"/>
        <v>18.509999999999998</v>
      </c>
      <c r="AX385" s="1">
        <f t="shared" si="95"/>
        <v>18.509999999999998</v>
      </c>
    </row>
    <row r="386" spans="8:50">
      <c r="H386" s="1">
        <f t="shared" si="85"/>
        <v>364</v>
      </c>
      <c r="I386" s="14" t="s">
        <v>278</v>
      </c>
      <c r="J386" s="127">
        <f>'Organized Input Output'!D381</f>
        <v>0</v>
      </c>
      <c r="K386" s="104">
        <f t="shared" si="86"/>
        <v>0</v>
      </c>
      <c r="L386" s="104">
        <f t="shared" si="96"/>
        <v>17.764999999999997</v>
      </c>
      <c r="M386" s="104">
        <f t="shared" si="97"/>
        <v>0.745</v>
      </c>
      <c r="T386" s="1">
        <f t="shared" si="87"/>
        <v>364</v>
      </c>
      <c r="U386" s="14" t="s">
        <v>278</v>
      </c>
      <c r="V386" s="8">
        <v>0</v>
      </c>
      <c r="W386" s="1">
        <f t="shared" si="82"/>
        <v>0</v>
      </c>
      <c r="X386" s="1">
        <f t="shared" si="88"/>
        <v>17.764999999999997</v>
      </c>
      <c r="Y386" s="1">
        <f t="shared" si="89"/>
        <v>17.764999999999997</v>
      </c>
      <c r="AG386" s="1">
        <f t="shared" si="90"/>
        <v>364</v>
      </c>
      <c r="AH386" s="14" t="s">
        <v>278</v>
      </c>
      <c r="AI386" s="8">
        <v>0</v>
      </c>
      <c r="AJ386" s="1">
        <f t="shared" si="83"/>
        <v>0</v>
      </c>
      <c r="AK386" s="1">
        <f t="shared" si="91"/>
        <v>17.984999999999996</v>
      </c>
      <c r="AL386" s="1">
        <f t="shared" si="92"/>
        <v>17.984999999999996</v>
      </c>
      <c r="AS386" s="1">
        <f t="shared" si="93"/>
        <v>364</v>
      </c>
      <c r="AT386" s="14" t="s">
        <v>278</v>
      </c>
      <c r="AU386" s="8">
        <v>0</v>
      </c>
      <c r="AV386" s="1">
        <f t="shared" si="84"/>
        <v>0</v>
      </c>
      <c r="AW386" s="1">
        <f t="shared" si="94"/>
        <v>17.764999999999997</v>
      </c>
      <c r="AX386" s="1">
        <f t="shared" si="95"/>
        <v>17.764999999999997</v>
      </c>
    </row>
    <row r="387" spans="8:50">
      <c r="H387" s="1">
        <f t="shared" si="85"/>
        <v>365</v>
      </c>
      <c r="I387" s="14" t="s">
        <v>278</v>
      </c>
      <c r="J387" s="127">
        <f>'Organized Input Output'!D382</f>
        <v>0</v>
      </c>
      <c r="K387" s="104">
        <f t="shared" si="86"/>
        <v>0</v>
      </c>
      <c r="L387" s="104">
        <f t="shared" si="96"/>
        <v>17.019999999999996</v>
      </c>
      <c r="M387" s="104">
        <f t="shared" si="97"/>
        <v>0.745</v>
      </c>
      <c r="T387" s="1">
        <f t="shared" si="87"/>
        <v>365</v>
      </c>
      <c r="U387" s="14" t="s">
        <v>278</v>
      </c>
      <c r="V387" s="8">
        <v>0</v>
      </c>
      <c r="W387" s="1">
        <f t="shared" si="82"/>
        <v>0</v>
      </c>
      <c r="X387" s="1">
        <f t="shared" si="88"/>
        <v>17.019999999999996</v>
      </c>
      <c r="Y387" s="1">
        <f t="shared" si="89"/>
        <v>17.019999999999996</v>
      </c>
      <c r="AG387" s="1">
        <f t="shared" si="90"/>
        <v>365</v>
      </c>
      <c r="AH387" s="14" t="s">
        <v>278</v>
      </c>
      <c r="AI387" s="8">
        <v>0</v>
      </c>
      <c r="AJ387" s="1">
        <f t="shared" si="83"/>
        <v>0</v>
      </c>
      <c r="AK387" s="1">
        <f t="shared" si="91"/>
        <v>17.239999999999995</v>
      </c>
      <c r="AL387" s="1">
        <f t="shared" si="92"/>
        <v>17.239999999999995</v>
      </c>
      <c r="AS387" s="1">
        <f t="shared" si="93"/>
        <v>365</v>
      </c>
      <c r="AT387" s="14" t="s">
        <v>278</v>
      </c>
      <c r="AU387" s="8">
        <v>0</v>
      </c>
      <c r="AV387" s="1">
        <f t="shared" si="84"/>
        <v>0</v>
      </c>
      <c r="AW387" s="1">
        <f t="shared" si="94"/>
        <v>17.019999999999996</v>
      </c>
      <c r="AX387" s="1">
        <f t="shared" si="95"/>
        <v>17.019999999999996</v>
      </c>
    </row>
    <row r="388" spans="8:50">
      <c r="M388" s="4"/>
      <c r="AU388" s="8"/>
    </row>
    <row r="389" spans="8:50">
      <c r="M389" s="4"/>
      <c r="AU389" s="8"/>
    </row>
    <row r="390" spans="8:50">
      <c r="M390" s="4"/>
      <c r="AU390" s="8"/>
    </row>
    <row r="391" spans="8:50">
      <c r="M391" s="4"/>
      <c r="AU391" s="8"/>
    </row>
    <row r="392" spans="8:50">
      <c r="M392" s="4"/>
      <c r="AU392" s="8"/>
    </row>
    <row r="393" spans="8:50">
      <c r="M393" s="4"/>
      <c r="AU393" s="8"/>
    </row>
    <row r="394" spans="8:50">
      <c r="M394" s="4"/>
      <c r="P394" s="124"/>
      <c r="Q394" s="121"/>
      <c r="R394" s="4"/>
      <c r="S394" s="4"/>
      <c r="T394" s="4"/>
      <c r="V394" s="4"/>
      <c r="X394" s="4"/>
      <c r="Z394" s="4"/>
      <c r="AA394" s="4"/>
      <c r="AB394" s="4"/>
      <c r="AC394" s="4"/>
      <c r="AD394" s="4"/>
      <c r="AE394" s="4"/>
    </row>
    <row r="395" spans="8:50">
      <c r="M395" s="4"/>
    </row>
    <row r="396" spans="8:50">
      <c r="M396" s="4"/>
    </row>
    <row r="397" spans="8:50">
      <c r="M397" s="4"/>
    </row>
    <row r="398" spans="8:50">
      <c r="M398" s="4"/>
    </row>
    <row r="399" spans="8:50">
      <c r="M399" s="4"/>
    </row>
    <row r="400" spans="8:50">
      <c r="M400" s="4"/>
    </row>
    <row r="401" spans="13:13">
      <c r="M401" s="4"/>
    </row>
    <row r="402" spans="13:13">
      <c r="M402" s="4"/>
    </row>
    <row r="403" spans="13:13">
      <c r="M403" s="4"/>
    </row>
    <row r="404" spans="13:13">
      <c r="M404" s="4"/>
    </row>
    <row r="405" spans="13:13">
      <c r="M405" s="4"/>
    </row>
    <row r="406" spans="13:13">
      <c r="M406" s="4"/>
    </row>
    <row r="407" spans="13:13">
      <c r="M407" s="4"/>
    </row>
    <row r="408" spans="13:13">
      <c r="M408" s="4"/>
    </row>
  </sheetData>
  <mergeCells count="14">
    <mergeCell ref="N21:N22"/>
    <mergeCell ref="I20:M20"/>
    <mergeCell ref="A3:M4"/>
    <mergeCell ref="M21:M22"/>
    <mergeCell ref="A6:E6"/>
    <mergeCell ref="A10:E10"/>
    <mergeCell ref="J21:J22"/>
    <mergeCell ref="K21:K22"/>
    <mergeCell ref="L21:L22"/>
    <mergeCell ref="AU21:AU22"/>
    <mergeCell ref="AW21:AW22"/>
    <mergeCell ref="AH20:AL20"/>
    <mergeCell ref="AT20:AX20"/>
    <mergeCell ref="U20:Y2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7C2D6-938C-470D-864E-B0196C5222DE}">
  <dimension ref="A1:Z385"/>
  <sheetViews>
    <sheetView topLeftCell="L5" zoomScale="117" workbookViewId="0">
      <selection activeCell="M70" sqref="M70"/>
    </sheetView>
  </sheetViews>
  <sheetFormatPr defaultColWidth="9.140625" defaultRowHeight="15" customHeight="1"/>
  <cols>
    <col min="1" max="1" width="9.140625" style="43"/>
    <col min="2" max="2" width="13.140625" style="43" customWidth="1"/>
    <col min="3" max="3" width="9.140625" style="43"/>
    <col min="4" max="4" width="10" style="43" bestFit="1" customWidth="1"/>
    <col min="5" max="5" width="12.7109375" style="43" customWidth="1"/>
    <col min="6" max="6" width="13.28515625" style="43" customWidth="1"/>
    <col min="7" max="7" width="13.7109375" style="43" customWidth="1"/>
    <col min="8" max="8" width="16.85546875" style="43" customWidth="1"/>
    <col min="9" max="9" width="14.28515625" style="43" customWidth="1"/>
    <col min="10" max="10" width="15.5703125" style="43" customWidth="1"/>
    <col min="11" max="11" width="9.140625" style="43" bestFit="1" customWidth="1"/>
    <col min="12" max="12" width="13.5703125" style="43" customWidth="1"/>
    <col min="13" max="13" width="15.42578125" style="43" customWidth="1"/>
    <col min="14" max="14" width="15.140625" style="43" customWidth="1"/>
    <col min="15" max="15" width="16.7109375" style="43" customWidth="1"/>
    <col min="16" max="16" width="21.5703125" style="43" customWidth="1"/>
    <col min="17" max="19" width="13.42578125" style="43" customWidth="1"/>
    <col min="20" max="20" width="15.42578125" style="43" customWidth="1"/>
    <col min="21" max="21" width="36.5703125" style="43" bestFit="1" customWidth="1"/>
    <col min="22" max="22" width="13.42578125" style="43" customWidth="1"/>
    <col min="23" max="23" width="13.5703125" style="43" customWidth="1"/>
    <col min="24" max="24" width="12.140625" style="43" customWidth="1"/>
    <col min="25" max="25" width="11.42578125" style="43" bestFit="1" customWidth="1"/>
    <col min="26" max="26" width="12" style="43" bestFit="1" customWidth="1"/>
    <col min="27" max="16384" width="9.140625" style="43"/>
  </cols>
  <sheetData>
    <row r="1" spans="1:26" ht="14.45">
      <c r="B1" s="255" t="s">
        <v>0</v>
      </c>
    </row>
    <row r="2" spans="1:26" ht="14.45">
      <c r="B2" s="1" t="s">
        <v>3</v>
      </c>
    </row>
    <row r="3" spans="1:26" ht="14.45">
      <c r="B3" s="255" t="s">
        <v>344</v>
      </c>
      <c r="C3" s="255"/>
      <c r="D3" s="255"/>
      <c r="G3" s="10" t="s">
        <v>345</v>
      </c>
      <c r="H3" s="153">
        <v>0.7</v>
      </c>
      <c r="I3" s="154" t="s">
        <v>346</v>
      </c>
      <c r="J3" s="155" t="s">
        <v>347</v>
      </c>
      <c r="K3" s="156">
        <v>10</v>
      </c>
      <c r="L3" s="157" t="s">
        <v>348</v>
      </c>
      <c r="M3" s="158" t="s">
        <v>349</v>
      </c>
      <c r="N3" s="159">
        <f>IF('Organized Input Output'!AB4 = "y", 36, IF('Organized Input Output'!AB5 = "y", 40, IF('Organized Input Output'!AB6 = "y", 50, 0)))</f>
        <v>50</v>
      </c>
      <c r="O3" s="160" t="s">
        <v>350</v>
      </c>
      <c r="P3" s="161" t="s">
        <v>351</v>
      </c>
      <c r="Q3" s="162">
        <v>40</v>
      </c>
      <c r="R3" s="163" t="s">
        <v>352</v>
      </c>
      <c r="U3" s="201" t="s">
        <v>353</v>
      </c>
      <c r="V3" s="155" t="s">
        <v>347</v>
      </c>
      <c r="W3" s="156">
        <v>10</v>
      </c>
      <c r="X3" s="157" t="s">
        <v>348</v>
      </c>
    </row>
    <row r="4" spans="1:26" ht="43.5">
      <c r="B4" s="164" t="s">
        <v>354</v>
      </c>
      <c r="C4" s="165">
        <f>'Organized Input Output'!J7</f>
        <v>1100</v>
      </c>
      <c r="D4" s="253" t="s">
        <v>355</v>
      </c>
      <c r="J4" s="155" t="s">
        <v>356</v>
      </c>
      <c r="K4" s="156">
        <f>IF('Organized Input Output'!AD5= "y", 50, 0)</f>
        <v>50</v>
      </c>
      <c r="L4" s="157" t="s">
        <v>357</v>
      </c>
      <c r="P4" s="161" t="s">
        <v>358</v>
      </c>
      <c r="Q4" s="166">
        <v>0.35</v>
      </c>
      <c r="R4" s="163" t="s">
        <v>359</v>
      </c>
      <c r="U4" s="201">
        <f>SUM(S11:S375)+SUM(U11:U375)</f>
        <v>0</v>
      </c>
      <c r="V4" s="155" t="s">
        <v>360</v>
      </c>
      <c r="W4" s="156">
        <f>IF('Organized Input Output'!AD3 = "y", 100, 0)</f>
        <v>0</v>
      </c>
      <c r="X4" s="157" t="s">
        <v>357</v>
      </c>
      <c r="Z4" s="191" t="s">
        <v>361</v>
      </c>
    </row>
    <row r="5" spans="1:26" ht="29.1">
      <c r="B5" s="164" t="s">
        <v>362</v>
      </c>
      <c r="C5" s="165">
        <f>'Organized Input Output'!K7 / 1000</f>
        <v>2.5</v>
      </c>
      <c r="D5" s="253" t="s">
        <v>363</v>
      </c>
      <c r="J5" s="155" t="s">
        <v>106</v>
      </c>
      <c r="K5" s="156">
        <v>2</v>
      </c>
      <c r="L5" s="157" t="s">
        <v>364</v>
      </c>
      <c r="N5" s="167"/>
      <c r="O5" s="168"/>
      <c r="P5" s="225" t="s">
        <v>365</v>
      </c>
      <c r="Q5" s="228">
        <f>SUM(Q11:Q375)</f>
        <v>0</v>
      </c>
      <c r="R5" s="226"/>
      <c r="U5" s="201" t="s">
        <v>366</v>
      </c>
      <c r="V5" s="169" t="s">
        <v>367</v>
      </c>
      <c r="W5" s="156">
        <v>4.4000000000000004</v>
      </c>
      <c r="X5" s="157" t="s">
        <v>368</v>
      </c>
      <c r="Z5" s="192">
        <f>SUM(Y11:Y375)</f>
        <v>0</v>
      </c>
    </row>
    <row r="6" spans="1:26" ht="14.45">
      <c r="B6" s="164" t="s">
        <v>92</v>
      </c>
      <c r="C6" s="165">
        <f>'Organized Input Output'!D14</f>
        <v>745</v>
      </c>
      <c r="D6" s="253" t="s">
        <v>369</v>
      </c>
      <c r="I6" s="255"/>
      <c r="U6" s="201">
        <f>SUM(U13:U377)</f>
        <v>0</v>
      </c>
    </row>
    <row r="7" spans="1:26" ht="14.45">
      <c r="B7" s="170" t="s">
        <v>370</v>
      </c>
      <c r="C7" s="171">
        <v>0</v>
      </c>
      <c r="D7" s="172" t="s">
        <v>124</v>
      </c>
      <c r="I7" s="173"/>
      <c r="W7" s="174"/>
      <c r="X7" s="255"/>
    </row>
    <row r="8" spans="1:26" ht="72.599999999999994">
      <c r="G8" s="175"/>
      <c r="U8" s="1" t="s">
        <v>371</v>
      </c>
      <c r="W8" s="174"/>
      <c r="X8" s="255"/>
    </row>
    <row r="9" spans="1:26" ht="43.5">
      <c r="B9" s="44"/>
      <c r="C9" s="265" t="s">
        <v>343</v>
      </c>
      <c r="D9" s="265" t="s">
        <v>100</v>
      </c>
      <c r="E9" s="266" t="s">
        <v>101</v>
      </c>
      <c r="F9" s="267" t="s">
        <v>102</v>
      </c>
      <c r="G9" s="9" t="s">
        <v>103</v>
      </c>
      <c r="H9" s="9" t="s">
        <v>104</v>
      </c>
      <c r="I9" s="9" t="s">
        <v>104</v>
      </c>
      <c r="J9" s="157" t="s">
        <v>105</v>
      </c>
      <c r="K9" s="157" t="s">
        <v>105</v>
      </c>
      <c r="L9" s="157" t="s">
        <v>106</v>
      </c>
      <c r="M9" s="157" t="s">
        <v>106</v>
      </c>
      <c r="N9" s="194" t="s">
        <v>107</v>
      </c>
      <c r="O9" s="194" t="s">
        <v>107</v>
      </c>
      <c r="P9" s="195" t="s">
        <v>108</v>
      </c>
      <c r="Q9" s="196" t="s">
        <v>109</v>
      </c>
      <c r="R9" s="196" t="s">
        <v>110</v>
      </c>
      <c r="S9" s="197" t="s">
        <v>372</v>
      </c>
      <c r="T9" s="196" t="s">
        <v>110</v>
      </c>
      <c r="U9" s="197" t="s">
        <v>373</v>
      </c>
      <c r="V9" s="198" t="s">
        <v>113</v>
      </c>
      <c r="W9" s="198" t="s">
        <v>114</v>
      </c>
      <c r="X9" s="199" t="s">
        <v>115</v>
      </c>
      <c r="Y9" s="199" t="s">
        <v>374</v>
      </c>
    </row>
    <row r="10" spans="1:26" ht="14.45">
      <c r="B10" s="44"/>
      <c r="C10" s="265"/>
      <c r="D10" s="265"/>
      <c r="E10" s="266"/>
      <c r="F10" s="267"/>
      <c r="G10" s="9" t="s">
        <v>118</v>
      </c>
      <c r="H10" s="9" t="s">
        <v>119</v>
      </c>
      <c r="I10" s="9" t="s">
        <v>120</v>
      </c>
      <c r="J10" s="157" t="s">
        <v>121</v>
      </c>
      <c r="K10" s="157" t="s">
        <v>122</v>
      </c>
      <c r="L10" s="157" t="s">
        <v>119</v>
      </c>
      <c r="M10" s="157" t="s">
        <v>120</v>
      </c>
      <c r="N10" s="194" t="s">
        <v>123</v>
      </c>
      <c r="O10" s="194" t="s">
        <v>120</v>
      </c>
      <c r="P10" s="195" t="s">
        <v>120</v>
      </c>
      <c r="Q10" s="196" t="s">
        <v>124</v>
      </c>
      <c r="R10" s="196" t="s">
        <v>124</v>
      </c>
      <c r="S10" s="196" t="s">
        <v>125</v>
      </c>
      <c r="T10" s="196" t="s">
        <v>124</v>
      </c>
      <c r="U10" s="196" t="s">
        <v>375</v>
      </c>
      <c r="V10" s="199" t="s">
        <v>121</v>
      </c>
      <c r="W10" s="199" t="s">
        <v>126</v>
      </c>
      <c r="X10" s="200" t="s">
        <v>126</v>
      </c>
      <c r="Y10" s="200" t="s">
        <v>117</v>
      </c>
    </row>
    <row r="11" spans="1:26" ht="14.45">
      <c r="A11" s="43">
        <v>1</v>
      </c>
      <c r="B11" s="176">
        <v>0</v>
      </c>
      <c r="C11" s="126">
        <f>'Studio Rain System'!J23</f>
        <v>18.8</v>
      </c>
      <c r="D11" s="104">
        <f>'Studio Rain System'!K23</f>
        <v>20.68</v>
      </c>
      <c r="E11" s="104">
        <f>'Studio Rain System'!L23</f>
        <v>20.68</v>
      </c>
      <c r="F11" s="104">
        <f>'Studio Rain System'!M23</f>
        <v>0</v>
      </c>
      <c r="G11" s="177">
        <v>125600</v>
      </c>
      <c r="H11" s="178">
        <f t="shared" ref="H11:H74" si="0">(G11*D11)/$H$3</f>
        <v>3710582.8571428573</v>
      </c>
      <c r="I11" s="128">
        <f>H11/10^6</f>
        <v>3.7105828571428572</v>
      </c>
      <c r="J11" s="193">
        <f>IF( 'Organized Input Output'!$AD$5= "y", $K$4*(D11*1000)/$K$3, 0)</f>
        <v>103400</v>
      </c>
      <c r="K11" s="43">
        <f>J11/1000</f>
        <v>103.4</v>
      </c>
      <c r="L11" s="43">
        <f>M11*1000000</f>
        <v>0</v>
      </c>
      <c r="M11" s="180">
        <f t="shared" ref="M11:M74" si="1">IF(A11 &lt; 32, 0, $K$5*K11)</f>
        <v>0</v>
      </c>
      <c r="N11" s="43">
        <f xml:space="preserve"> $N$3 * 24</f>
        <v>1200</v>
      </c>
      <c r="O11" s="128">
        <f t="shared" ref="O11:O74" si="2" xml:space="preserve"> IF(A11 &lt; 31, 0, (N11 * 3600 / 1000000))</f>
        <v>0</v>
      </c>
      <c r="P11" s="181">
        <f>I11 + M11 + O11</f>
        <v>3.7105828571428572</v>
      </c>
      <c r="Q11" s="209">
        <f>IF( 'Organized Input Output'!$AF$9 = "y", P11 / ($Q$3 * $Q$4), 0)</f>
        <v>0</v>
      </c>
      <c r="R11" s="209">
        <f>Q11</f>
        <v>0</v>
      </c>
      <c r="S11" s="43">
        <f>IF( 'Organized Input Output'!$AF$9 = "y", IF(R11= 0, 1, 0), 0)</f>
        <v>0</v>
      </c>
      <c r="T11" s="209">
        <f>Q11</f>
        <v>0</v>
      </c>
      <c r="U11" s="43">
        <f>IF( 'Organized Input Output'!$AF$9 = "y", IF(T11= 0, 1, 0), 0)</f>
        <v>0</v>
      </c>
      <c r="V11" s="43">
        <f t="shared" ref="V11:V74" si="3">W$4*(D11*1000)*(1/$W$3)</f>
        <v>0</v>
      </c>
      <c r="W11" s="43">
        <f>V11/1000000</f>
        <v>0</v>
      </c>
      <c r="X11" s="43">
        <f>W11</f>
        <v>0</v>
      </c>
    </row>
    <row r="12" spans="1:26" ht="14.45">
      <c r="A12" s="43">
        <v>2</v>
      </c>
      <c r="B12" s="176">
        <v>0</v>
      </c>
      <c r="C12" s="126">
        <f>'Studio Rain System'!J24</f>
        <v>19.8</v>
      </c>
      <c r="D12" s="104">
        <f>'Studio Rain System'!K24</f>
        <v>21.78</v>
      </c>
      <c r="E12" s="104">
        <f>'Studio Rain System'!L24</f>
        <v>20</v>
      </c>
      <c r="F12" s="104">
        <f>'Studio Rain System'!M24</f>
        <v>0</v>
      </c>
      <c r="G12" s="177">
        <v>125600</v>
      </c>
      <c r="H12" s="178">
        <f t="shared" si="0"/>
        <v>3907954.2857142859</v>
      </c>
      <c r="I12" s="128">
        <f t="shared" ref="I12:I75" si="4">H12/10^6</f>
        <v>3.9079542857142857</v>
      </c>
      <c r="J12" s="193">
        <f>IF( 'Organized Input Output'!$AD$5= "y", $K$4*(D12*1000)/$K$3, 0)</f>
        <v>108900</v>
      </c>
      <c r="K12" s="43">
        <f t="shared" ref="K12:K75" si="5">J12/1000</f>
        <v>108.9</v>
      </c>
      <c r="L12" s="43">
        <f t="shared" ref="L12:L75" si="6">M12*1000000</f>
        <v>0</v>
      </c>
      <c r="M12" s="180">
        <f t="shared" si="1"/>
        <v>0</v>
      </c>
      <c r="N12" s="43">
        <f t="shared" ref="N12:N75" si="7" xml:space="preserve"> $N$3 * 24</f>
        <v>1200</v>
      </c>
      <c r="O12" s="128">
        <f t="shared" si="2"/>
        <v>0</v>
      </c>
      <c r="P12" s="181">
        <f t="shared" ref="P12:P75" si="8">I12 + M12 + O12</f>
        <v>3.9079542857142857</v>
      </c>
      <c r="Q12" s="209">
        <f>IF( 'Organized Input Output'!$AF$9 = "y", P12 / ($Q$3 * $Q$4), 0)</f>
        <v>0</v>
      </c>
      <c r="R12" s="209">
        <f t="shared" ref="R12:R75" si="9">IF(R11+Q12 &gt; 100, 0, R11+Q12 )</f>
        <v>0</v>
      </c>
      <c r="S12" s="43">
        <f>IF( 'Organized Input Output'!$AF$9 = "y", IF(R12= 0, 1, 0), 0)</f>
        <v>0</v>
      </c>
      <c r="T12" s="209">
        <f>IF(T11+Q12 &gt; 250, 0, T11+Q12 )</f>
        <v>0</v>
      </c>
      <c r="U12" s="43">
        <f>IF( 'Organized Input Output'!$AF$9 = "y", IF(T12= 0, 1, 0), 0)</f>
        <v>0</v>
      </c>
      <c r="V12" s="43">
        <f t="shared" si="3"/>
        <v>0</v>
      </c>
      <c r="W12" s="43">
        <f t="shared" ref="W12:W75" si="10">V12/1000000</f>
        <v>0</v>
      </c>
      <c r="X12" s="43">
        <f>IF(X11+W12 &gt; 4.4, 0, X11+W12 )</f>
        <v>0</v>
      </c>
      <c r="Y12" s="43">
        <f>IF( V12 +X12+ W12 = 0, 0, IF(X12= 0, 1, 0))</f>
        <v>0</v>
      </c>
    </row>
    <row r="13" spans="1:26" ht="14.45">
      <c r="A13" s="43">
        <v>3</v>
      </c>
      <c r="B13" s="176">
        <v>0</v>
      </c>
      <c r="C13" s="126">
        <f>'Studio Rain System'!J25</f>
        <v>0</v>
      </c>
      <c r="D13" s="104">
        <f>'Studio Rain System'!K25</f>
        <v>0</v>
      </c>
      <c r="E13" s="104">
        <f>'Studio Rain System'!L25</f>
        <v>20</v>
      </c>
      <c r="F13" s="104">
        <f>'Studio Rain System'!M25</f>
        <v>0</v>
      </c>
      <c r="G13" s="177">
        <v>125600</v>
      </c>
      <c r="H13" s="178">
        <f t="shared" si="0"/>
        <v>0</v>
      </c>
      <c r="I13" s="128">
        <f t="shared" si="4"/>
        <v>0</v>
      </c>
      <c r="J13" s="193">
        <f>IF( 'Organized Input Output'!$AD$5= "y", $K$4*(D13*1000)/$K$3, 0)</f>
        <v>0</v>
      </c>
      <c r="K13" s="43">
        <f t="shared" si="5"/>
        <v>0</v>
      </c>
      <c r="L13" s="43">
        <f t="shared" si="6"/>
        <v>0</v>
      </c>
      <c r="M13" s="180">
        <f t="shared" si="1"/>
        <v>0</v>
      </c>
      <c r="N13" s="43">
        <f t="shared" si="7"/>
        <v>1200</v>
      </c>
      <c r="O13" s="128">
        <f t="shared" si="2"/>
        <v>0</v>
      </c>
      <c r="P13" s="181">
        <f t="shared" si="8"/>
        <v>0</v>
      </c>
      <c r="Q13" s="209">
        <f>IF( 'Organized Input Output'!$AF$9 = "y", P13 / ($Q$3 * $Q$4), 0)</f>
        <v>0</v>
      </c>
      <c r="R13" s="209">
        <f t="shared" si="9"/>
        <v>0</v>
      </c>
      <c r="S13" s="43">
        <f>IF( 'Organized Input Output'!$AF$9 = "y", IF(R13= 0, 1, 0), 0)</f>
        <v>0</v>
      </c>
      <c r="T13" s="209">
        <f t="shared" ref="T13:T76" si="11">IF(T12+Q13 &gt; 250, 0, T12+Q13 )</f>
        <v>0</v>
      </c>
      <c r="U13" s="43">
        <f>IF( 'Organized Input Output'!$AF$9 = "y", IF(T13= 0, 1, 0), 0)</f>
        <v>0</v>
      </c>
      <c r="V13" s="43">
        <f t="shared" si="3"/>
        <v>0</v>
      </c>
      <c r="W13" s="43">
        <f t="shared" si="10"/>
        <v>0</v>
      </c>
      <c r="X13" s="43">
        <f>IF(X12+W13 &gt;= 4.4, 0, X12+W13 )</f>
        <v>0</v>
      </c>
      <c r="Y13" s="43">
        <f t="shared" ref="Y13:Y76" si="12">IF( V13 +X13+ W13 = 0, 0, IF(X13= 0, 1, 0))</f>
        <v>0</v>
      </c>
    </row>
    <row r="14" spans="1:26" ht="14.45">
      <c r="A14" s="43">
        <v>4</v>
      </c>
      <c r="B14" s="176">
        <v>0</v>
      </c>
      <c r="C14" s="126">
        <f>'Studio Rain System'!J26</f>
        <v>0</v>
      </c>
      <c r="D14" s="104">
        <f>'Studio Rain System'!K26</f>
        <v>0</v>
      </c>
      <c r="E14" s="104">
        <f>'Studio Rain System'!L26</f>
        <v>20</v>
      </c>
      <c r="F14" s="104">
        <f>'Studio Rain System'!M26</f>
        <v>0</v>
      </c>
      <c r="G14" s="177">
        <v>125600</v>
      </c>
      <c r="H14" s="178">
        <f t="shared" si="0"/>
        <v>0</v>
      </c>
      <c r="I14" s="128">
        <f t="shared" si="4"/>
        <v>0</v>
      </c>
      <c r="J14" s="193">
        <f>IF( 'Organized Input Output'!$AD$5= "y", $K$4*(D14*1000)/$K$3, 0)</f>
        <v>0</v>
      </c>
      <c r="K14" s="43">
        <f t="shared" si="5"/>
        <v>0</v>
      </c>
      <c r="L14" s="43">
        <f t="shared" si="6"/>
        <v>0</v>
      </c>
      <c r="M14" s="180">
        <f t="shared" si="1"/>
        <v>0</v>
      </c>
      <c r="N14" s="43">
        <f t="shared" si="7"/>
        <v>1200</v>
      </c>
      <c r="O14" s="128">
        <f t="shared" si="2"/>
        <v>0</v>
      </c>
      <c r="P14" s="181">
        <f t="shared" si="8"/>
        <v>0</v>
      </c>
      <c r="Q14" s="209">
        <f>IF( 'Organized Input Output'!$AF$9 = "y", P14 / ($Q$3 * $Q$4), 0)</f>
        <v>0</v>
      </c>
      <c r="R14" s="209">
        <f t="shared" si="9"/>
        <v>0</v>
      </c>
      <c r="S14" s="43">
        <f>IF( 'Organized Input Output'!$AF$9 = "y", IF(R14= 0, 1, 0), 0)</f>
        <v>0</v>
      </c>
      <c r="T14" s="209">
        <f t="shared" si="11"/>
        <v>0</v>
      </c>
      <c r="U14" s="43">
        <f>IF( 'Organized Input Output'!$AF$9 = "y", IF(T14= 0, 1, 0), 0)</f>
        <v>0</v>
      </c>
      <c r="V14" s="43">
        <f t="shared" si="3"/>
        <v>0</v>
      </c>
      <c r="W14" s="43">
        <f t="shared" si="10"/>
        <v>0</v>
      </c>
      <c r="X14" s="43">
        <f t="shared" ref="X14:X76" si="13">IF(X13+W14 &gt;= 4.4, 0, X13+W14 )</f>
        <v>0</v>
      </c>
      <c r="Y14" s="43">
        <f t="shared" si="12"/>
        <v>0</v>
      </c>
    </row>
    <row r="15" spans="1:26" ht="14.45">
      <c r="A15" s="43">
        <v>5</v>
      </c>
      <c r="B15" s="176">
        <v>4.4000000000000004</v>
      </c>
      <c r="C15" s="126">
        <f>'Studio Rain System'!J27</f>
        <v>0</v>
      </c>
      <c r="D15" s="104">
        <f>'Studio Rain System'!K27</f>
        <v>0</v>
      </c>
      <c r="E15" s="104">
        <f>'Studio Rain System'!L27</f>
        <v>20</v>
      </c>
      <c r="F15" s="104">
        <f>'Studio Rain System'!M27</f>
        <v>0</v>
      </c>
      <c r="G15" s="177">
        <v>125600</v>
      </c>
      <c r="H15" s="178">
        <f t="shared" si="0"/>
        <v>0</v>
      </c>
      <c r="I15" s="128">
        <f t="shared" si="4"/>
        <v>0</v>
      </c>
      <c r="J15" s="193">
        <f>IF( 'Organized Input Output'!$AD$5= "y", $K$4*(D15*1000)/$K$3, 0)</f>
        <v>0</v>
      </c>
      <c r="K15" s="43">
        <f t="shared" si="5"/>
        <v>0</v>
      </c>
      <c r="L15" s="43">
        <f t="shared" si="6"/>
        <v>0</v>
      </c>
      <c r="M15" s="180">
        <f t="shared" si="1"/>
        <v>0</v>
      </c>
      <c r="N15" s="43">
        <f t="shared" si="7"/>
        <v>1200</v>
      </c>
      <c r="O15" s="128">
        <f t="shared" si="2"/>
        <v>0</v>
      </c>
      <c r="P15" s="181">
        <f t="shared" si="8"/>
        <v>0</v>
      </c>
      <c r="Q15" s="209">
        <f>IF( 'Organized Input Output'!$AF$9 = "y", P15 / ($Q$3 * $Q$4), 0)</f>
        <v>0</v>
      </c>
      <c r="R15" s="209">
        <f t="shared" si="9"/>
        <v>0</v>
      </c>
      <c r="S15" s="43">
        <f>IF( 'Organized Input Output'!$AF$9 = "y", IF(R15= 0, 1, 0), 0)</f>
        <v>0</v>
      </c>
      <c r="T15" s="209">
        <f t="shared" si="11"/>
        <v>0</v>
      </c>
      <c r="U15" s="43">
        <f>IF( 'Organized Input Output'!$AF$9 = "y", IF(T15= 0, 1, 0), 0)</f>
        <v>0</v>
      </c>
      <c r="V15" s="43">
        <f t="shared" si="3"/>
        <v>0</v>
      </c>
      <c r="W15" s="43">
        <f t="shared" si="10"/>
        <v>0</v>
      </c>
      <c r="X15" s="43">
        <f t="shared" si="13"/>
        <v>0</v>
      </c>
      <c r="Y15" s="43">
        <f t="shared" si="12"/>
        <v>0</v>
      </c>
    </row>
    <row r="16" spans="1:26" ht="14.45">
      <c r="A16" s="43">
        <v>6</v>
      </c>
      <c r="B16" s="176">
        <v>5.6</v>
      </c>
      <c r="C16" s="126">
        <f>'Studio Rain System'!J28</f>
        <v>5</v>
      </c>
      <c r="D16" s="104">
        <f>'Studio Rain System'!K28</f>
        <v>5.5</v>
      </c>
      <c r="E16" s="104">
        <f>'Studio Rain System'!L28</f>
        <v>20</v>
      </c>
      <c r="F16" s="104">
        <f>'Studio Rain System'!M28</f>
        <v>0</v>
      </c>
      <c r="G16" s="177">
        <v>125600</v>
      </c>
      <c r="H16" s="178">
        <f t="shared" si="0"/>
        <v>986857.14285714296</v>
      </c>
      <c r="I16" s="128">
        <f t="shared" si="4"/>
        <v>0.98685714285714299</v>
      </c>
      <c r="J16" s="193">
        <f>IF( 'Organized Input Output'!$AD$5= "y", $K$4*(D16*1000)/$K$3, 0)</f>
        <v>27500</v>
      </c>
      <c r="K16" s="43">
        <f t="shared" si="5"/>
        <v>27.5</v>
      </c>
      <c r="L16" s="43">
        <f t="shared" si="6"/>
        <v>0</v>
      </c>
      <c r="M16" s="180">
        <f t="shared" si="1"/>
        <v>0</v>
      </c>
      <c r="N16" s="43">
        <f t="shared" si="7"/>
        <v>1200</v>
      </c>
      <c r="O16" s="128">
        <f t="shared" si="2"/>
        <v>0</v>
      </c>
      <c r="P16" s="181">
        <f t="shared" si="8"/>
        <v>0.98685714285714299</v>
      </c>
      <c r="Q16" s="209">
        <f>IF( 'Organized Input Output'!$AF$9 = "y", P16 / ($Q$3 * $Q$4), 0)</f>
        <v>0</v>
      </c>
      <c r="R16" s="209">
        <f t="shared" si="9"/>
        <v>0</v>
      </c>
      <c r="S16" s="43">
        <f>IF( 'Organized Input Output'!$AF$9 = "y", IF(R16= 0, 1, 0), 0)</f>
        <v>0</v>
      </c>
      <c r="T16" s="209">
        <f t="shared" si="11"/>
        <v>0</v>
      </c>
      <c r="U16" s="43">
        <f>IF( 'Organized Input Output'!$AF$9 = "y", IF(T16= 0, 1, 0), 0)</f>
        <v>0</v>
      </c>
      <c r="V16" s="43">
        <f t="shared" si="3"/>
        <v>0</v>
      </c>
      <c r="W16" s="43">
        <f t="shared" si="10"/>
        <v>0</v>
      </c>
      <c r="X16" s="43">
        <f t="shared" si="13"/>
        <v>0</v>
      </c>
      <c r="Y16" s="43">
        <f t="shared" si="12"/>
        <v>0</v>
      </c>
    </row>
    <row r="17" spans="1:25" ht="14.45">
      <c r="A17" s="43">
        <v>7</v>
      </c>
      <c r="B17" s="176">
        <v>5</v>
      </c>
      <c r="C17" s="126">
        <f>'Studio Rain System'!J29</f>
        <v>20.399999999999999</v>
      </c>
      <c r="D17" s="104">
        <f>'Studio Rain System'!K29</f>
        <v>22.439999999999998</v>
      </c>
      <c r="E17" s="104">
        <f>'Studio Rain System'!L29</f>
        <v>20</v>
      </c>
      <c r="F17" s="104">
        <f>'Studio Rain System'!M29</f>
        <v>0</v>
      </c>
      <c r="G17" s="177">
        <v>125600</v>
      </c>
      <c r="H17" s="178">
        <f t="shared" si="0"/>
        <v>4026377.1428571423</v>
      </c>
      <c r="I17" s="128">
        <f t="shared" si="4"/>
        <v>4.0263771428571422</v>
      </c>
      <c r="J17" s="193">
        <f>IF( 'Organized Input Output'!$AD$5= "y", $K$4*(D17*1000)/$K$3, 0)</f>
        <v>112199.99999999997</v>
      </c>
      <c r="K17" s="43">
        <f t="shared" si="5"/>
        <v>112.19999999999997</v>
      </c>
      <c r="L17" s="43">
        <f t="shared" si="6"/>
        <v>0</v>
      </c>
      <c r="M17" s="180">
        <f t="shared" si="1"/>
        <v>0</v>
      </c>
      <c r="N17" s="43">
        <f t="shared" si="7"/>
        <v>1200</v>
      </c>
      <c r="O17" s="128">
        <f t="shared" si="2"/>
        <v>0</v>
      </c>
      <c r="P17" s="181">
        <f t="shared" si="8"/>
        <v>4.0263771428571422</v>
      </c>
      <c r="Q17" s="209">
        <f>IF( 'Organized Input Output'!$AF$9 = "y", P17 / ($Q$3 * $Q$4), 0)</f>
        <v>0</v>
      </c>
      <c r="R17" s="209">
        <f t="shared" si="9"/>
        <v>0</v>
      </c>
      <c r="S17" s="43">
        <f>IF( 'Organized Input Output'!$AF$9 = "y", IF(R17= 0, 1, 0), 0)</f>
        <v>0</v>
      </c>
      <c r="T17" s="209">
        <f t="shared" si="11"/>
        <v>0</v>
      </c>
      <c r="U17" s="43">
        <f>IF( 'Organized Input Output'!$AF$9 = "y", IF(T17= 0, 1, 0), 0)</f>
        <v>0</v>
      </c>
      <c r="V17" s="43">
        <f t="shared" si="3"/>
        <v>0</v>
      </c>
      <c r="W17" s="43">
        <f t="shared" si="10"/>
        <v>0</v>
      </c>
      <c r="X17" s="43">
        <f t="shared" si="13"/>
        <v>0</v>
      </c>
      <c r="Y17" s="43">
        <f t="shared" si="12"/>
        <v>0</v>
      </c>
    </row>
    <row r="18" spans="1:25" ht="14.45">
      <c r="A18" s="43">
        <v>8</v>
      </c>
      <c r="B18" s="176">
        <v>2.6</v>
      </c>
      <c r="C18" s="126">
        <f>'Studio Rain System'!J30</f>
        <v>24.8</v>
      </c>
      <c r="D18" s="104">
        <f>'Studio Rain System'!K30</f>
        <v>27.279999999999998</v>
      </c>
      <c r="E18" s="104">
        <f>'Studio Rain System'!L30</f>
        <v>20</v>
      </c>
      <c r="F18" s="104">
        <f>'Studio Rain System'!M30</f>
        <v>0</v>
      </c>
      <c r="G18" s="177">
        <v>125600</v>
      </c>
      <c r="H18" s="178">
        <f t="shared" si="0"/>
        <v>4894811.4285714282</v>
      </c>
      <c r="I18" s="128">
        <f t="shared" si="4"/>
        <v>4.8948114285714279</v>
      </c>
      <c r="J18" s="193">
        <f>IF( 'Organized Input Output'!$AD$5= "y", $K$4*(D18*1000)/$K$3, 0)</f>
        <v>136399.99999999997</v>
      </c>
      <c r="K18" s="43">
        <f t="shared" si="5"/>
        <v>136.39999999999998</v>
      </c>
      <c r="L18" s="43">
        <f t="shared" si="6"/>
        <v>0</v>
      </c>
      <c r="M18" s="180">
        <f t="shared" si="1"/>
        <v>0</v>
      </c>
      <c r="N18" s="43">
        <f t="shared" si="7"/>
        <v>1200</v>
      </c>
      <c r="O18" s="128">
        <f t="shared" si="2"/>
        <v>0</v>
      </c>
      <c r="P18" s="181">
        <f t="shared" si="8"/>
        <v>4.8948114285714279</v>
      </c>
      <c r="Q18" s="209">
        <f>IF( 'Organized Input Output'!$AF$9 = "y", P18 / ($Q$3 * $Q$4), 0)</f>
        <v>0</v>
      </c>
      <c r="R18" s="209">
        <f t="shared" si="9"/>
        <v>0</v>
      </c>
      <c r="S18" s="43">
        <f>IF( 'Organized Input Output'!$AF$9 = "y", IF(R18= 0, 1, 0), 0)</f>
        <v>0</v>
      </c>
      <c r="T18" s="209">
        <f t="shared" si="11"/>
        <v>0</v>
      </c>
      <c r="U18" s="43">
        <f>IF( 'Organized Input Output'!$AF$9 = "y", IF(T18= 0, 1, 0), 0)</f>
        <v>0</v>
      </c>
      <c r="V18" s="43">
        <f t="shared" si="3"/>
        <v>0</v>
      </c>
      <c r="W18" s="43">
        <f t="shared" si="10"/>
        <v>0</v>
      </c>
      <c r="X18" s="43">
        <f t="shared" si="13"/>
        <v>0</v>
      </c>
      <c r="Y18" s="43">
        <f t="shared" si="12"/>
        <v>0</v>
      </c>
    </row>
    <row r="19" spans="1:25" ht="14.45">
      <c r="A19" s="43">
        <v>9</v>
      </c>
      <c r="B19" s="176">
        <v>0.2</v>
      </c>
      <c r="C19" s="126">
        <f>'Studio Rain System'!J31</f>
        <v>34</v>
      </c>
      <c r="D19" s="104">
        <f>'Studio Rain System'!K31</f>
        <v>37.400000000000006</v>
      </c>
      <c r="E19" s="104">
        <f>'Studio Rain System'!L31</f>
        <v>20</v>
      </c>
      <c r="F19" s="104">
        <f>'Studio Rain System'!M31</f>
        <v>0</v>
      </c>
      <c r="G19" s="177">
        <v>125600</v>
      </c>
      <c r="H19" s="178">
        <f t="shared" si="0"/>
        <v>6710628.5714285728</v>
      </c>
      <c r="I19" s="128">
        <f t="shared" si="4"/>
        <v>6.7106285714285727</v>
      </c>
      <c r="J19" s="193">
        <f>IF( 'Organized Input Output'!$AD$5= "y", $K$4*(D19*1000)/$K$3, 0)</f>
        <v>187000.00000000006</v>
      </c>
      <c r="K19" s="43">
        <f t="shared" si="5"/>
        <v>187.00000000000006</v>
      </c>
      <c r="L19" s="43">
        <f t="shared" si="6"/>
        <v>0</v>
      </c>
      <c r="M19" s="180">
        <f t="shared" si="1"/>
        <v>0</v>
      </c>
      <c r="N19" s="43">
        <f t="shared" si="7"/>
        <v>1200</v>
      </c>
      <c r="O19" s="128">
        <f t="shared" si="2"/>
        <v>0</v>
      </c>
      <c r="P19" s="181">
        <f t="shared" si="8"/>
        <v>6.7106285714285727</v>
      </c>
      <c r="Q19" s="209">
        <f>IF( 'Organized Input Output'!$AF$9 = "y", P19 / ($Q$3 * $Q$4), 0)</f>
        <v>0</v>
      </c>
      <c r="R19" s="209">
        <f t="shared" si="9"/>
        <v>0</v>
      </c>
      <c r="S19" s="43">
        <f>IF( 'Organized Input Output'!$AF$9 = "y", IF(R19= 0, 1, 0), 0)</f>
        <v>0</v>
      </c>
      <c r="T19" s="209">
        <f t="shared" si="11"/>
        <v>0</v>
      </c>
      <c r="U19" s="43">
        <f>IF( 'Organized Input Output'!$AF$9 = "y", IF(T19= 0, 1, 0), 0)</f>
        <v>0</v>
      </c>
      <c r="V19" s="43">
        <f t="shared" si="3"/>
        <v>0</v>
      </c>
      <c r="W19" s="43">
        <f t="shared" si="10"/>
        <v>0</v>
      </c>
      <c r="X19" s="43">
        <f t="shared" si="13"/>
        <v>0</v>
      </c>
      <c r="Y19" s="43">
        <f t="shared" si="12"/>
        <v>0</v>
      </c>
    </row>
    <row r="20" spans="1:25" ht="14.45">
      <c r="A20" s="43">
        <v>10</v>
      </c>
      <c r="B20" s="176">
        <v>0</v>
      </c>
      <c r="C20" s="126">
        <f>'Studio Rain System'!J32</f>
        <v>44.6</v>
      </c>
      <c r="D20" s="104">
        <f>'Studio Rain System'!K32</f>
        <v>49.06</v>
      </c>
      <c r="E20" s="104">
        <f>'Studio Rain System'!L32</f>
        <v>20</v>
      </c>
      <c r="F20" s="104">
        <f>'Studio Rain System'!M32</f>
        <v>0</v>
      </c>
      <c r="G20" s="177">
        <v>125600</v>
      </c>
      <c r="H20" s="178">
        <f t="shared" si="0"/>
        <v>8802765.7142857146</v>
      </c>
      <c r="I20" s="128">
        <f t="shared" si="4"/>
        <v>8.8027657142857141</v>
      </c>
      <c r="J20" s="193">
        <f>IF( 'Organized Input Output'!$AD$5= "y", $K$4*(D20*1000)/$K$3, 0)</f>
        <v>245300</v>
      </c>
      <c r="K20" s="43">
        <f t="shared" si="5"/>
        <v>245.3</v>
      </c>
      <c r="L20" s="43">
        <f t="shared" si="6"/>
        <v>0</v>
      </c>
      <c r="M20" s="180">
        <f t="shared" si="1"/>
        <v>0</v>
      </c>
      <c r="N20" s="43">
        <f t="shared" si="7"/>
        <v>1200</v>
      </c>
      <c r="O20" s="128">
        <f t="shared" si="2"/>
        <v>0</v>
      </c>
      <c r="P20" s="181">
        <f t="shared" si="8"/>
        <v>8.8027657142857141</v>
      </c>
      <c r="Q20" s="209">
        <f>IF( 'Organized Input Output'!$AF$9 = "y", P20 / ($Q$3 * $Q$4), 0)</f>
        <v>0</v>
      </c>
      <c r="R20" s="209">
        <f t="shared" si="9"/>
        <v>0</v>
      </c>
      <c r="S20" s="43">
        <f>IF( 'Organized Input Output'!$AF$9 = "y", IF(R20= 0, 1, 0), 0)</f>
        <v>0</v>
      </c>
      <c r="T20" s="209">
        <f t="shared" si="11"/>
        <v>0</v>
      </c>
      <c r="U20" s="43">
        <f>IF( 'Organized Input Output'!$AF$9 = "y", IF(T20= 0, 1, 0), 0)</f>
        <v>0</v>
      </c>
      <c r="V20" s="43">
        <f t="shared" si="3"/>
        <v>0</v>
      </c>
      <c r="W20" s="43">
        <f t="shared" si="10"/>
        <v>0</v>
      </c>
      <c r="X20" s="43">
        <f t="shared" si="13"/>
        <v>0</v>
      </c>
      <c r="Y20" s="43">
        <f t="shared" si="12"/>
        <v>0</v>
      </c>
    </row>
    <row r="21" spans="1:25" ht="14.45">
      <c r="A21" s="43">
        <v>11</v>
      </c>
      <c r="B21" s="176">
        <v>0</v>
      </c>
      <c r="C21" s="126">
        <f>'Studio Rain System'!J33</f>
        <v>14.4</v>
      </c>
      <c r="D21" s="104">
        <f>'Studio Rain System'!K33</f>
        <v>15.84</v>
      </c>
      <c r="E21" s="104">
        <f>'Studio Rain System'!L33</f>
        <v>20</v>
      </c>
      <c r="F21" s="104">
        <f>'Studio Rain System'!M33</f>
        <v>0</v>
      </c>
      <c r="G21" s="177">
        <v>125600</v>
      </c>
      <c r="H21" s="178">
        <f t="shared" si="0"/>
        <v>2842148.5714285718</v>
      </c>
      <c r="I21" s="128">
        <f t="shared" si="4"/>
        <v>2.8421485714285719</v>
      </c>
      <c r="J21" s="193">
        <f>IF( 'Organized Input Output'!$AD$5= "y", $K$4*(D21*1000)/$K$3, 0)</f>
        <v>79200</v>
      </c>
      <c r="K21" s="43">
        <f t="shared" si="5"/>
        <v>79.2</v>
      </c>
      <c r="L21" s="43">
        <f t="shared" si="6"/>
        <v>0</v>
      </c>
      <c r="M21" s="180">
        <f t="shared" si="1"/>
        <v>0</v>
      </c>
      <c r="N21" s="43">
        <f t="shared" si="7"/>
        <v>1200</v>
      </c>
      <c r="O21" s="128">
        <f t="shared" si="2"/>
        <v>0</v>
      </c>
      <c r="P21" s="181">
        <f t="shared" si="8"/>
        <v>2.8421485714285719</v>
      </c>
      <c r="Q21" s="209">
        <f>IF( 'Organized Input Output'!$AF$9 = "y", P21 / ($Q$3 * $Q$4), 0)</f>
        <v>0</v>
      </c>
      <c r="R21" s="209">
        <f t="shared" si="9"/>
        <v>0</v>
      </c>
      <c r="S21" s="43">
        <f>IF( 'Organized Input Output'!$AF$9 = "y", IF(R21= 0, 1, 0), 0)</f>
        <v>0</v>
      </c>
      <c r="T21" s="209">
        <f t="shared" si="11"/>
        <v>0</v>
      </c>
      <c r="U21" s="43">
        <f>IF( 'Organized Input Output'!$AF$9 = "y", IF(T21= 0, 1, 0), 0)</f>
        <v>0</v>
      </c>
      <c r="V21" s="43">
        <f t="shared" si="3"/>
        <v>0</v>
      </c>
      <c r="W21" s="43">
        <f t="shared" si="10"/>
        <v>0</v>
      </c>
      <c r="X21" s="43">
        <f t="shared" si="13"/>
        <v>0</v>
      </c>
      <c r="Y21" s="43">
        <f t="shared" si="12"/>
        <v>0</v>
      </c>
    </row>
    <row r="22" spans="1:25" ht="15" customHeight="1">
      <c r="A22" s="43">
        <v>12</v>
      </c>
      <c r="B22" s="176">
        <v>0</v>
      </c>
      <c r="C22" s="126">
        <f>'Studio Rain System'!J34</f>
        <v>50.2</v>
      </c>
      <c r="D22" s="104">
        <f>'Studio Rain System'!K34</f>
        <v>55.22</v>
      </c>
      <c r="E22" s="104">
        <f>'Studio Rain System'!L34</f>
        <v>20</v>
      </c>
      <c r="F22" s="104">
        <f>'Studio Rain System'!M34</f>
        <v>0</v>
      </c>
      <c r="G22" s="177">
        <v>125600</v>
      </c>
      <c r="H22" s="178">
        <f t="shared" si="0"/>
        <v>9908045.7142857146</v>
      </c>
      <c r="I22" s="128">
        <f t="shared" si="4"/>
        <v>9.9080457142857146</v>
      </c>
      <c r="J22" s="193">
        <f>IF( 'Organized Input Output'!$AD$5= "y", $K$4*(D22*1000)/$K$3, 0)</f>
        <v>276100</v>
      </c>
      <c r="K22" s="43">
        <f t="shared" si="5"/>
        <v>276.10000000000002</v>
      </c>
      <c r="L22" s="43">
        <f t="shared" si="6"/>
        <v>0</v>
      </c>
      <c r="M22" s="180">
        <f t="shared" si="1"/>
        <v>0</v>
      </c>
      <c r="N22" s="43">
        <f t="shared" si="7"/>
        <v>1200</v>
      </c>
      <c r="O22" s="128">
        <f t="shared" si="2"/>
        <v>0</v>
      </c>
      <c r="P22" s="181">
        <f t="shared" si="8"/>
        <v>9.9080457142857146</v>
      </c>
      <c r="Q22" s="209">
        <f>IF( 'Organized Input Output'!$AF$9 = "y", P22 / ($Q$3 * $Q$4), 0)</f>
        <v>0</v>
      </c>
      <c r="R22" s="209">
        <f t="shared" si="9"/>
        <v>0</v>
      </c>
      <c r="S22" s="43">
        <f>IF( 'Organized Input Output'!$AF$9 = "y", IF(R22= 0, 1, 0), 0)</f>
        <v>0</v>
      </c>
      <c r="T22" s="209">
        <f t="shared" si="11"/>
        <v>0</v>
      </c>
      <c r="U22" s="43">
        <f>IF( 'Organized Input Output'!$AF$9 = "y", IF(T22= 0, 1, 0), 0)</f>
        <v>0</v>
      </c>
      <c r="V22" s="43">
        <f t="shared" si="3"/>
        <v>0</v>
      </c>
      <c r="W22" s="43">
        <f t="shared" si="10"/>
        <v>0</v>
      </c>
      <c r="X22" s="43">
        <f t="shared" si="13"/>
        <v>0</v>
      </c>
      <c r="Y22" s="43">
        <f t="shared" si="12"/>
        <v>0</v>
      </c>
    </row>
    <row r="23" spans="1:25" ht="15" customHeight="1">
      <c r="A23" s="43">
        <v>13</v>
      </c>
      <c r="B23" s="176">
        <v>0</v>
      </c>
      <c r="C23" s="126">
        <f>'Studio Rain System'!J35</f>
        <v>9.6</v>
      </c>
      <c r="D23" s="104">
        <f>'Studio Rain System'!K35</f>
        <v>10.559999999999999</v>
      </c>
      <c r="E23" s="104">
        <f>'Studio Rain System'!L35</f>
        <v>20</v>
      </c>
      <c r="F23" s="104">
        <f>'Studio Rain System'!M35</f>
        <v>0</v>
      </c>
      <c r="G23" s="177">
        <v>125600</v>
      </c>
      <c r="H23" s="178">
        <f t="shared" si="0"/>
        <v>1894765.7142857141</v>
      </c>
      <c r="I23" s="128">
        <f t="shared" si="4"/>
        <v>1.8947657142857142</v>
      </c>
      <c r="J23" s="193">
        <f>IF( 'Organized Input Output'!$AD$5= "y", $K$4*(D23*1000)/$K$3, 0)</f>
        <v>52799.999999999985</v>
      </c>
      <c r="K23" s="43">
        <f t="shared" si="5"/>
        <v>52.799999999999983</v>
      </c>
      <c r="L23" s="43">
        <f t="shared" si="6"/>
        <v>0</v>
      </c>
      <c r="M23" s="180">
        <f t="shared" si="1"/>
        <v>0</v>
      </c>
      <c r="N23" s="43">
        <f t="shared" si="7"/>
        <v>1200</v>
      </c>
      <c r="O23" s="128">
        <f t="shared" si="2"/>
        <v>0</v>
      </c>
      <c r="P23" s="181">
        <f t="shared" si="8"/>
        <v>1.8947657142857142</v>
      </c>
      <c r="Q23" s="209">
        <f>IF( 'Organized Input Output'!$AF$9 = "y", P23 / ($Q$3 * $Q$4), 0)</f>
        <v>0</v>
      </c>
      <c r="R23" s="209">
        <f t="shared" si="9"/>
        <v>0</v>
      </c>
      <c r="S23" s="43">
        <f>IF( 'Organized Input Output'!$AF$9 = "y", IF(R23= 0, 1, 0), 0)</f>
        <v>0</v>
      </c>
      <c r="T23" s="209">
        <f t="shared" si="11"/>
        <v>0</v>
      </c>
      <c r="U23" s="43">
        <f>IF( 'Organized Input Output'!$AF$9 = "y", IF(T23= 0, 1, 0), 0)</f>
        <v>0</v>
      </c>
      <c r="V23" s="43">
        <f t="shared" si="3"/>
        <v>0</v>
      </c>
      <c r="W23" s="43">
        <f t="shared" si="10"/>
        <v>0</v>
      </c>
      <c r="X23" s="43">
        <f t="shared" si="13"/>
        <v>0</v>
      </c>
      <c r="Y23" s="43">
        <f t="shared" si="12"/>
        <v>0</v>
      </c>
    </row>
    <row r="24" spans="1:25" ht="15" customHeight="1">
      <c r="A24" s="43">
        <v>14</v>
      </c>
      <c r="B24" s="176">
        <v>0</v>
      </c>
      <c r="C24" s="126">
        <f>'Studio Rain System'!J36</f>
        <v>5.8</v>
      </c>
      <c r="D24" s="104">
        <f>'Studio Rain System'!K36</f>
        <v>6.38</v>
      </c>
      <c r="E24" s="104">
        <f>'Studio Rain System'!L36</f>
        <v>20</v>
      </c>
      <c r="F24" s="104">
        <f>'Studio Rain System'!M36</f>
        <v>0</v>
      </c>
      <c r="G24" s="177">
        <v>125600</v>
      </c>
      <c r="H24" s="178">
        <f t="shared" si="0"/>
        <v>1144754.2857142857</v>
      </c>
      <c r="I24" s="128">
        <f t="shared" si="4"/>
        <v>1.1447542857142856</v>
      </c>
      <c r="J24" s="193">
        <f>IF( 'Organized Input Output'!$AD$5= "y", $K$4*(D24*1000)/$K$3, 0)</f>
        <v>31900</v>
      </c>
      <c r="K24" s="43">
        <f t="shared" si="5"/>
        <v>31.9</v>
      </c>
      <c r="L24" s="43">
        <f t="shared" si="6"/>
        <v>0</v>
      </c>
      <c r="M24" s="180">
        <f t="shared" si="1"/>
        <v>0</v>
      </c>
      <c r="N24" s="43">
        <f t="shared" si="7"/>
        <v>1200</v>
      </c>
      <c r="O24" s="128">
        <f t="shared" si="2"/>
        <v>0</v>
      </c>
      <c r="P24" s="181">
        <f t="shared" si="8"/>
        <v>1.1447542857142856</v>
      </c>
      <c r="Q24" s="209">
        <f>IF( 'Organized Input Output'!$AF$9 = "y", P24 / ($Q$3 * $Q$4), 0)</f>
        <v>0</v>
      </c>
      <c r="R24" s="209">
        <f t="shared" si="9"/>
        <v>0</v>
      </c>
      <c r="S24" s="43">
        <f>IF( 'Organized Input Output'!$AF$9 = "y", IF(R24= 0, 1, 0), 0)</f>
        <v>0</v>
      </c>
      <c r="T24" s="209">
        <f t="shared" si="11"/>
        <v>0</v>
      </c>
      <c r="U24" s="43">
        <f>IF( 'Organized Input Output'!$AF$9 = "y", IF(T24= 0, 1, 0), 0)</f>
        <v>0</v>
      </c>
      <c r="V24" s="43">
        <f t="shared" si="3"/>
        <v>0</v>
      </c>
      <c r="W24" s="43">
        <f t="shared" si="10"/>
        <v>0</v>
      </c>
      <c r="X24" s="43">
        <f t="shared" si="13"/>
        <v>0</v>
      </c>
      <c r="Y24" s="43">
        <f t="shared" si="12"/>
        <v>0</v>
      </c>
    </row>
    <row r="25" spans="1:25" ht="15" customHeight="1">
      <c r="A25" s="43">
        <v>15</v>
      </c>
      <c r="B25" s="176">
        <v>1</v>
      </c>
      <c r="C25" s="126">
        <f>'Studio Rain System'!J37</f>
        <v>1.6</v>
      </c>
      <c r="D25" s="104">
        <f>'Studio Rain System'!K37</f>
        <v>1.76</v>
      </c>
      <c r="E25" s="104">
        <f>'Studio Rain System'!L37</f>
        <v>20</v>
      </c>
      <c r="F25" s="104">
        <f>'Studio Rain System'!M37</f>
        <v>0</v>
      </c>
      <c r="G25" s="177">
        <v>125600</v>
      </c>
      <c r="H25" s="178">
        <f t="shared" si="0"/>
        <v>315794.28571428574</v>
      </c>
      <c r="I25" s="128">
        <f t="shared" si="4"/>
        <v>0.31579428571428575</v>
      </c>
      <c r="J25" s="193">
        <f>IF( 'Organized Input Output'!$AD$5= "y", $K$4*(D25*1000)/$K$3, 0)</f>
        <v>8800</v>
      </c>
      <c r="K25" s="43">
        <f t="shared" si="5"/>
        <v>8.8000000000000007</v>
      </c>
      <c r="L25" s="43">
        <f t="shared" si="6"/>
        <v>0</v>
      </c>
      <c r="M25" s="180">
        <f t="shared" si="1"/>
        <v>0</v>
      </c>
      <c r="N25" s="43">
        <f t="shared" si="7"/>
        <v>1200</v>
      </c>
      <c r="O25" s="128">
        <f t="shared" si="2"/>
        <v>0</v>
      </c>
      <c r="P25" s="181">
        <f t="shared" si="8"/>
        <v>0.31579428571428575</v>
      </c>
      <c r="Q25" s="209">
        <f>IF( 'Organized Input Output'!$AF$9 = "y", P25 / ($Q$3 * $Q$4), 0)</f>
        <v>0</v>
      </c>
      <c r="R25" s="209">
        <f t="shared" si="9"/>
        <v>0</v>
      </c>
      <c r="S25" s="43">
        <f>IF( 'Organized Input Output'!$AF$9 = "y", IF(R25= 0, 1, 0), 0)</f>
        <v>0</v>
      </c>
      <c r="T25" s="209">
        <f t="shared" si="11"/>
        <v>0</v>
      </c>
      <c r="U25" s="43">
        <f>IF( 'Organized Input Output'!$AF$9 = "y", IF(T25= 0, 1, 0), 0)</f>
        <v>0</v>
      </c>
      <c r="V25" s="43">
        <f t="shared" si="3"/>
        <v>0</v>
      </c>
      <c r="W25" s="43">
        <f t="shared" si="10"/>
        <v>0</v>
      </c>
      <c r="X25" s="43">
        <f t="shared" si="13"/>
        <v>0</v>
      </c>
      <c r="Y25" s="43">
        <f t="shared" si="12"/>
        <v>0</v>
      </c>
    </row>
    <row r="26" spans="1:25" ht="15" customHeight="1">
      <c r="A26" s="43">
        <v>16</v>
      </c>
      <c r="B26" s="176">
        <v>1.2</v>
      </c>
      <c r="C26" s="126">
        <f>'Studio Rain System'!J38</f>
        <v>0.8</v>
      </c>
      <c r="D26" s="104">
        <f>'Studio Rain System'!K38</f>
        <v>0.88</v>
      </c>
      <c r="E26" s="104">
        <f>'Studio Rain System'!L38</f>
        <v>20</v>
      </c>
      <c r="F26" s="104">
        <f>'Studio Rain System'!M38</f>
        <v>0</v>
      </c>
      <c r="G26" s="177">
        <v>125600</v>
      </c>
      <c r="H26" s="178">
        <f t="shared" si="0"/>
        <v>157897.14285714287</v>
      </c>
      <c r="I26" s="128">
        <f t="shared" si="4"/>
        <v>0.15789714285714287</v>
      </c>
      <c r="J26" s="193">
        <f>IF( 'Organized Input Output'!$AD$5= "y", $K$4*(D26*1000)/$K$3, 0)</f>
        <v>4400</v>
      </c>
      <c r="K26" s="43">
        <f t="shared" si="5"/>
        <v>4.4000000000000004</v>
      </c>
      <c r="L26" s="43">
        <f t="shared" si="6"/>
        <v>0</v>
      </c>
      <c r="M26" s="180">
        <f t="shared" si="1"/>
        <v>0</v>
      </c>
      <c r="N26" s="43">
        <f t="shared" si="7"/>
        <v>1200</v>
      </c>
      <c r="O26" s="128">
        <f t="shared" si="2"/>
        <v>0</v>
      </c>
      <c r="P26" s="181">
        <f t="shared" si="8"/>
        <v>0.15789714285714287</v>
      </c>
      <c r="Q26" s="209">
        <f>IF( 'Organized Input Output'!$AF$9 = "y", P26 / ($Q$3 * $Q$4), 0)</f>
        <v>0</v>
      </c>
      <c r="R26" s="209">
        <f t="shared" si="9"/>
        <v>0</v>
      </c>
      <c r="S26" s="43">
        <f>IF( 'Organized Input Output'!$AF$9 = "y", IF(R26= 0, 1, 0), 0)</f>
        <v>0</v>
      </c>
      <c r="T26" s="209">
        <f t="shared" si="11"/>
        <v>0</v>
      </c>
      <c r="U26" s="43">
        <f>IF( 'Organized Input Output'!$AF$9 = "y", IF(T26= 0, 1, 0), 0)</f>
        <v>0</v>
      </c>
      <c r="V26" s="43">
        <f t="shared" si="3"/>
        <v>0</v>
      </c>
      <c r="W26" s="43">
        <f t="shared" si="10"/>
        <v>0</v>
      </c>
      <c r="X26" s="43">
        <f t="shared" si="13"/>
        <v>0</v>
      </c>
      <c r="Y26" s="43">
        <f t="shared" si="12"/>
        <v>0</v>
      </c>
    </row>
    <row r="27" spans="1:25" ht="15" customHeight="1">
      <c r="A27" s="43">
        <v>17</v>
      </c>
      <c r="B27" s="176">
        <v>2.2000000000000002</v>
      </c>
      <c r="C27" s="126">
        <f>'Studio Rain System'!J39</f>
        <v>0</v>
      </c>
      <c r="D27" s="104">
        <f>'Studio Rain System'!K39</f>
        <v>0</v>
      </c>
      <c r="E27" s="104">
        <f>'Studio Rain System'!L39</f>
        <v>20</v>
      </c>
      <c r="F27" s="104">
        <f>'Studio Rain System'!M39</f>
        <v>0</v>
      </c>
      <c r="G27" s="177">
        <v>125600</v>
      </c>
      <c r="H27" s="178">
        <f t="shared" si="0"/>
        <v>0</v>
      </c>
      <c r="I27" s="128">
        <f t="shared" si="4"/>
        <v>0</v>
      </c>
      <c r="J27" s="193">
        <f>IF( 'Organized Input Output'!$AD$5= "y", $K$4*(D27*1000)/$K$3, 0)</f>
        <v>0</v>
      </c>
      <c r="K27" s="43">
        <f t="shared" si="5"/>
        <v>0</v>
      </c>
      <c r="L27" s="43">
        <f t="shared" si="6"/>
        <v>0</v>
      </c>
      <c r="M27" s="180">
        <f t="shared" si="1"/>
        <v>0</v>
      </c>
      <c r="N27" s="43">
        <f t="shared" si="7"/>
        <v>1200</v>
      </c>
      <c r="O27" s="128">
        <f t="shared" si="2"/>
        <v>0</v>
      </c>
      <c r="P27" s="181">
        <f t="shared" si="8"/>
        <v>0</v>
      </c>
      <c r="Q27" s="209">
        <f>IF( 'Organized Input Output'!$AF$9 = "y", P27 / ($Q$3 * $Q$4), 0)</f>
        <v>0</v>
      </c>
      <c r="R27" s="209">
        <f t="shared" si="9"/>
        <v>0</v>
      </c>
      <c r="S27" s="43">
        <f>IF( 'Organized Input Output'!$AF$9 = "y", IF(R27= 0, 1, 0), 0)</f>
        <v>0</v>
      </c>
      <c r="T27" s="209">
        <f t="shared" si="11"/>
        <v>0</v>
      </c>
      <c r="U27" s="43">
        <f>IF( 'Organized Input Output'!$AF$9 = "y", IF(T27= 0, 1, 0), 0)</f>
        <v>0</v>
      </c>
      <c r="V27" s="43">
        <f t="shared" si="3"/>
        <v>0</v>
      </c>
      <c r="W27" s="43">
        <f t="shared" si="10"/>
        <v>0</v>
      </c>
      <c r="X27" s="43">
        <f t="shared" si="13"/>
        <v>0</v>
      </c>
      <c r="Y27" s="43">
        <f t="shared" si="12"/>
        <v>0</v>
      </c>
    </row>
    <row r="28" spans="1:25" ht="15" customHeight="1">
      <c r="A28" s="43">
        <v>18</v>
      </c>
      <c r="B28" s="176">
        <v>0</v>
      </c>
      <c r="C28" s="126">
        <f>'Studio Rain System'!J40</f>
        <v>2.6</v>
      </c>
      <c r="D28" s="104">
        <f>'Studio Rain System'!K40</f>
        <v>2.86</v>
      </c>
      <c r="E28" s="104">
        <f>'Studio Rain System'!L40</f>
        <v>20</v>
      </c>
      <c r="F28" s="104">
        <f>'Studio Rain System'!M40</f>
        <v>0</v>
      </c>
      <c r="G28" s="177">
        <v>125600</v>
      </c>
      <c r="H28" s="178">
        <f t="shared" si="0"/>
        <v>513165.71428571432</v>
      </c>
      <c r="I28" s="128">
        <f t="shared" si="4"/>
        <v>0.51316571428571434</v>
      </c>
      <c r="J28" s="193">
        <f>IF( 'Organized Input Output'!$AD$5= "y", $K$4*(D28*1000)/$K$3, 0)</f>
        <v>14300</v>
      </c>
      <c r="K28" s="43">
        <f t="shared" si="5"/>
        <v>14.3</v>
      </c>
      <c r="L28" s="43">
        <f t="shared" si="6"/>
        <v>0</v>
      </c>
      <c r="M28" s="180">
        <f t="shared" si="1"/>
        <v>0</v>
      </c>
      <c r="N28" s="43">
        <f t="shared" si="7"/>
        <v>1200</v>
      </c>
      <c r="O28" s="128">
        <f t="shared" si="2"/>
        <v>0</v>
      </c>
      <c r="P28" s="181">
        <f t="shared" si="8"/>
        <v>0.51316571428571434</v>
      </c>
      <c r="Q28" s="209">
        <f>IF( 'Organized Input Output'!$AF$9 = "y", P28 / ($Q$3 * $Q$4), 0)</f>
        <v>0</v>
      </c>
      <c r="R28" s="209">
        <f t="shared" si="9"/>
        <v>0</v>
      </c>
      <c r="S28" s="43">
        <f>IF( 'Organized Input Output'!$AF$9 = "y", IF(R28= 0, 1, 0), 0)</f>
        <v>0</v>
      </c>
      <c r="T28" s="209">
        <f t="shared" si="11"/>
        <v>0</v>
      </c>
      <c r="U28" s="43">
        <f>IF( 'Organized Input Output'!$AF$9 = "y", IF(T28= 0, 1, 0), 0)</f>
        <v>0</v>
      </c>
      <c r="V28" s="43">
        <f t="shared" si="3"/>
        <v>0</v>
      </c>
      <c r="W28" s="43">
        <f t="shared" si="10"/>
        <v>0</v>
      </c>
      <c r="X28" s="43">
        <f t="shared" si="13"/>
        <v>0</v>
      </c>
      <c r="Y28" s="43">
        <f t="shared" si="12"/>
        <v>0</v>
      </c>
    </row>
    <row r="29" spans="1:25" ht="14.45">
      <c r="A29" s="43">
        <v>19</v>
      </c>
      <c r="B29" s="176">
        <v>0</v>
      </c>
      <c r="C29" s="126">
        <f>'Studio Rain System'!J41</f>
        <v>1</v>
      </c>
      <c r="D29" s="104">
        <f>'Studio Rain System'!K41</f>
        <v>1.1000000000000001</v>
      </c>
      <c r="E29" s="104">
        <f>'Studio Rain System'!L41</f>
        <v>20</v>
      </c>
      <c r="F29" s="104">
        <f>'Studio Rain System'!M41</f>
        <v>0</v>
      </c>
      <c r="G29" s="177">
        <v>125600</v>
      </c>
      <c r="H29" s="178">
        <f t="shared" si="0"/>
        <v>197371.42857142858</v>
      </c>
      <c r="I29" s="128">
        <f t="shared" si="4"/>
        <v>0.19737142857142859</v>
      </c>
      <c r="J29" s="193">
        <f>IF( 'Organized Input Output'!$AD$5= "y", $K$4*(D29*1000)/$K$3, 0)</f>
        <v>5500</v>
      </c>
      <c r="K29" s="43">
        <f t="shared" si="5"/>
        <v>5.5</v>
      </c>
      <c r="L29" s="43">
        <f t="shared" si="6"/>
        <v>0</v>
      </c>
      <c r="M29" s="180">
        <f t="shared" si="1"/>
        <v>0</v>
      </c>
      <c r="N29" s="43">
        <f t="shared" si="7"/>
        <v>1200</v>
      </c>
      <c r="O29" s="128">
        <f t="shared" si="2"/>
        <v>0</v>
      </c>
      <c r="P29" s="181">
        <f t="shared" si="8"/>
        <v>0.19737142857142859</v>
      </c>
      <c r="Q29" s="209">
        <f>IF( 'Organized Input Output'!$AF$9 = "y", P29 / ($Q$3 * $Q$4), 0)</f>
        <v>0</v>
      </c>
      <c r="R29" s="209">
        <f t="shared" si="9"/>
        <v>0</v>
      </c>
      <c r="S29" s="43">
        <f>IF( 'Organized Input Output'!$AF$9 = "y", IF(R29= 0, 1, 0), 0)</f>
        <v>0</v>
      </c>
      <c r="T29" s="209">
        <f t="shared" si="11"/>
        <v>0</v>
      </c>
      <c r="U29" s="43">
        <f>IF( 'Organized Input Output'!$AF$9 = "y", IF(T29= 0, 1, 0), 0)</f>
        <v>0</v>
      </c>
      <c r="V29" s="43">
        <f t="shared" si="3"/>
        <v>0</v>
      </c>
      <c r="W29" s="43">
        <f t="shared" si="10"/>
        <v>0</v>
      </c>
      <c r="X29" s="43">
        <f t="shared" si="13"/>
        <v>0</v>
      </c>
      <c r="Y29" s="43">
        <f t="shared" si="12"/>
        <v>0</v>
      </c>
    </row>
    <row r="30" spans="1:25" ht="15" customHeight="1">
      <c r="A30" s="43">
        <v>20</v>
      </c>
      <c r="B30" s="176">
        <v>0</v>
      </c>
      <c r="C30" s="126">
        <f>'Studio Rain System'!J42</f>
        <v>0.6</v>
      </c>
      <c r="D30" s="104">
        <f>'Studio Rain System'!K42</f>
        <v>0.65999999999999992</v>
      </c>
      <c r="E30" s="104">
        <f>'Studio Rain System'!L42</f>
        <v>20</v>
      </c>
      <c r="F30" s="104">
        <f>'Studio Rain System'!M42</f>
        <v>0</v>
      </c>
      <c r="G30" s="177">
        <v>125600</v>
      </c>
      <c r="H30" s="178">
        <f t="shared" si="0"/>
        <v>118422.85714285713</v>
      </c>
      <c r="I30" s="128">
        <f t="shared" si="4"/>
        <v>0.11842285714285714</v>
      </c>
      <c r="J30" s="193">
        <f>IF( 'Organized Input Output'!$AD$5= "y", $K$4*(D30*1000)/$K$3, 0)</f>
        <v>3299.9999999999991</v>
      </c>
      <c r="K30" s="43">
        <f t="shared" si="5"/>
        <v>3.2999999999999989</v>
      </c>
      <c r="L30" s="43">
        <f t="shared" si="6"/>
        <v>0</v>
      </c>
      <c r="M30" s="180">
        <f t="shared" si="1"/>
        <v>0</v>
      </c>
      <c r="N30" s="43">
        <f t="shared" si="7"/>
        <v>1200</v>
      </c>
      <c r="O30" s="128">
        <f t="shared" si="2"/>
        <v>0</v>
      </c>
      <c r="P30" s="181">
        <f t="shared" si="8"/>
        <v>0.11842285714285714</v>
      </c>
      <c r="Q30" s="209">
        <f>IF( 'Organized Input Output'!$AF$9 = "y", P30 / ($Q$3 * $Q$4), 0)</f>
        <v>0</v>
      </c>
      <c r="R30" s="209">
        <f t="shared" si="9"/>
        <v>0</v>
      </c>
      <c r="S30" s="43">
        <f>IF( 'Organized Input Output'!$AF$9 = "y", IF(R30= 0, 1, 0), 0)</f>
        <v>0</v>
      </c>
      <c r="T30" s="209">
        <f t="shared" si="11"/>
        <v>0</v>
      </c>
      <c r="U30" s="43">
        <f>IF( 'Organized Input Output'!$AF$9 = "y", IF(T30= 0, 1, 0), 0)</f>
        <v>0</v>
      </c>
      <c r="V30" s="43">
        <f t="shared" si="3"/>
        <v>0</v>
      </c>
      <c r="W30" s="43">
        <f t="shared" si="10"/>
        <v>0</v>
      </c>
      <c r="X30" s="43">
        <f t="shared" si="13"/>
        <v>0</v>
      </c>
      <c r="Y30" s="43">
        <f t="shared" si="12"/>
        <v>0</v>
      </c>
    </row>
    <row r="31" spans="1:25" ht="15" customHeight="1">
      <c r="A31" s="43">
        <v>21</v>
      </c>
      <c r="B31" s="176">
        <v>0</v>
      </c>
      <c r="C31" s="126">
        <f>'Studio Rain System'!J43</f>
        <v>0.8</v>
      </c>
      <c r="D31" s="104">
        <f>'Studio Rain System'!K43</f>
        <v>0.88</v>
      </c>
      <c r="E31" s="104">
        <f>'Studio Rain System'!L43</f>
        <v>20</v>
      </c>
      <c r="F31" s="104">
        <f>'Studio Rain System'!M43</f>
        <v>0</v>
      </c>
      <c r="G31" s="177">
        <v>125600</v>
      </c>
      <c r="H31" s="178">
        <f t="shared" si="0"/>
        <v>157897.14285714287</v>
      </c>
      <c r="I31" s="128">
        <f t="shared" si="4"/>
        <v>0.15789714285714287</v>
      </c>
      <c r="J31" s="193">
        <f>IF( 'Organized Input Output'!$AD$5= "y", $K$4*(D31*1000)/$K$3, 0)</f>
        <v>4400</v>
      </c>
      <c r="K31" s="43">
        <f t="shared" si="5"/>
        <v>4.4000000000000004</v>
      </c>
      <c r="L31" s="43">
        <f t="shared" si="6"/>
        <v>0</v>
      </c>
      <c r="M31" s="180">
        <f t="shared" si="1"/>
        <v>0</v>
      </c>
      <c r="N31" s="43">
        <f t="shared" si="7"/>
        <v>1200</v>
      </c>
      <c r="O31" s="128">
        <f t="shared" si="2"/>
        <v>0</v>
      </c>
      <c r="P31" s="181">
        <f t="shared" si="8"/>
        <v>0.15789714285714287</v>
      </c>
      <c r="Q31" s="209">
        <f>IF( 'Organized Input Output'!$AF$9 = "y", P31 / ($Q$3 * $Q$4), 0)</f>
        <v>0</v>
      </c>
      <c r="R31" s="209">
        <f t="shared" si="9"/>
        <v>0</v>
      </c>
      <c r="S31" s="43">
        <f>IF( 'Organized Input Output'!$AF$9 = "y", IF(R31= 0, 1, 0), 0)</f>
        <v>0</v>
      </c>
      <c r="T31" s="209">
        <f t="shared" si="11"/>
        <v>0</v>
      </c>
      <c r="U31" s="43">
        <f>IF( 'Organized Input Output'!$AF$9 = "y", IF(T31= 0, 1, 0), 0)</f>
        <v>0</v>
      </c>
      <c r="V31" s="43">
        <f t="shared" si="3"/>
        <v>0</v>
      </c>
      <c r="W31" s="43">
        <f t="shared" si="10"/>
        <v>0</v>
      </c>
      <c r="X31" s="43">
        <f t="shared" si="13"/>
        <v>0</v>
      </c>
      <c r="Y31" s="43">
        <f t="shared" si="12"/>
        <v>0</v>
      </c>
    </row>
    <row r="32" spans="1:25" ht="15" customHeight="1">
      <c r="A32" s="43">
        <v>22</v>
      </c>
      <c r="B32" s="176">
        <v>0.2</v>
      </c>
      <c r="C32" s="126">
        <f>'Studio Rain System'!J44</f>
        <v>0.6</v>
      </c>
      <c r="D32" s="104">
        <f>'Studio Rain System'!K44</f>
        <v>0.65999999999999992</v>
      </c>
      <c r="E32" s="104">
        <f>'Studio Rain System'!L44</f>
        <v>20</v>
      </c>
      <c r="F32" s="104">
        <f>'Studio Rain System'!M44</f>
        <v>0</v>
      </c>
      <c r="G32" s="177">
        <v>125600</v>
      </c>
      <c r="H32" s="178">
        <f t="shared" si="0"/>
        <v>118422.85714285713</v>
      </c>
      <c r="I32" s="128">
        <f t="shared" si="4"/>
        <v>0.11842285714285714</v>
      </c>
      <c r="J32" s="193">
        <f>IF( 'Organized Input Output'!$AD$5= "y", $K$4*(D32*1000)/$K$3, 0)</f>
        <v>3299.9999999999991</v>
      </c>
      <c r="K32" s="43">
        <f t="shared" si="5"/>
        <v>3.2999999999999989</v>
      </c>
      <c r="L32" s="43">
        <f t="shared" si="6"/>
        <v>0</v>
      </c>
      <c r="M32" s="180">
        <f t="shared" si="1"/>
        <v>0</v>
      </c>
      <c r="N32" s="43">
        <f t="shared" si="7"/>
        <v>1200</v>
      </c>
      <c r="O32" s="128">
        <f t="shared" si="2"/>
        <v>0</v>
      </c>
      <c r="P32" s="181">
        <f t="shared" si="8"/>
        <v>0.11842285714285714</v>
      </c>
      <c r="Q32" s="209">
        <f>IF( 'Organized Input Output'!$AF$9 = "y", P32 / ($Q$3 * $Q$4), 0)</f>
        <v>0</v>
      </c>
      <c r="R32" s="209">
        <f t="shared" si="9"/>
        <v>0</v>
      </c>
      <c r="S32" s="43">
        <f>IF( 'Organized Input Output'!$AF$9 = "y", IF(R32= 0, 1, 0), 0)</f>
        <v>0</v>
      </c>
      <c r="T32" s="209">
        <f t="shared" si="11"/>
        <v>0</v>
      </c>
      <c r="U32" s="43">
        <f>IF( 'Organized Input Output'!$AF$9 = "y", IF(T32= 0, 1, 0), 0)</f>
        <v>0</v>
      </c>
      <c r="V32" s="43">
        <f t="shared" si="3"/>
        <v>0</v>
      </c>
      <c r="W32" s="43">
        <f t="shared" si="10"/>
        <v>0</v>
      </c>
      <c r="X32" s="43">
        <f t="shared" si="13"/>
        <v>0</v>
      </c>
      <c r="Y32" s="43">
        <f t="shared" si="12"/>
        <v>0</v>
      </c>
    </row>
    <row r="33" spans="1:25" ht="15" customHeight="1">
      <c r="A33" s="43">
        <v>23</v>
      </c>
      <c r="B33" s="176">
        <v>6.4</v>
      </c>
      <c r="C33" s="126">
        <f>'Studio Rain System'!J45</f>
        <v>0</v>
      </c>
      <c r="D33" s="104">
        <f>'Studio Rain System'!K45</f>
        <v>0</v>
      </c>
      <c r="E33" s="104">
        <f>'Studio Rain System'!L45</f>
        <v>20</v>
      </c>
      <c r="F33" s="104">
        <f>'Studio Rain System'!M45</f>
        <v>0</v>
      </c>
      <c r="G33" s="177">
        <v>125600</v>
      </c>
      <c r="H33" s="178">
        <f t="shared" si="0"/>
        <v>0</v>
      </c>
      <c r="I33" s="128">
        <f t="shared" si="4"/>
        <v>0</v>
      </c>
      <c r="J33" s="193">
        <f>IF( 'Organized Input Output'!$AD$5= "y", $K$4*(D33*1000)/$K$3, 0)</f>
        <v>0</v>
      </c>
      <c r="K33" s="43">
        <f t="shared" si="5"/>
        <v>0</v>
      </c>
      <c r="L33" s="43">
        <f t="shared" si="6"/>
        <v>0</v>
      </c>
      <c r="M33" s="180">
        <f t="shared" si="1"/>
        <v>0</v>
      </c>
      <c r="N33" s="43">
        <f t="shared" si="7"/>
        <v>1200</v>
      </c>
      <c r="O33" s="128">
        <f t="shared" si="2"/>
        <v>0</v>
      </c>
      <c r="P33" s="181">
        <f t="shared" si="8"/>
        <v>0</v>
      </c>
      <c r="Q33" s="209">
        <f>IF( 'Organized Input Output'!$AF$9 = "y", P33 / ($Q$3 * $Q$4), 0)</f>
        <v>0</v>
      </c>
      <c r="R33" s="209">
        <f t="shared" si="9"/>
        <v>0</v>
      </c>
      <c r="S33" s="43">
        <f>IF( 'Organized Input Output'!$AF$9 = "y", IF(R33= 0, 1, 0), 0)</f>
        <v>0</v>
      </c>
      <c r="T33" s="209">
        <f t="shared" si="11"/>
        <v>0</v>
      </c>
      <c r="U33" s="43">
        <f>IF( 'Organized Input Output'!$AF$9 = "y", IF(T33= 0, 1, 0), 0)</f>
        <v>0</v>
      </c>
      <c r="V33" s="43">
        <f t="shared" si="3"/>
        <v>0</v>
      </c>
      <c r="W33" s="43">
        <f t="shared" si="10"/>
        <v>0</v>
      </c>
      <c r="X33" s="43">
        <f t="shared" si="13"/>
        <v>0</v>
      </c>
      <c r="Y33" s="43">
        <f t="shared" si="12"/>
        <v>0</v>
      </c>
    </row>
    <row r="34" spans="1:25" ht="15" customHeight="1">
      <c r="A34" s="43">
        <v>24</v>
      </c>
      <c r="B34" s="176">
        <v>2.2000000000000002</v>
      </c>
      <c r="C34" s="126">
        <f>'Studio Rain System'!J46</f>
        <v>0</v>
      </c>
      <c r="D34" s="104">
        <f>'Studio Rain System'!K46</f>
        <v>0</v>
      </c>
      <c r="E34" s="104">
        <f>'Studio Rain System'!L46</f>
        <v>20</v>
      </c>
      <c r="F34" s="104">
        <f>'Studio Rain System'!M46</f>
        <v>0</v>
      </c>
      <c r="G34" s="177">
        <v>125600</v>
      </c>
      <c r="H34" s="178">
        <f t="shared" si="0"/>
        <v>0</v>
      </c>
      <c r="I34" s="128">
        <f t="shared" si="4"/>
        <v>0</v>
      </c>
      <c r="J34" s="193">
        <f>IF( 'Organized Input Output'!$AD$5= "y", $K$4*(D34*1000)/$K$3, 0)</f>
        <v>0</v>
      </c>
      <c r="K34" s="43">
        <f t="shared" si="5"/>
        <v>0</v>
      </c>
      <c r="L34" s="43">
        <f t="shared" si="6"/>
        <v>0</v>
      </c>
      <c r="M34" s="180">
        <f t="shared" si="1"/>
        <v>0</v>
      </c>
      <c r="N34" s="43">
        <f t="shared" si="7"/>
        <v>1200</v>
      </c>
      <c r="O34" s="128">
        <f t="shared" si="2"/>
        <v>0</v>
      </c>
      <c r="P34" s="181">
        <f t="shared" si="8"/>
        <v>0</v>
      </c>
      <c r="Q34" s="209">
        <f>IF( 'Organized Input Output'!$AF$9 = "y", P34 / ($Q$3 * $Q$4), 0)</f>
        <v>0</v>
      </c>
      <c r="R34" s="209">
        <f t="shared" si="9"/>
        <v>0</v>
      </c>
      <c r="S34" s="43">
        <f>IF( 'Organized Input Output'!$AF$9 = "y", IF(R34= 0, 1, 0), 0)</f>
        <v>0</v>
      </c>
      <c r="T34" s="209">
        <f t="shared" si="11"/>
        <v>0</v>
      </c>
      <c r="U34" s="43">
        <f>IF( 'Organized Input Output'!$AF$9 = "y", IF(T34= 0, 1, 0), 0)</f>
        <v>0</v>
      </c>
      <c r="V34" s="43">
        <f t="shared" si="3"/>
        <v>0</v>
      </c>
      <c r="W34" s="43">
        <f t="shared" si="10"/>
        <v>0</v>
      </c>
      <c r="X34" s="43">
        <f t="shared" si="13"/>
        <v>0</v>
      </c>
      <c r="Y34" s="43">
        <f t="shared" si="12"/>
        <v>0</v>
      </c>
    </row>
    <row r="35" spans="1:25" ht="15" customHeight="1">
      <c r="A35" s="43">
        <v>25</v>
      </c>
      <c r="B35" s="176">
        <v>0.2</v>
      </c>
      <c r="C35" s="126">
        <f>'Studio Rain System'!J47</f>
        <v>0</v>
      </c>
      <c r="D35" s="104">
        <f>'Studio Rain System'!K47</f>
        <v>0</v>
      </c>
      <c r="E35" s="104">
        <f>'Studio Rain System'!L47</f>
        <v>20</v>
      </c>
      <c r="F35" s="104">
        <f>'Studio Rain System'!M47</f>
        <v>0</v>
      </c>
      <c r="G35" s="177">
        <v>125600</v>
      </c>
      <c r="H35" s="178">
        <f t="shared" si="0"/>
        <v>0</v>
      </c>
      <c r="I35" s="128">
        <f t="shared" si="4"/>
        <v>0</v>
      </c>
      <c r="J35" s="193">
        <f>IF( 'Organized Input Output'!$AD$5= "y", $K$4*(D35*1000)/$K$3, 0)</f>
        <v>0</v>
      </c>
      <c r="K35" s="43">
        <f t="shared" si="5"/>
        <v>0</v>
      </c>
      <c r="L35" s="43">
        <f t="shared" si="6"/>
        <v>0</v>
      </c>
      <c r="M35" s="180">
        <f t="shared" si="1"/>
        <v>0</v>
      </c>
      <c r="N35" s="43">
        <f t="shared" si="7"/>
        <v>1200</v>
      </c>
      <c r="O35" s="128">
        <f t="shared" si="2"/>
        <v>0</v>
      </c>
      <c r="P35" s="181">
        <f t="shared" si="8"/>
        <v>0</v>
      </c>
      <c r="Q35" s="209">
        <f>IF( 'Organized Input Output'!$AF$9 = "y", P35 / ($Q$3 * $Q$4), 0)</f>
        <v>0</v>
      </c>
      <c r="R35" s="209">
        <f t="shared" si="9"/>
        <v>0</v>
      </c>
      <c r="S35" s="43">
        <f>IF( 'Organized Input Output'!$AF$9 = "y", IF(R35= 0, 1, 0), 0)</f>
        <v>0</v>
      </c>
      <c r="T35" s="209">
        <f t="shared" si="11"/>
        <v>0</v>
      </c>
      <c r="U35" s="43">
        <f>IF( 'Organized Input Output'!$AF$9 = "y", IF(T35= 0, 1, 0), 0)</f>
        <v>0</v>
      </c>
      <c r="V35" s="43">
        <f t="shared" si="3"/>
        <v>0</v>
      </c>
      <c r="W35" s="43">
        <f t="shared" si="10"/>
        <v>0</v>
      </c>
      <c r="X35" s="43">
        <f t="shared" si="13"/>
        <v>0</v>
      </c>
      <c r="Y35" s="43">
        <f t="shared" si="12"/>
        <v>0</v>
      </c>
    </row>
    <row r="36" spans="1:25" ht="15" customHeight="1">
      <c r="A36" s="43">
        <v>26</v>
      </c>
      <c r="B36" s="176">
        <v>1.6</v>
      </c>
      <c r="C36" s="126">
        <f>'Studio Rain System'!J48</f>
        <v>0</v>
      </c>
      <c r="D36" s="104">
        <f>'Studio Rain System'!K48</f>
        <v>0</v>
      </c>
      <c r="E36" s="104">
        <f>'Studio Rain System'!L48</f>
        <v>20</v>
      </c>
      <c r="F36" s="104">
        <f>'Studio Rain System'!M48</f>
        <v>0</v>
      </c>
      <c r="G36" s="177">
        <v>125600</v>
      </c>
      <c r="H36" s="178">
        <f t="shared" si="0"/>
        <v>0</v>
      </c>
      <c r="I36" s="128">
        <f t="shared" si="4"/>
        <v>0</v>
      </c>
      <c r="J36" s="193">
        <f>IF( 'Organized Input Output'!$AD$5= "y", $K$4*(D36*1000)/$K$3, 0)</f>
        <v>0</v>
      </c>
      <c r="K36" s="43">
        <f t="shared" si="5"/>
        <v>0</v>
      </c>
      <c r="L36" s="43">
        <f t="shared" si="6"/>
        <v>0</v>
      </c>
      <c r="M36" s="180">
        <f t="shared" si="1"/>
        <v>0</v>
      </c>
      <c r="N36" s="43">
        <f t="shared" si="7"/>
        <v>1200</v>
      </c>
      <c r="O36" s="128">
        <f t="shared" si="2"/>
        <v>0</v>
      </c>
      <c r="P36" s="181">
        <f t="shared" si="8"/>
        <v>0</v>
      </c>
      <c r="Q36" s="209">
        <f>IF( 'Organized Input Output'!$AF$9 = "y", P36 / ($Q$3 * $Q$4), 0)</f>
        <v>0</v>
      </c>
      <c r="R36" s="209">
        <f t="shared" si="9"/>
        <v>0</v>
      </c>
      <c r="S36" s="43">
        <f>IF( 'Organized Input Output'!$AF$9 = "y", IF(R36= 0, 1, 0), 0)</f>
        <v>0</v>
      </c>
      <c r="T36" s="209">
        <f t="shared" si="11"/>
        <v>0</v>
      </c>
      <c r="U36" s="43">
        <f>IF( 'Organized Input Output'!$AF$9 = "y", IF(T36= 0, 1, 0), 0)</f>
        <v>0</v>
      </c>
      <c r="V36" s="43">
        <f t="shared" si="3"/>
        <v>0</v>
      </c>
      <c r="W36" s="43">
        <f t="shared" si="10"/>
        <v>0</v>
      </c>
      <c r="X36" s="43">
        <f t="shared" si="13"/>
        <v>0</v>
      </c>
      <c r="Y36" s="43">
        <f t="shared" si="12"/>
        <v>0</v>
      </c>
    </row>
    <row r="37" spans="1:25" ht="15" customHeight="1">
      <c r="A37" s="43">
        <v>27</v>
      </c>
      <c r="B37" s="176">
        <v>4.5999999999999996</v>
      </c>
      <c r="C37" s="126">
        <f>'Studio Rain System'!J49</f>
        <v>17.600000000000001</v>
      </c>
      <c r="D37" s="104">
        <f>'Studio Rain System'!K49</f>
        <v>19.36</v>
      </c>
      <c r="E37" s="104">
        <f>'Studio Rain System'!L49</f>
        <v>20</v>
      </c>
      <c r="F37" s="104">
        <f>'Studio Rain System'!M49</f>
        <v>0</v>
      </c>
      <c r="G37" s="177">
        <v>125600</v>
      </c>
      <c r="H37" s="178">
        <f t="shared" si="0"/>
        <v>3473737.1428571432</v>
      </c>
      <c r="I37" s="128">
        <f t="shared" si="4"/>
        <v>3.4737371428571433</v>
      </c>
      <c r="J37" s="193">
        <f>IF( 'Organized Input Output'!$AD$5= "y", $K$4*(D37*1000)/$K$3, 0)</f>
        <v>96800</v>
      </c>
      <c r="K37" s="43">
        <f t="shared" si="5"/>
        <v>96.8</v>
      </c>
      <c r="L37" s="43">
        <f t="shared" si="6"/>
        <v>0</v>
      </c>
      <c r="M37" s="180">
        <f t="shared" si="1"/>
        <v>0</v>
      </c>
      <c r="N37" s="43">
        <f t="shared" si="7"/>
        <v>1200</v>
      </c>
      <c r="O37" s="128">
        <f t="shared" si="2"/>
        <v>0</v>
      </c>
      <c r="P37" s="181">
        <f t="shared" si="8"/>
        <v>3.4737371428571433</v>
      </c>
      <c r="Q37" s="209">
        <f>IF( 'Organized Input Output'!$AF$9 = "y", P37 / ($Q$3 * $Q$4), 0)</f>
        <v>0</v>
      </c>
      <c r="R37" s="209">
        <f t="shared" si="9"/>
        <v>0</v>
      </c>
      <c r="S37" s="43">
        <f>IF( 'Organized Input Output'!$AF$9 = "y", IF(R37= 0, 1, 0), 0)</f>
        <v>0</v>
      </c>
      <c r="T37" s="209">
        <f t="shared" si="11"/>
        <v>0</v>
      </c>
      <c r="U37" s="43">
        <f>IF( 'Organized Input Output'!$AF$9 = "y", IF(T37= 0, 1, 0), 0)</f>
        <v>0</v>
      </c>
      <c r="V37" s="43">
        <f t="shared" si="3"/>
        <v>0</v>
      </c>
      <c r="W37" s="43">
        <f t="shared" si="10"/>
        <v>0</v>
      </c>
      <c r="X37" s="43">
        <f t="shared" si="13"/>
        <v>0</v>
      </c>
      <c r="Y37" s="43">
        <f t="shared" si="12"/>
        <v>0</v>
      </c>
    </row>
    <row r="38" spans="1:25" ht="15" customHeight="1">
      <c r="A38" s="43">
        <v>28</v>
      </c>
      <c r="B38" s="176">
        <v>10.4</v>
      </c>
      <c r="C38" s="126">
        <f>'Studio Rain System'!J50</f>
        <v>0</v>
      </c>
      <c r="D38" s="104">
        <f>'Studio Rain System'!K50</f>
        <v>0</v>
      </c>
      <c r="E38" s="104">
        <f>'Studio Rain System'!L50</f>
        <v>20</v>
      </c>
      <c r="F38" s="104">
        <f>'Studio Rain System'!M50</f>
        <v>0</v>
      </c>
      <c r="G38" s="177">
        <v>125600</v>
      </c>
      <c r="H38" s="178">
        <f t="shared" si="0"/>
        <v>0</v>
      </c>
      <c r="I38" s="128">
        <f t="shared" si="4"/>
        <v>0</v>
      </c>
      <c r="J38" s="193">
        <f>IF( 'Organized Input Output'!$AD$5= "y", $K$4*(D38*1000)/$K$3, 0)</f>
        <v>0</v>
      </c>
      <c r="K38" s="43">
        <f t="shared" si="5"/>
        <v>0</v>
      </c>
      <c r="L38" s="43">
        <f t="shared" si="6"/>
        <v>0</v>
      </c>
      <c r="M38" s="180">
        <f t="shared" si="1"/>
        <v>0</v>
      </c>
      <c r="N38" s="43">
        <f t="shared" si="7"/>
        <v>1200</v>
      </c>
      <c r="O38" s="128">
        <f t="shared" si="2"/>
        <v>0</v>
      </c>
      <c r="P38" s="181">
        <f t="shared" si="8"/>
        <v>0</v>
      </c>
      <c r="Q38" s="209">
        <f>IF( 'Organized Input Output'!$AF$9 = "y", P38 / ($Q$3 * $Q$4), 0)</f>
        <v>0</v>
      </c>
      <c r="R38" s="209">
        <f t="shared" si="9"/>
        <v>0</v>
      </c>
      <c r="S38" s="43">
        <f>IF( 'Organized Input Output'!$AF$9 = "y", IF(R38= 0, 1, 0), 0)</f>
        <v>0</v>
      </c>
      <c r="T38" s="209">
        <f t="shared" si="11"/>
        <v>0</v>
      </c>
      <c r="U38" s="43">
        <f>IF( 'Organized Input Output'!$AF$9 = "y", IF(T38= 0, 1, 0), 0)</f>
        <v>0</v>
      </c>
      <c r="V38" s="43">
        <f t="shared" si="3"/>
        <v>0</v>
      </c>
      <c r="W38" s="43">
        <f t="shared" si="10"/>
        <v>0</v>
      </c>
      <c r="X38" s="43">
        <f t="shared" si="13"/>
        <v>0</v>
      </c>
      <c r="Y38" s="43">
        <f t="shared" si="12"/>
        <v>0</v>
      </c>
    </row>
    <row r="39" spans="1:25" ht="15" customHeight="1">
      <c r="A39" s="43">
        <v>29</v>
      </c>
      <c r="B39" s="176">
        <v>10.8</v>
      </c>
      <c r="C39" s="126">
        <f>'Studio Rain System'!J51</f>
        <v>0</v>
      </c>
      <c r="D39" s="104">
        <f>'Studio Rain System'!K51</f>
        <v>0</v>
      </c>
      <c r="E39" s="104">
        <f>'Studio Rain System'!L51</f>
        <v>20</v>
      </c>
      <c r="F39" s="104">
        <f>'Studio Rain System'!M51</f>
        <v>0</v>
      </c>
      <c r="G39" s="177">
        <v>125600</v>
      </c>
      <c r="H39" s="178">
        <f t="shared" si="0"/>
        <v>0</v>
      </c>
      <c r="I39" s="128">
        <f t="shared" si="4"/>
        <v>0</v>
      </c>
      <c r="J39" s="193">
        <f>IF( 'Organized Input Output'!$AD$5= "y", $K$4*(D39*1000)/$K$3, 0)</f>
        <v>0</v>
      </c>
      <c r="K39" s="43">
        <f t="shared" si="5"/>
        <v>0</v>
      </c>
      <c r="L39" s="43">
        <f t="shared" si="6"/>
        <v>0</v>
      </c>
      <c r="M39" s="180">
        <f t="shared" si="1"/>
        <v>0</v>
      </c>
      <c r="N39" s="43">
        <f t="shared" si="7"/>
        <v>1200</v>
      </c>
      <c r="O39" s="128">
        <f t="shared" si="2"/>
        <v>0</v>
      </c>
      <c r="P39" s="181">
        <f t="shared" si="8"/>
        <v>0</v>
      </c>
      <c r="Q39" s="209">
        <f>IF( 'Organized Input Output'!$AF$9 = "y", P39 / ($Q$3 * $Q$4), 0)</f>
        <v>0</v>
      </c>
      <c r="R39" s="209">
        <f t="shared" si="9"/>
        <v>0</v>
      </c>
      <c r="S39" s="43">
        <f>IF( 'Organized Input Output'!$AF$9 = "y", IF(R39= 0, 1, 0), 0)</f>
        <v>0</v>
      </c>
      <c r="T39" s="209">
        <f t="shared" si="11"/>
        <v>0</v>
      </c>
      <c r="U39" s="43">
        <f>IF( 'Organized Input Output'!$AF$9 = "y", IF(T39= 0, 1, 0), 0)</f>
        <v>0</v>
      </c>
      <c r="V39" s="43">
        <f t="shared" si="3"/>
        <v>0</v>
      </c>
      <c r="W39" s="43">
        <f t="shared" si="10"/>
        <v>0</v>
      </c>
      <c r="X39" s="43">
        <f t="shared" si="13"/>
        <v>0</v>
      </c>
      <c r="Y39" s="43">
        <f t="shared" si="12"/>
        <v>0</v>
      </c>
    </row>
    <row r="40" spans="1:25" ht="15" customHeight="1">
      <c r="A40" s="43">
        <v>30</v>
      </c>
      <c r="B40" s="176">
        <v>6.2</v>
      </c>
      <c r="C40" s="126">
        <f>'Studio Rain System'!J52</f>
        <v>0</v>
      </c>
      <c r="D40" s="104">
        <f>'Studio Rain System'!K52</f>
        <v>0</v>
      </c>
      <c r="E40" s="104">
        <f>'Studio Rain System'!L52</f>
        <v>20</v>
      </c>
      <c r="F40" s="104">
        <f>'Studio Rain System'!M52</f>
        <v>0</v>
      </c>
      <c r="G40" s="177">
        <v>125600</v>
      </c>
      <c r="H40" s="178">
        <f t="shared" si="0"/>
        <v>0</v>
      </c>
      <c r="I40" s="128">
        <f t="shared" si="4"/>
        <v>0</v>
      </c>
      <c r="J40" s="193">
        <f>IF( 'Organized Input Output'!$AD$5= "y", $K$4*(D40*1000)/$K$3, 0)</f>
        <v>0</v>
      </c>
      <c r="K40" s="43">
        <f t="shared" si="5"/>
        <v>0</v>
      </c>
      <c r="L40" s="43">
        <f t="shared" si="6"/>
        <v>0</v>
      </c>
      <c r="M40" s="180">
        <f t="shared" si="1"/>
        <v>0</v>
      </c>
      <c r="N40" s="43">
        <f t="shared" si="7"/>
        <v>1200</v>
      </c>
      <c r="O40" s="128">
        <f t="shared" si="2"/>
        <v>0</v>
      </c>
      <c r="P40" s="181">
        <f t="shared" si="8"/>
        <v>0</v>
      </c>
      <c r="Q40" s="209">
        <f>IF( 'Organized Input Output'!$AF$9 = "y", P40 / ($Q$3 * $Q$4), 0)</f>
        <v>0</v>
      </c>
      <c r="R40" s="209">
        <f t="shared" si="9"/>
        <v>0</v>
      </c>
      <c r="S40" s="43">
        <f>IF( 'Organized Input Output'!$AF$9 = "y", IF(R40= 0, 1, 0), 0)</f>
        <v>0</v>
      </c>
      <c r="T40" s="209">
        <f t="shared" si="11"/>
        <v>0</v>
      </c>
      <c r="U40" s="43">
        <f>IF( 'Organized Input Output'!$AF$9 = "y", IF(T40= 0, 1, 0), 0)</f>
        <v>0</v>
      </c>
      <c r="V40" s="43">
        <f t="shared" si="3"/>
        <v>0</v>
      </c>
      <c r="W40" s="43">
        <f t="shared" si="10"/>
        <v>0</v>
      </c>
      <c r="X40" s="43">
        <f t="shared" si="13"/>
        <v>0</v>
      </c>
      <c r="Y40" s="43">
        <f t="shared" si="12"/>
        <v>0</v>
      </c>
    </row>
    <row r="41" spans="1:25" ht="15" customHeight="1">
      <c r="A41" s="43">
        <v>31</v>
      </c>
      <c r="B41" s="176">
        <v>1.4</v>
      </c>
      <c r="C41" s="126">
        <f>'Studio Rain System'!J53</f>
        <v>2.6</v>
      </c>
      <c r="D41" s="104">
        <f>'Studio Rain System'!K53</f>
        <v>2.86</v>
      </c>
      <c r="E41" s="104">
        <f>'Studio Rain System'!L53</f>
        <v>20</v>
      </c>
      <c r="F41" s="104">
        <f>'Studio Rain System'!M53</f>
        <v>0</v>
      </c>
      <c r="G41" s="177">
        <v>125600</v>
      </c>
      <c r="H41" s="178">
        <f t="shared" si="0"/>
        <v>513165.71428571432</v>
      </c>
      <c r="I41" s="128">
        <f t="shared" si="4"/>
        <v>0.51316571428571434</v>
      </c>
      <c r="J41" s="193">
        <f>IF( 'Organized Input Output'!$AD$5= "y", $K$4*(D41*1000)/$K$3, 0)</f>
        <v>14300</v>
      </c>
      <c r="K41" s="43">
        <f t="shared" si="5"/>
        <v>14.3</v>
      </c>
      <c r="L41" s="43">
        <f t="shared" si="6"/>
        <v>0</v>
      </c>
      <c r="M41" s="180">
        <f t="shared" si="1"/>
        <v>0</v>
      </c>
      <c r="N41" s="43">
        <f t="shared" si="7"/>
        <v>1200</v>
      </c>
      <c r="O41" s="128">
        <f t="shared" si="2"/>
        <v>4.32</v>
      </c>
      <c r="P41" s="181">
        <f t="shared" si="8"/>
        <v>4.8331657142857143</v>
      </c>
      <c r="Q41" s="209">
        <f>IF( 'Organized Input Output'!$AF$9 = "y", P41 / ($Q$3 * $Q$4), 0)</f>
        <v>0</v>
      </c>
      <c r="R41" s="209">
        <f t="shared" si="9"/>
        <v>0</v>
      </c>
      <c r="S41" s="43">
        <f>IF( 'Organized Input Output'!$AF$9 = "y", IF(R41= 0, 1, 0), 0)</f>
        <v>0</v>
      </c>
      <c r="T41" s="209">
        <f t="shared" si="11"/>
        <v>0</v>
      </c>
      <c r="U41" s="43">
        <f>IF( 'Organized Input Output'!$AF$9 = "y", IF(T41= 0, 1, 0), 0)</f>
        <v>0</v>
      </c>
      <c r="V41" s="43">
        <f t="shared" si="3"/>
        <v>0</v>
      </c>
      <c r="W41" s="43">
        <f t="shared" si="10"/>
        <v>0</v>
      </c>
      <c r="X41" s="43">
        <f t="shared" si="13"/>
        <v>0</v>
      </c>
      <c r="Y41" s="43">
        <f t="shared" si="12"/>
        <v>0</v>
      </c>
    </row>
    <row r="42" spans="1:25" ht="15" customHeight="1">
      <c r="A42" s="43">
        <v>32</v>
      </c>
      <c r="B42" s="176">
        <v>0</v>
      </c>
      <c r="C42" s="126">
        <f>'Studio Rain System'!J54</f>
        <v>2.6</v>
      </c>
      <c r="D42" s="104">
        <f>'Studio Rain System'!K54</f>
        <v>2.86</v>
      </c>
      <c r="E42" s="104">
        <f>'Studio Rain System'!L54</f>
        <v>20</v>
      </c>
      <c r="F42" s="104">
        <f>'Studio Rain System'!M54</f>
        <v>0.745</v>
      </c>
      <c r="G42" s="177">
        <v>125600</v>
      </c>
      <c r="H42" s="178">
        <f t="shared" si="0"/>
        <v>513165.71428571432</v>
      </c>
      <c r="I42" s="128">
        <f t="shared" si="4"/>
        <v>0.51316571428571434</v>
      </c>
      <c r="J42" s="193">
        <f>IF( 'Organized Input Output'!$AD$5= "y", $K$4*(D42*1000)/$K$3, 0)</f>
        <v>14300</v>
      </c>
      <c r="K42" s="43">
        <f t="shared" si="5"/>
        <v>14.3</v>
      </c>
      <c r="L42" s="43">
        <f t="shared" si="6"/>
        <v>28600000</v>
      </c>
      <c r="M42" s="180">
        <f t="shared" si="1"/>
        <v>28.6</v>
      </c>
      <c r="N42" s="43">
        <f t="shared" si="7"/>
        <v>1200</v>
      </c>
      <c r="O42" s="128">
        <f t="shared" si="2"/>
        <v>4.32</v>
      </c>
      <c r="P42" s="181">
        <f t="shared" si="8"/>
        <v>33.433165714285721</v>
      </c>
      <c r="Q42" s="209">
        <f>IF( 'Organized Input Output'!$AF$9 = "y", P42 / ($Q$3 * $Q$4), 0)</f>
        <v>0</v>
      </c>
      <c r="R42" s="209">
        <f t="shared" si="9"/>
        <v>0</v>
      </c>
      <c r="S42" s="43">
        <f>IF( 'Organized Input Output'!$AF$9 = "y", IF(R42= 0, 1, 0), 0)</f>
        <v>0</v>
      </c>
      <c r="T42" s="209">
        <f t="shared" si="11"/>
        <v>0</v>
      </c>
      <c r="U42" s="43">
        <f>IF( 'Organized Input Output'!$AF$9 = "y", IF(T42= 0, 1, 0), 0)</f>
        <v>0</v>
      </c>
      <c r="V42" s="43">
        <f t="shared" si="3"/>
        <v>0</v>
      </c>
      <c r="W42" s="43">
        <f t="shared" si="10"/>
        <v>0</v>
      </c>
      <c r="X42" s="43">
        <f t="shared" si="13"/>
        <v>0</v>
      </c>
      <c r="Y42" s="43">
        <f t="shared" si="12"/>
        <v>0</v>
      </c>
    </row>
    <row r="43" spans="1:25" ht="15" customHeight="1">
      <c r="A43" s="43">
        <v>33</v>
      </c>
      <c r="B43" s="176">
        <v>1</v>
      </c>
      <c r="C43" s="126">
        <f>'Studio Rain System'!J55</f>
        <v>0</v>
      </c>
      <c r="D43" s="104">
        <f>'Studio Rain System'!K55</f>
        <v>0</v>
      </c>
      <c r="E43" s="104">
        <f>'Studio Rain System'!L55</f>
        <v>19.254999999999999</v>
      </c>
      <c r="F43" s="104">
        <f>'Studio Rain System'!M55</f>
        <v>0.745</v>
      </c>
      <c r="G43" s="177">
        <v>125600</v>
      </c>
      <c r="H43" s="178">
        <f t="shared" si="0"/>
        <v>0</v>
      </c>
      <c r="I43" s="128">
        <f t="shared" si="4"/>
        <v>0</v>
      </c>
      <c r="J43" s="193">
        <f>IF( 'Organized Input Output'!$AD$5= "y", $K$4*(D43*1000)/$K$3, 0)</f>
        <v>0</v>
      </c>
      <c r="K43" s="43">
        <f t="shared" si="5"/>
        <v>0</v>
      </c>
      <c r="L43" s="43">
        <f t="shared" si="6"/>
        <v>0</v>
      </c>
      <c r="M43" s="180">
        <f t="shared" si="1"/>
        <v>0</v>
      </c>
      <c r="N43" s="43">
        <f t="shared" si="7"/>
        <v>1200</v>
      </c>
      <c r="O43" s="128">
        <f t="shared" si="2"/>
        <v>4.32</v>
      </c>
      <c r="P43" s="181">
        <f t="shared" si="8"/>
        <v>4.32</v>
      </c>
      <c r="Q43" s="209">
        <f>IF( 'Organized Input Output'!$AF$9 = "y", P43 / ($Q$3 * $Q$4), 0)</f>
        <v>0</v>
      </c>
      <c r="R43" s="209">
        <f t="shared" si="9"/>
        <v>0</v>
      </c>
      <c r="S43" s="43">
        <f>IF( 'Organized Input Output'!$AF$9 = "y", IF(R43= 0, 1, 0), 0)</f>
        <v>0</v>
      </c>
      <c r="T43" s="209">
        <f t="shared" si="11"/>
        <v>0</v>
      </c>
      <c r="U43" s="43">
        <f>IF( 'Organized Input Output'!$AF$9 = "y", IF(T43= 0, 1, 0), 0)</f>
        <v>0</v>
      </c>
      <c r="V43" s="43">
        <f t="shared" si="3"/>
        <v>0</v>
      </c>
      <c r="W43" s="43">
        <f t="shared" si="10"/>
        <v>0</v>
      </c>
      <c r="X43" s="43">
        <f t="shared" si="13"/>
        <v>0</v>
      </c>
      <c r="Y43" s="43">
        <f t="shared" si="12"/>
        <v>0</v>
      </c>
    </row>
    <row r="44" spans="1:25" ht="15" customHeight="1">
      <c r="A44" s="43">
        <v>34</v>
      </c>
      <c r="B44" s="176">
        <v>8</v>
      </c>
      <c r="C44" s="126">
        <f>'Studio Rain System'!J56</f>
        <v>0</v>
      </c>
      <c r="D44" s="104">
        <f>'Studio Rain System'!K56</f>
        <v>0</v>
      </c>
      <c r="E44" s="104">
        <f>'Studio Rain System'!L56</f>
        <v>18.509999999999998</v>
      </c>
      <c r="F44" s="104">
        <f>'Studio Rain System'!M56</f>
        <v>0.745</v>
      </c>
      <c r="G44" s="177">
        <v>125600</v>
      </c>
      <c r="H44" s="178">
        <f t="shared" si="0"/>
        <v>0</v>
      </c>
      <c r="I44" s="128">
        <f t="shared" si="4"/>
        <v>0</v>
      </c>
      <c r="J44" s="193">
        <f>IF( 'Organized Input Output'!$AD$5= "y", $K$4*(D44*1000)/$K$3, 0)</f>
        <v>0</v>
      </c>
      <c r="K44" s="43">
        <f t="shared" si="5"/>
        <v>0</v>
      </c>
      <c r="L44" s="43">
        <f t="shared" si="6"/>
        <v>0</v>
      </c>
      <c r="M44" s="180">
        <f t="shared" si="1"/>
        <v>0</v>
      </c>
      <c r="N44" s="43">
        <f t="shared" si="7"/>
        <v>1200</v>
      </c>
      <c r="O44" s="128">
        <f t="shared" si="2"/>
        <v>4.32</v>
      </c>
      <c r="P44" s="181">
        <f t="shared" si="8"/>
        <v>4.32</v>
      </c>
      <c r="Q44" s="209">
        <f>IF( 'Organized Input Output'!$AF$9 = "y", P44 / ($Q$3 * $Q$4), 0)</f>
        <v>0</v>
      </c>
      <c r="R44" s="209">
        <f t="shared" si="9"/>
        <v>0</v>
      </c>
      <c r="S44" s="43">
        <f>IF( 'Organized Input Output'!$AF$9 = "y", IF(R44= 0, 1, 0), 0)</f>
        <v>0</v>
      </c>
      <c r="T44" s="209">
        <f t="shared" si="11"/>
        <v>0</v>
      </c>
      <c r="U44" s="43">
        <f>IF( 'Organized Input Output'!$AF$9 = "y", IF(T44= 0, 1, 0), 0)</f>
        <v>0</v>
      </c>
      <c r="V44" s="43">
        <f t="shared" si="3"/>
        <v>0</v>
      </c>
      <c r="W44" s="43">
        <f t="shared" si="10"/>
        <v>0</v>
      </c>
      <c r="X44" s="43">
        <f t="shared" si="13"/>
        <v>0</v>
      </c>
      <c r="Y44" s="43">
        <f t="shared" si="12"/>
        <v>0</v>
      </c>
    </row>
    <row r="45" spans="1:25" ht="15" customHeight="1">
      <c r="A45" s="43">
        <v>35</v>
      </c>
      <c r="B45" s="176">
        <v>1.6</v>
      </c>
      <c r="C45" s="126">
        <f>'Studio Rain System'!J57</f>
        <v>0</v>
      </c>
      <c r="D45" s="104">
        <f>'Studio Rain System'!K57</f>
        <v>0</v>
      </c>
      <c r="E45" s="104">
        <f>'Studio Rain System'!L57</f>
        <v>17.764999999999997</v>
      </c>
      <c r="F45" s="104">
        <f>'Studio Rain System'!M57</f>
        <v>0.745</v>
      </c>
      <c r="G45" s="177">
        <v>125600</v>
      </c>
      <c r="H45" s="178">
        <f t="shared" si="0"/>
        <v>0</v>
      </c>
      <c r="I45" s="128">
        <f t="shared" si="4"/>
        <v>0</v>
      </c>
      <c r="J45" s="193">
        <f>IF( 'Organized Input Output'!$AD$5= "y", $K$4*(D45*1000)/$K$3, 0)</f>
        <v>0</v>
      </c>
      <c r="K45" s="43">
        <f t="shared" si="5"/>
        <v>0</v>
      </c>
      <c r="L45" s="43">
        <f t="shared" si="6"/>
        <v>0</v>
      </c>
      <c r="M45" s="180">
        <f t="shared" si="1"/>
        <v>0</v>
      </c>
      <c r="N45" s="43">
        <f t="shared" si="7"/>
        <v>1200</v>
      </c>
      <c r="O45" s="128">
        <f t="shared" si="2"/>
        <v>4.32</v>
      </c>
      <c r="P45" s="181">
        <f t="shared" si="8"/>
        <v>4.32</v>
      </c>
      <c r="Q45" s="209">
        <f>IF( 'Organized Input Output'!$AF$9 = "y", P45 / ($Q$3 * $Q$4), 0)</f>
        <v>0</v>
      </c>
      <c r="R45" s="209">
        <f t="shared" si="9"/>
        <v>0</v>
      </c>
      <c r="S45" s="43">
        <f>IF( 'Organized Input Output'!$AF$9 = "y", IF(R45= 0, 1, 0), 0)</f>
        <v>0</v>
      </c>
      <c r="T45" s="209">
        <f t="shared" si="11"/>
        <v>0</v>
      </c>
      <c r="U45" s="43">
        <f>IF( 'Organized Input Output'!$AF$9 = "y", IF(T45= 0, 1, 0), 0)</f>
        <v>0</v>
      </c>
      <c r="V45" s="43">
        <f t="shared" si="3"/>
        <v>0</v>
      </c>
      <c r="W45" s="43">
        <f t="shared" si="10"/>
        <v>0</v>
      </c>
      <c r="X45" s="43">
        <f t="shared" si="13"/>
        <v>0</v>
      </c>
      <c r="Y45" s="43">
        <f t="shared" si="12"/>
        <v>0</v>
      </c>
    </row>
    <row r="46" spans="1:25" ht="15" customHeight="1">
      <c r="A46" s="43">
        <v>36</v>
      </c>
      <c r="B46" s="176">
        <v>3.8</v>
      </c>
      <c r="C46" s="126">
        <f>'Studio Rain System'!J58</f>
        <v>0</v>
      </c>
      <c r="D46" s="104">
        <f>'Studio Rain System'!K58</f>
        <v>0</v>
      </c>
      <c r="E46" s="104">
        <f>'Studio Rain System'!L58</f>
        <v>17.019999999999996</v>
      </c>
      <c r="F46" s="104">
        <f>'Studio Rain System'!M58</f>
        <v>0.745</v>
      </c>
      <c r="G46" s="177">
        <v>125600</v>
      </c>
      <c r="H46" s="178">
        <f t="shared" si="0"/>
        <v>0</v>
      </c>
      <c r="I46" s="128">
        <f t="shared" si="4"/>
        <v>0</v>
      </c>
      <c r="J46" s="193">
        <f>IF( 'Organized Input Output'!$AD$5= "y", $K$4*(D46*1000)/$K$3, 0)</f>
        <v>0</v>
      </c>
      <c r="K46" s="43">
        <f t="shared" si="5"/>
        <v>0</v>
      </c>
      <c r="L46" s="43">
        <f t="shared" si="6"/>
        <v>0</v>
      </c>
      <c r="M46" s="180">
        <f t="shared" si="1"/>
        <v>0</v>
      </c>
      <c r="N46" s="43">
        <f t="shared" si="7"/>
        <v>1200</v>
      </c>
      <c r="O46" s="128">
        <f t="shared" si="2"/>
        <v>4.32</v>
      </c>
      <c r="P46" s="181">
        <f t="shared" si="8"/>
        <v>4.32</v>
      </c>
      <c r="Q46" s="209">
        <f>IF( 'Organized Input Output'!$AF$9 = "y", P46 / ($Q$3 * $Q$4), 0)</f>
        <v>0</v>
      </c>
      <c r="R46" s="209">
        <f t="shared" si="9"/>
        <v>0</v>
      </c>
      <c r="S46" s="43">
        <f>IF( 'Organized Input Output'!$AF$9 = "y", IF(R46= 0, 1, 0), 0)</f>
        <v>0</v>
      </c>
      <c r="T46" s="209">
        <f t="shared" si="11"/>
        <v>0</v>
      </c>
      <c r="U46" s="43">
        <f>IF( 'Organized Input Output'!$AF$9 = "y", IF(T46= 0, 1, 0), 0)</f>
        <v>0</v>
      </c>
      <c r="V46" s="43">
        <f t="shared" si="3"/>
        <v>0</v>
      </c>
      <c r="W46" s="43">
        <f t="shared" si="10"/>
        <v>0</v>
      </c>
      <c r="X46" s="43">
        <f t="shared" si="13"/>
        <v>0</v>
      </c>
      <c r="Y46" s="43">
        <f t="shared" si="12"/>
        <v>0</v>
      </c>
    </row>
    <row r="47" spans="1:25" ht="15" customHeight="1">
      <c r="A47" s="43">
        <v>37</v>
      </c>
      <c r="B47" s="176">
        <v>0.2</v>
      </c>
      <c r="C47" s="126">
        <f>'Studio Rain System'!J59</f>
        <v>0</v>
      </c>
      <c r="D47" s="104">
        <f>'Studio Rain System'!K59</f>
        <v>0</v>
      </c>
      <c r="E47" s="104">
        <f>'Studio Rain System'!L59</f>
        <v>16.274999999999995</v>
      </c>
      <c r="F47" s="104">
        <f>'Studio Rain System'!M59</f>
        <v>0.745</v>
      </c>
      <c r="G47" s="177">
        <v>125600</v>
      </c>
      <c r="H47" s="178">
        <f t="shared" si="0"/>
        <v>0</v>
      </c>
      <c r="I47" s="128">
        <f t="shared" si="4"/>
        <v>0</v>
      </c>
      <c r="J47" s="193">
        <f>IF( 'Organized Input Output'!$AD$5= "y", $K$4*(D47*1000)/$K$3, 0)</f>
        <v>0</v>
      </c>
      <c r="K47" s="43">
        <f t="shared" si="5"/>
        <v>0</v>
      </c>
      <c r="L47" s="43">
        <f t="shared" si="6"/>
        <v>0</v>
      </c>
      <c r="M47" s="180">
        <f t="shared" si="1"/>
        <v>0</v>
      </c>
      <c r="N47" s="43">
        <f t="shared" si="7"/>
        <v>1200</v>
      </c>
      <c r="O47" s="128">
        <f t="shared" si="2"/>
        <v>4.32</v>
      </c>
      <c r="P47" s="181">
        <f t="shared" si="8"/>
        <v>4.32</v>
      </c>
      <c r="Q47" s="209">
        <f>IF( 'Organized Input Output'!$AF$9 = "y", P47 / ($Q$3 * $Q$4), 0)</f>
        <v>0</v>
      </c>
      <c r="R47" s="209">
        <f t="shared" si="9"/>
        <v>0</v>
      </c>
      <c r="S47" s="43">
        <f>IF( 'Organized Input Output'!$AF$9 = "y", IF(R47= 0, 1, 0), 0)</f>
        <v>0</v>
      </c>
      <c r="T47" s="209">
        <f t="shared" si="11"/>
        <v>0</v>
      </c>
      <c r="U47" s="43">
        <f>IF( 'Organized Input Output'!$AF$9 = "y", IF(T47= 0, 1, 0), 0)</f>
        <v>0</v>
      </c>
      <c r="V47" s="43">
        <f t="shared" si="3"/>
        <v>0</v>
      </c>
      <c r="W47" s="43">
        <f t="shared" si="10"/>
        <v>0</v>
      </c>
      <c r="X47" s="43">
        <f t="shared" si="13"/>
        <v>0</v>
      </c>
      <c r="Y47" s="43">
        <f t="shared" si="12"/>
        <v>0</v>
      </c>
    </row>
    <row r="48" spans="1:25" ht="15" customHeight="1">
      <c r="A48" s="43">
        <v>38</v>
      </c>
      <c r="B48" s="176">
        <v>1.6</v>
      </c>
      <c r="C48" s="126">
        <f>'Studio Rain System'!J60</f>
        <v>0</v>
      </c>
      <c r="D48" s="104">
        <f>'Studio Rain System'!K60</f>
        <v>0</v>
      </c>
      <c r="E48" s="104">
        <f>'Studio Rain System'!L60</f>
        <v>15.529999999999996</v>
      </c>
      <c r="F48" s="104">
        <f>'Studio Rain System'!M60</f>
        <v>0.745</v>
      </c>
      <c r="G48" s="177">
        <v>125600</v>
      </c>
      <c r="H48" s="178">
        <f t="shared" si="0"/>
        <v>0</v>
      </c>
      <c r="I48" s="128">
        <f t="shared" si="4"/>
        <v>0</v>
      </c>
      <c r="J48" s="193">
        <f>IF( 'Organized Input Output'!$AD$5= "y", $K$4*(D48*1000)/$K$3, 0)</f>
        <v>0</v>
      </c>
      <c r="K48" s="43">
        <f t="shared" si="5"/>
        <v>0</v>
      </c>
      <c r="L48" s="43">
        <f t="shared" si="6"/>
        <v>0</v>
      </c>
      <c r="M48" s="180">
        <f t="shared" si="1"/>
        <v>0</v>
      </c>
      <c r="N48" s="43">
        <f t="shared" si="7"/>
        <v>1200</v>
      </c>
      <c r="O48" s="128">
        <f t="shared" si="2"/>
        <v>4.32</v>
      </c>
      <c r="P48" s="181">
        <f t="shared" si="8"/>
        <v>4.32</v>
      </c>
      <c r="Q48" s="209">
        <f>IF( 'Organized Input Output'!$AF$9 = "y", P48 / ($Q$3 * $Q$4), 0)</f>
        <v>0</v>
      </c>
      <c r="R48" s="209">
        <f t="shared" si="9"/>
        <v>0</v>
      </c>
      <c r="S48" s="43">
        <f>IF( 'Organized Input Output'!$AF$9 = "y", IF(R48= 0, 1, 0), 0)</f>
        <v>0</v>
      </c>
      <c r="T48" s="209">
        <f t="shared" si="11"/>
        <v>0</v>
      </c>
      <c r="U48" s="43">
        <f>IF( 'Organized Input Output'!$AF$9 = "y", IF(T48= 0, 1, 0), 0)</f>
        <v>0</v>
      </c>
      <c r="V48" s="43">
        <f t="shared" si="3"/>
        <v>0</v>
      </c>
      <c r="W48" s="43">
        <f t="shared" si="10"/>
        <v>0</v>
      </c>
      <c r="X48" s="43">
        <f t="shared" si="13"/>
        <v>0</v>
      </c>
      <c r="Y48" s="43">
        <f t="shared" si="12"/>
        <v>0</v>
      </c>
    </row>
    <row r="49" spans="1:25" ht="15" customHeight="1">
      <c r="A49" s="43">
        <v>39</v>
      </c>
      <c r="B49" s="176">
        <v>0.2</v>
      </c>
      <c r="C49" s="126">
        <f>'Studio Rain System'!J61</f>
        <v>0</v>
      </c>
      <c r="D49" s="104">
        <f>'Studio Rain System'!K61</f>
        <v>0</v>
      </c>
      <c r="E49" s="104">
        <f>'Studio Rain System'!L61</f>
        <v>14.784999999999997</v>
      </c>
      <c r="F49" s="104">
        <f>'Studio Rain System'!M61</f>
        <v>0.745</v>
      </c>
      <c r="G49" s="177">
        <v>125600</v>
      </c>
      <c r="H49" s="178">
        <f t="shared" si="0"/>
        <v>0</v>
      </c>
      <c r="I49" s="128">
        <f t="shared" si="4"/>
        <v>0</v>
      </c>
      <c r="J49" s="193">
        <f>IF( 'Organized Input Output'!$AD$5= "y", $K$4*(D49*1000)/$K$3, 0)</f>
        <v>0</v>
      </c>
      <c r="K49" s="43">
        <f t="shared" si="5"/>
        <v>0</v>
      </c>
      <c r="L49" s="43">
        <f t="shared" si="6"/>
        <v>0</v>
      </c>
      <c r="M49" s="180">
        <f t="shared" si="1"/>
        <v>0</v>
      </c>
      <c r="N49" s="43">
        <f t="shared" si="7"/>
        <v>1200</v>
      </c>
      <c r="O49" s="128">
        <f t="shared" si="2"/>
        <v>4.32</v>
      </c>
      <c r="P49" s="181">
        <f t="shared" si="8"/>
        <v>4.32</v>
      </c>
      <c r="Q49" s="209">
        <f>IF( 'Organized Input Output'!$AF$9 = "y", P49 / ($Q$3 * $Q$4), 0)</f>
        <v>0</v>
      </c>
      <c r="R49" s="209">
        <f t="shared" si="9"/>
        <v>0</v>
      </c>
      <c r="S49" s="43">
        <f>IF( 'Organized Input Output'!$AF$9 = "y", IF(R49= 0, 1, 0), 0)</f>
        <v>0</v>
      </c>
      <c r="T49" s="209">
        <f t="shared" si="11"/>
        <v>0</v>
      </c>
      <c r="U49" s="43">
        <f>IF( 'Organized Input Output'!$AF$9 = "y", IF(T49= 0, 1, 0), 0)</f>
        <v>0</v>
      </c>
      <c r="V49" s="43">
        <f t="shared" si="3"/>
        <v>0</v>
      </c>
      <c r="W49" s="43">
        <f t="shared" si="10"/>
        <v>0</v>
      </c>
      <c r="X49" s="43">
        <f t="shared" si="13"/>
        <v>0</v>
      </c>
      <c r="Y49" s="43">
        <f t="shared" si="12"/>
        <v>0</v>
      </c>
    </row>
    <row r="50" spans="1:25" ht="15" customHeight="1">
      <c r="A50" s="43">
        <v>40</v>
      </c>
      <c r="B50" s="176">
        <v>0</v>
      </c>
      <c r="C50" s="126">
        <f>'Studio Rain System'!J62</f>
        <v>12.2</v>
      </c>
      <c r="D50" s="104">
        <f>'Studio Rain System'!K62</f>
        <v>13.419999999999998</v>
      </c>
      <c r="E50" s="104">
        <f>'Studio Rain System'!L62</f>
        <v>20</v>
      </c>
      <c r="F50" s="104">
        <f>'Studio Rain System'!M62</f>
        <v>0.745</v>
      </c>
      <c r="G50" s="177">
        <v>125600</v>
      </c>
      <c r="H50" s="178">
        <f t="shared" si="0"/>
        <v>2407931.4285714282</v>
      </c>
      <c r="I50" s="128">
        <f t="shared" si="4"/>
        <v>2.4079314285714282</v>
      </c>
      <c r="J50" s="193">
        <f>IF( 'Organized Input Output'!$AD$5= "y", $K$4*(D50*1000)/$K$3, 0)</f>
        <v>67099.999999999985</v>
      </c>
      <c r="K50" s="43">
        <f t="shared" si="5"/>
        <v>67.09999999999998</v>
      </c>
      <c r="L50" s="43">
        <f t="shared" si="6"/>
        <v>134199999.99999996</v>
      </c>
      <c r="M50" s="180">
        <f t="shared" si="1"/>
        <v>134.19999999999996</v>
      </c>
      <c r="N50" s="43">
        <f t="shared" si="7"/>
        <v>1200</v>
      </c>
      <c r="O50" s="128">
        <f t="shared" si="2"/>
        <v>4.32</v>
      </c>
      <c r="P50" s="181">
        <f t="shared" si="8"/>
        <v>140.92793142857138</v>
      </c>
      <c r="Q50" s="209">
        <f>IF( 'Organized Input Output'!$AF$9 = "y", P50 / ($Q$3 * $Q$4), 0)</f>
        <v>0</v>
      </c>
      <c r="R50" s="209">
        <f t="shared" si="9"/>
        <v>0</v>
      </c>
      <c r="S50" s="43">
        <f>IF( 'Organized Input Output'!$AF$9 = "y", IF(R50= 0, 1, 0), 0)</f>
        <v>0</v>
      </c>
      <c r="T50" s="209">
        <f t="shared" si="11"/>
        <v>0</v>
      </c>
      <c r="U50" s="43">
        <f>IF( 'Organized Input Output'!$AF$9 = "y", IF(T50= 0, 1, 0), 0)</f>
        <v>0</v>
      </c>
      <c r="V50" s="43">
        <f t="shared" si="3"/>
        <v>0</v>
      </c>
      <c r="W50" s="43">
        <f t="shared" si="10"/>
        <v>0</v>
      </c>
      <c r="X50" s="43">
        <f t="shared" si="13"/>
        <v>0</v>
      </c>
      <c r="Y50" s="43">
        <f t="shared" si="12"/>
        <v>0</v>
      </c>
    </row>
    <row r="51" spans="1:25" ht="15" customHeight="1">
      <c r="A51" s="43">
        <v>41</v>
      </c>
      <c r="B51" s="176">
        <v>1</v>
      </c>
      <c r="C51" s="126">
        <f>'Studio Rain System'!J63</f>
        <v>13.4</v>
      </c>
      <c r="D51" s="104">
        <f>'Studio Rain System'!K63</f>
        <v>14.74</v>
      </c>
      <c r="E51" s="104">
        <f>'Studio Rain System'!L63</f>
        <v>20</v>
      </c>
      <c r="F51" s="104">
        <f>'Studio Rain System'!M63</f>
        <v>0.745</v>
      </c>
      <c r="G51" s="177">
        <v>125600</v>
      </c>
      <c r="H51" s="178">
        <f t="shared" si="0"/>
        <v>2644777.1428571432</v>
      </c>
      <c r="I51" s="128">
        <f t="shared" si="4"/>
        <v>2.6447771428571434</v>
      </c>
      <c r="J51" s="193">
        <f>IF( 'Organized Input Output'!$AD$5= "y", $K$4*(D51*1000)/$K$3, 0)</f>
        <v>73700</v>
      </c>
      <c r="K51" s="43">
        <f t="shared" si="5"/>
        <v>73.7</v>
      </c>
      <c r="L51" s="43">
        <f t="shared" si="6"/>
        <v>147400000</v>
      </c>
      <c r="M51" s="180">
        <f t="shared" si="1"/>
        <v>147.4</v>
      </c>
      <c r="N51" s="43">
        <f t="shared" si="7"/>
        <v>1200</v>
      </c>
      <c r="O51" s="128">
        <f t="shared" si="2"/>
        <v>4.32</v>
      </c>
      <c r="P51" s="181">
        <f t="shared" si="8"/>
        <v>154.36477714285715</v>
      </c>
      <c r="Q51" s="209">
        <f>IF( 'Organized Input Output'!$AF$9 = "y", P51 / ($Q$3 * $Q$4), 0)</f>
        <v>0</v>
      </c>
      <c r="R51" s="209">
        <f t="shared" si="9"/>
        <v>0</v>
      </c>
      <c r="S51" s="43">
        <f>IF( 'Organized Input Output'!$AF$9 = "y", IF(R51= 0, 1, 0), 0)</f>
        <v>0</v>
      </c>
      <c r="T51" s="209">
        <f t="shared" si="11"/>
        <v>0</v>
      </c>
      <c r="U51" s="43">
        <f>IF( 'Organized Input Output'!$AF$9 = "y", IF(T51= 0, 1, 0), 0)</f>
        <v>0</v>
      </c>
      <c r="V51" s="43">
        <f t="shared" si="3"/>
        <v>0</v>
      </c>
      <c r="W51" s="43">
        <f t="shared" si="10"/>
        <v>0</v>
      </c>
      <c r="X51" s="43">
        <f t="shared" si="13"/>
        <v>0</v>
      </c>
      <c r="Y51" s="43">
        <f t="shared" si="12"/>
        <v>0</v>
      </c>
    </row>
    <row r="52" spans="1:25" ht="15" customHeight="1">
      <c r="A52" s="43">
        <v>42</v>
      </c>
      <c r="B52" s="176">
        <v>1.4</v>
      </c>
      <c r="C52" s="126">
        <f>'Studio Rain System'!J64</f>
        <v>46.6</v>
      </c>
      <c r="D52" s="104">
        <f>'Studio Rain System'!K64</f>
        <v>51.260000000000005</v>
      </c>
      <c r="E52" s="104">
        <f>'Studio Rain System'!L64</f>
        <v>20</v>
      </c>
      <c r="F52" s="104">
        <f>'Studio Rain System'!M64</f>
        <v>0.745</v>
      </c>
      <c r="G52" s="177">
        <v>125600</v>
      </c>
      <c r="H52" s="178">
        <f t="shared" si="0"/>
        <v>9197508.5714285728</v>
      </c>
      <c r="I52" s="128">
        <f t="shared" si="4"/>
        <v>9.1975085714285729</v>
      </c>
      <c r="J52" s="193">
        <f>IF( 'Organized Input Output'!$AD$5= "y", $K$4*(D52*1000)/$K$3, 0)</f>
        <v>256300.00000000006</v>
      </c>
      <c r="K52" s="43">
        <f t="shared" si="5"/>
        <v>256.30000000000007</v>
      </c>
      <c r="L52" s="43">
        <f t="shared" si="6"/>
        <v>512600000.00000012</v>
      </c>
      <c r="M52" s="180">
        <f t="shared" si="1"/>
        <v>512.60000000000014</v>
      </c>
      <c r="N52" s="43">
        <f t="shared" si="7"/>
        <v>1200</v>
      </c>
      <c r="O52" s="128">
        <f t="shared" si="2"/>
        <v>4.32</v>
      </c>
      <c r="P52" s="181">
        <f t="shared" si="8"/>
        <v>526.11750857142874</v>
      </c>
      <c r="Q52" s="209">
        <f>IF( 'Organized Input Output'!$AF$9 = "y", P52 / ($Q$3 * $Q$4), 0)</f>
        <v>0</v>
      </c>
      <c r="R52" s="209">
        <f t="shared" si="9"/>
        <v>0</v>
      </c>
      <c r="S52" s="43">
        <f>IF( 'Organized Input Output'!$AF$9 = "y", IF(R52= 0, 1, 0), 0)</f>
        <v>0</v>
      </c>
      <c r="T52" s="209">
        <f t="shared" si="11"/>
        <v>0</v>
      </c>
      <c r="U52" s="43">
        <f>IF( 'Organized Input Output'!$AF$9 = "y", IF(T52= 0, 1, 0), 0)</f>
        <v>0</v>
      </c>
      <c r="V52" s="43">
        <f t="shared" si="3"/>
        <v>0</v>
      </c>
      <c r="W52" s="43">
        <f t="shared" si="10"/>
        <v>0</v>
      </c>
      <c r="X52" s="43">
        <f t="shared" si="13"/>
        <v>0</v>
      </c>
      <c r="Y52" s="43">
        <f t="shared" si="12"/>
        <v>0</v>
      </c>
    </row>
    <row r="53" spans="1:25" ht="15" customHeight="1">
      <c r="A53" s="43">
        <v>43</v>
      </c>
      <c r="B53" s="176">
        <v>4.5999999999999996</v>
      </c>
      <c r="C53" s="126">
        <f>'Studio Rain System'!J65</f>
        <v>16.8</v>
      </c>
      <c r="D53" s="104">
        <f>'Studio Rain System'!K65</f>
        <v>18.480000000000004</v>
      </c>
      <c r="E53" s="104">
        <f>'Studio Rain System'!L65</f>
        <v>20</v>
      </c>
      <c r="F53" s="104">
        <f>'Studio Rain System'!M65</f>
        <v>0.745</v>
      </c>
      <c r="G53" s="177">
        <v>125600</v>
      </c>
      <c r="H53" s="178">
        <f t="shared" si="0"/>
        <v>3315840.0000000009</v>
      </c>
      <c r="I53" s="128">
        <f t="shared" si="4"/>
        <v>3.315840000000001</v>
      </c>
      <c r="J53" s="193">
        <f>IF( 'Organized Input Output'!$AD$5= "y", $K$4*(D53*1000)/$K$3, 0)</f>
        <v>92400.000000000029</v>
      </c>
      <c r="K53" s="43">
        <f t="shared" si="5"/>
        <v>92.400000000000034</v>
      </c>
      <c r="L53" s="43">
        <f t="shared" si="6"/>
        <v>184800000.00000006</v>
      </c>
      <c r="M53" s="180">
        <f t="shared" si="1"/>
        <v>184.80000000000007</v>
      </c>
      <c r="N53" s="43">
        <f t="shared" si="7"/>
        <v>1200</v>
      </c>
      <c r="O53" s="128">
        <f t="shared" si="2"/>
        <v>4.32</v>
      </c>
      <c r="P53" s="181">
        <f t="shared" si="8"/>
        <v>192.43584000000007</v>
      </c>
      <c r="Q53" s="209">
        <f>IF( 'Organized Input Output'!$AF$9 = "y", P53 / ($Q$3 * $Q$4), 0)</f>
        <v>0</v>
      </c>
      <c r="R53" s="209">
        <f t="shared" si="9"/>
        <v>0</v>
      </c>
      <c r="S53" s="43">
        <f>IF( 'Organized Input Output'!$AF$9 = "y", IF(R53= 0, 1, 0), 0)</f>
        <v>0</v>
      </c>
      <c r="T53" s="209">
        <f t="shared" si="11"/>
        <v>0</v>
      </c>
      <c r="U53" s="43">
        <f>IF( 'Organized Input Output'!$AF$9 = "y", IF(T53= 0, 1, 0), 0)</f>
        <v>0</v>
      </c>
      <c r="V53" s="43">
        <f t="shared" si="3"/>
        <v>0</v>
      </c>
      <c r="W53" s="43">
        <f t="shared" si="10"/>
        <v>0</v>
      </c>
      <c r="X53" s="43">
        <f t="shared" si="13"/>
        <v>0</v>
      </c>
      <c r="Y53" s="43">
        <f t="shared" si="12"/>
        <v>0</v>
      </c>
    </row>
    <row r="54" spans="1:25" ht="15" customHeight="1">
      <c r="A54" s="43">
        <v>44</v>
      </c>
      <c r="B54" s="176">
        <v>3</v>
      </c>
      <c r="C54" s="126">
        <f>'Studio Rain System'!J66</f>
        <v>15.6</v>
      </c>
      <c r="D54" s="104">
        <f>'Studio Rain System'!K66</f>
        <v>17.16</v>
      </c>
      <c r="E54" s="104">
        <f>'Studio Rain System'!L66</f>
        <v>20</v>
      </c>
      <c r="F54" s="104">
        <f>'Studio Rain System'!M66</f>
        <v>0.745</v>
      </c>
      <c r="G54" s="177">
        <v>125600</v>
      </c>
      <c r="H54" s="178">
        <f t="shared" si="0"/>
        <v>3078994.2857142859</v>
      </c>
      <c r="I54" s="128">
        <f t="shared" si="4"/>
        <v>3.0789942857142858</v>
      </c>
      <c r="J54" s="193">
        <f>IF( 'Organized Input Output'!$AD$5= "y", $K$4*(D54*1000)/$K$3, 0)</f>
        <v>85800</v>
      </c>
      <c r="K54" s="43">
        <f t="shared" si="5"/>
        <v>85.8</v>
      </c>
      <c r="L54" s="43">
        <f t="shared" si="6"/>
        <v>171600000</v>
      </c>
      <c r="M54" s="180">
        <f t="shared" si="1"/>
        <v>171.6</v>
      </c>
      <c r="N54" s="43">
        <f t="shared" si="7"/>
        <v>1200</v>
      </c>
      <c r="O54" s="128">
        <f t="shared" si="2"/>
        <v>4.32</v>
      </c>
      <c r="P54" s="181">
        <f t="shared" si="8"/>
        <v>178.99899428571428</v>
      </c>
      <c r="Q54" s="209">
        <f>IF( 'Organized Input Output'!$AF$9 = "y", P54 / ($Q$3 * $Q$4), 0)</f>
        <v>0</v>
      </c>
      <c r="R54" s="209">
        <f t="shared" si="9"/>
        <v>0</v>
      </c>
      <c r="S54" s="43">
        <f>IF( 'Organized Input Output'!$AF$9 = "y", IF(R54= 0, 1, 0), 0)</f>
        <v>0</v>
      </c>
      <c r="T54" s="209">
        <f t="shared" si="11"/>
        <v>0</v>
      </c>
      <c r="U54" s="43">
        <f>IF( 'Organized Input Output'!$AF$9 = "y", IF(T54= 0, 1, 0), 0)</f>
        <v>0</v>
      </c>
      <c r="V54" s="43">
        <f t="shared" si="3"/>
        <v>0</v>
      </c>
      <c r="W54" s="43">
        <f t="shared" si="10"/>
        <v>0</v>
      </c>
      <c r="X54" s="43">
        <f t="shared" si="13"/>
        <v>0</v>
      </c>
      <c r="Y54" s="43">
        <f t="shared" si="12"/>
        <v>0</v>
      </c>
    </row>
    <row r="55" spans="1:25" ht="15" customHeight="1">
      <c r="A55" s="43">
        <v>45</v>
      </c>
      <c r="B55" s="176">
        <v>5.6</v>
      </c>
      <c r="C55" s="126">
        <f>'Studio Rain System'!J67</f>
        <v>3</v>
      </c>
      <c r="D55" s="104">
        <f>'Studio Rain System'!K67</f>
        <v>3.3000000000000003</v>
      </c>
      <c r="E55" s="104">
        <f>'Studio Rain System'!L67</f>
        <v>20</v>
      </c>
      <c r="F55" s="104">
        <f>'Studio Rain System'!M67</f>
        <v>0.745</v>
      </c>
      <c r="G55" s="177">
        <v>125600</v>
      </c>
      <c r="H55" s="178">
        <f t="shared" si="0"/>
        <v>592114.2857142858</v>
      </c>
      <c r="I55" s="128">
        <f t="shared" si="4"/>
        <v>0.59211428571428582</v>
      </c>
      <c r="J55" s="193">
        <f>IF( 'Organized Input Output'!$AD$5= "y", $K$4*(D55*1000)/$K$3, 0)</f>
        <v>16500.000000000004</v>
      </c>
      <c r="K55" s="43">
        <f t="shared" si="5"/>
        <v>16.500000000000004</v>
      </c>
      <c r="L55" s="43">
        <f t="shared" si="6"/>
        <v>33000000.000000007</v>
      </c>
      <c r="M55" s="180">
        <f t="shared" si="1"/>
        <v>33.000000000000007</v>
      </c>
      <c r="N55" s="43">
        <f t="shared" si="7"/>
        <v>1200</v>
      </c>
      <c r="O55" s="128">
        <f t="shared" si="2"/>
        <v>4.32</v>
      </c>
      <c r="P55" s="181">
        <f t="shared" si="8"/>
        <v>37.912114285714296</v>
      </c>
      <c r="Q55" s="209">
        <f>IF( 'Organized Input Output'!$AF$9 = "y", P55 / ($Q$3 * $Q$4), 0)</f>
        <v>0</v>
      </c>
      <c r="R55" s="209">
        <f t="shared" si="9"/>
        <v>0</v>
      </c>
      <c r="S55" s="43">
        <f>IF( 'Organized Input Output'!$AF$9 = "y", IF(R55= 0, 1, 0), 0)</f>
        <v>0</v>
      </c>
      <c r="T55" s="209">
        <f t="shared" si="11"/>
        <v>0</v>
      </c>
      <c r="U55" s="43">
        <f>IF( 'Organized Input Output'!$AF$9 = "y", IF(T55= 0, 1, 0), 0)</f>
        <v>0</v>
      </c>
      <c r="V55" s="43">
        <f t="shared" si="3"/>
        <v>0</v>
      </c>
      <c r="W55" s="43">
        <f t="shared" si="10"/>
        <v>0</v>
      </c>
      <c r="X55" s="43">
        <f t="shared" si="13"/>
        <v>0</v>
      </c>
      <c r="Y55" s="43">
        <f t="shared" si="12"/>
        <v>0</v>
      </c>
    </row>
    <row r="56" spans="1:25" ht="15" customHeight="1">
      <c r="A56" s="43">
        <v>46</v>
      </c>
      <c r="B56" s="176">
        <v>2.4</v>
      </c>
      <c r="C56" s="126">
        <f>'Studio Rain System'!J68</f>
        <v>11.6</v>
      </c>
      <c r="D56" s="104">
        <f>'Studio Rain System'!K68</f>
        <v>12.76</v>
      </c>
      <c r="E56" s="104">
        <f>'Studio Rain System'!L68</f>
        <v>20</v>
      </c>
      <c r="F56" s="104">
        <f>'Studio Rain System'!M68</f>
        <v>0.745</v>
      </c>
      <c r="G56" s="177">
        <v>125600</v>
      </c>
      <c r="H56" s="178">
        <f t="shared" si="0"/>
        <v>2289508.5714285714</v>
      </c>
      <c r="I56" s="128">
        <f t="shared" si="4"/>
        <v>2.2895085714285712</v>
      </c>
      <c r="J56" s="193">
        <f>IF( 'Organized Input Output'!$AD$5= "y", $K$4*(D56*1000)/$K$3, 0)</f>
        <v>63800</v>
      </c>
      <c r="K56" s="43">
        <f t="shared" si="5"/>
        <v>63.8</v>
      </c>
      <c r="L56" s="43">
        <f t="shared" si="6"/>
        <v>127600000</v>
      </c>
      <c r="M56" s="180">
        <f t="shared" si="1"/>
        <v>127.6</v>
      </c>
      <c r="N56" s="43">
        <f t="shared" si="7"/>
        <v>1200</v>
      </c>
      <c r="O56" s="128">
        <f t="shared" si="2"/>
        <v>4.32</v>
      </c>
      <c r="P56" s="181">
        <f t="shared" si="8"/>
        <v>134.20950857142856</v>
      </c>
      <c r="Q56" s="209">
        <f>IF( 'Organized Input Output'!$AF$9 = "y", P56 / ($Q$3 * $Q$4), 0)</f>
        <v>0</v>
      </c>
      <c r="R56" s="209">
        <f t="shared" si="9"/>
        <v>0</v>
      </c>
      <c r="S56" s="43">
        <f>IF( 'Organized Input Output'!$AF$9 = "y", IF(R56= 0, 1, 0), 0)</f>
        <v>0</v>
      </c>
      <c r="T56" s="209">
        <f t="shared" si="11"/>
        <v>0</v>
      </c>
      <c r="U56" s="43">
        <f>IF( 'Organized Input Output'!$AF$9 = "y", IF(T56= 0, 1, 0), 0)</f>
        <v>0</v>
      </c>
      <c r="V56" s="43">
        <f t="shared" si="3"/>
        <v>0</v>
      </c>
      <c r="W56" s="43">
        <f t="shared" si="10"/>
        <v>0</v>
      </c>
      <c r="X56" s="43">
        <f t="shared" si="13"/>
        <v>0</v>
      </c>
      <c r="Y56" s="43">
        <f t="shared" si="12"/>
        <v>0</v>
      </c>
    </row>
    <row r="57" spans="1:25" ht="15" customHeight="1">
      <c r="A57" s="43">
        <v>47</v>
      </c>
      <c r="B57" s="176">
        <v>0</v>
      </c>
      <c r="C57" s="126">
        <f>'Studio Rain System'!J69</f>
        <v>19</v>
      </c>
      <c r="D57" s="104">
        <f>'Studio Rain System'!K69</f>
        <v>20.9</v>
      </c>
      <c r="E57" s="104">
        <f>'Studio Rain System'!L69</f>
        <v>20</v>
      </c>
      <c r="F57" s="104">
        <f>'Studio Rain System'!M69</f>
        <v>0.745</v>
      </c>
      <c r="G57" s="177">
        <v>125600</v>
      </c>
      <c r="H57" s="178">
        <f t="shared" si="0"/>
        <v>3750057.1428571432</v>
      </c>
      <c r="I57" s="128">
        <f t="shared" si="4"/>
        <v>3.750057142857143</v>
      </c>
      <c r="J57" s="193">
        <f>IF( 'Organized Input Output'!$AD$5= "y", $K$4*(D57*1000)/$K$3, 0)</f>
        <v>104500</v>
      </c>
      <c r="K57" s="43">
        <f t="shared" si="5"/>
        <v>104.5</v>
      </c>
      <c r="L57" s="43">
        <f t="shared" si="6"/>
        <v>209000000</v>
      </c>
      <c r="M57" s="180">
        <f t="shared" si="1"/>
        <v>209</v>
      </c>
      <c r="N57" s="43">
        <f t="shared" si="7"/>
        <v>1200</v>
      </c>
      <c r="O57" s="128">
        <f t="shared" si="2"/>
        <v>4.32</v>
      </c>
      <c r="P57" s="181">
        <f t="shared" si="8"/>
        <v>217.07005714285714</v>
      </c>
      <c r="Q57" s="209">
        <f>IF( 'Organized Input Output'!$AF$9 = "y", P57 / ($Q$3 * $Q$4), 0)</f>
        <v>0</v>
      </c>
      <c r="R57" s="209">
        <f t="shared" si="9"/>
        <v>0</v>
      </c>
      <c r="S57" s="43">
        <f>IF( 'Organized Input Output'!$AF$9 = "y", IF(R57= 0, 1, 0), 0)</f>
        <v>0</v>
      </c>
      <c r="T57" s="209">
        <f t="shared" si="11"/>
        <v>0</v>
      </c>
      <c r="U57" s="43">
        <f>IF( 'Organized Input Output'!$AF$9 = "y", IF(T57= 0, 1, 0), 0)</f>
        <v>0</v>
      </c>
      <c r="V57" s="43">
        <f t="shared" si="3"/>
        <v>0</v>
      </c>
      <c r="W57" s="43">
        <f t="shared" si="10"/>
        <v>0</v>
      </c>
      <c r="X57" s="43">
        <f t="shared" si="13"/>
        <v>0</v>
      </c>
      <c r="Y57" s="43">
        <f t="shared" si="12"/>
        <v>0</v>
      </c>
    </row>
    <row r="58" spans="1:25" ht="15" customHeight="1">
      <c r="A58" s="43">
        <v>48</v>
      </c>
      <c r="B58" s="176">
        <v>0</v>
      </c>
      <c r="C58" s="126">
        <f>'Studio Rain System'!J70</f>
        <v>9.1999999999999993</v>
      </c>
      <c r="D58" s="104">
        <f>'Studio Rain System'!K70</f>
        <v>10.119999999999999</v>
      </c>
      <c r="E58" s="104">
        <f>'Studio Rain System'!L70</f>
        <v>20</v>
      </c>
      <c r="F58" s="104">
        <f>'Studio Rain System'!M70</f>
        <v>0.745</v>
      </c>
      <c r="G58" s="177">
        <v>125600</v>
      </c>
      <c r="H58" s="178">
        <f t="shared" si="0"/>
        <v>1815817.142857143</v>
      </c>
      <c r="I58" s="128">
        <f t="shared" si="4"/>
        <v>1.815817142857143</v>
      </c>
      <c r="J58" s="193">
        <f>IF( 'Organized Input Output'!$AD$5= "y", $K$4*(D58*1000)/$K$3, 0)</f>
        <v>50600</v>
      </c>
      <c r="K58" s="43">
        <f t="shared" si="5"/>
        <v>50.6</v>
      </c>
      <c r="L58" s="43">
        <f t="shared" si="6"/>
        <v>101200000</v>
      </c>
      <c r="M58" s="180">
        <f t="shared" si="1"/>
        <v>101.2</v>
      </c>
      <c r="N58" s="43">
        <f t="shared" si="7"/>
        <v>1200</v>
      </c>
      <c r="O58" s="128">
        <f t="shared" si="2"/>
        <v>4.32</v>
      </c>
      <c r="P58" s="181">
        <f t="shared" si="8"/>
        <v>107.33581714285714</v>
      </c>
      <c r="Q58" s="209">
        <f>IF( 'Organized Input Output'!$AF$9 = "y", P58 / ($Q$3 * $Q$4), 0)</f>
        <v>0</v>
      </c>
      <c r="R58" s="209">
        <f t="shared" si="9"/>
        <v>0</v>
      </c>
      <c r="S58" s="43">
        <f>IF( 'Organized Input Output'!$AF$9 = "y", IF(R58= 0, 1, 0), 0)</f>
        <v>0</v>
      </c>
      <c r="T58" s="209">
        <f t="shared" si="11"/>
        <v>0</v>
      </c>
      <c r="U58" s="43">
        <f>IF( 'Organized Input Output'!$AF$9 = "y", IF(T58= 0, 1, 0), 0)</f>
        <v>0</v>
      </c>
      <c r="V58" s="43">
        <f t="shared" si="3"/>
        <v>0</v>
      </c>
      <c r="W58" s="43">
        <f t="shared" si="10"/>
        <v>0</v>
      </c>
      <c r="X58" s="43">
        <f t="shared" si="13"/>
        <v>0</v>
      </c>
      <c r="Y58" s="43">
        <f t="shared" si="12"/>
        <v>0</v>
      </c>
    </row>
    <row r="59" spans="1:25" ht="15" customHeight="1">
      <c r="A59" s="43">
        <v>49</v>
      </c>
      <c r="B59" s="176">
        <v>0</v>
      </c>
      <c r="C59" s="126">
        <f>'Studio Rain System'!J71</f>
        <v>12.6</v>
      </c>
      <c r="D59" s="104">
        <f>'Studio Rain System'!K71</f>
        <v>13.86</v>
      </c>
      <c r="E59" s="104">
        <f>'Studio Rain System'!L71</f>
        <v>20</v>
      </c>
      <c r="F59" s="104">
        <f>'Studio Rain System'!M71</f>
        <v>0.745</v>
      </c>
      <c r="G59" s="177">
        <v>125600</v>
      </c>
      <c r="H59" s="178">
        <f t="shared" si="0"/>
        <v>2486880</v>
      </c>
      <c r="I59" s="128">
        <f t="shared" si="4"/>
        <v>2.4868800000000002</v>
      </c>
      <c r="J59" s="193">
        <f>IF( 'Organized Input Output'!$AD$5= "y", $K$4*(D59*1000)/$K$3, 0)</f>
        <v>69300</v>
      </c>
      <c r="K59" s="43">
        <f t="shared" si="5"/>
        <v>69.3</v>
      </c>
      <c r="L59" s="43">
        <f t="shared" si="6"/>
        <v>138600000</v>
      </c>
      <c r="M59" s="180">
        <f t="shared" si="1"/>
        <v>138.6</v>
      </c>
      <c r="N59" s="43">
        <f t="shared" si="7"/>
        <v>1200</v>
      </c>
      <c r="O59" s="128">
        <f t="shared" si="2"/>
        <v>4.32</v>
      </c>
      <c r="P59" s="181">
        <f t="shared" si="8"/>
        <v>145.40688</v>
      </c>
      <c r="Q59" s="209">
        <f>IF( 'Organized Input Output'!$AF$9 = "y", P59 / ($Q$3 * $Q$4), 0)</f>
        <v>0</v>
      </c>
      <c r="R59" s="209">
        <f t="shared" si="9"/>
        <v>0</v>
      </c>
      <c r="S59" s="43">
        <f>IF( 'Organized Input Output'!$AF$9 = "y", IF(R59= 0, 1, 0), 0)</f>
        <v>0</v>
      </c>
      <c r="T59" s="209">
        <f t="shared" si="11"/>
        <v>0</v>
      </c>
      <c r="U59" s="43">
        <f>IF( 'Organized Input Output'!$AF$9 = "y", IF(T59= 0, 1, 0), 0)</f>
        <v>0</v>
      </c>
      <c r="V59" s="43">
        <f t="shared" si="3"/>
        <v>0</v>
      </c>
      <c r="W59" s="43">
        <f t="shared" si="10"/>
        <v>0</v>
      </c>
      <c r="X59" s="43">
        <f t="shared" si="13"/>
        <v>0</v>
      </c>
      <c r="Y59" s="43">
        <f t="shared" si="12"/>
        <v>0</v>
      </c>
    </row>
    <row r="60" spans="1:25" ht="15" customHeight="1">
      <c r="A60" s="43">
        <v>50</v>
      </c>
      <c r="B60" s="176">
        <v>0</v>
      </c>
      <c r="C60" s="126">
        <f>'Studio Rain System'!J72</f>
        <v>21.8</v>
      </c>
      <c r="D60" s="104">
        <f>'Studio Rain System'!K72</f>
        <v>23.98</v>
      </c>
      <c r="E60" s="104">
        <f>'Studio Rain System'!L72</f>
        <v>20</v>
      </c>
      <c r="F60" s="104">
        <f>'Studio Rain System'!M72</f>
        <v>0.745</v>
      </c>
      <c r="G60" s="177">
        <v>125600</v>
      </c>
      <c r="H60" s="178">
        <f t="shared" si="0"/>
        <v>4302697.1428571427</v>
      </c>
      <c r="I60" s="128">
        <f t="shared" si="4"/>
        <v>4.3026971428571423</v>
      </c>
      <c r="J60" s="193">
        <f>IF( 'Organized Input Output'!$AD$5= "y", $K$4*(D60*1000)/$K$3, 0)</f>
        <v>119900</v>
      </c>
      <c r="K60" s="43">
        <f t="shared" si="5"/>
        <v>119.9</v>
      </c>
      <c r="L60" s="43">
        <f t="shared" si="6"/>
        <v>239800000</v>
      </c>
      <c r="M60" s="180">
        <f t="shared" si="1"/>
        <v>239.8</v>
      </c>
      <c r="N60" s="43">
        <f t="shared" si="7"/>
        <v>1200</v>
      </c>
      <c r="O60" s="128">
        <f t="shared" si="2"/>
        <v>4.32</v>
      </c>
      <c r="P60" s="181">
        <f t="shared" si="8"/>
        <v>248.42269714285715</v>
      </c>
      <c r="Q60" s="209">
        <f>IF( 'Organized Input Output'!$AF$9 = "y", P60 / ($Q$3 * $Q$4), 0)</f>
        <v>0</v>
      </c>
      <c r="R60" s="209">
        <f t="shared" si="9"/>
        <v>0</v>
      </c>
      <c r="S60" s="43">
        <f>IF( 'Organized Input Output'!$AF$9 = "y", IF(R60= 0, 1, 0), 0)</f>
        <v>0</v>
      </c>
      <c r="T60" s="209">
        <f t="shared" si="11"/>
        <v>0</v>
      </c>
      <c r="U60" s="43">
        <f>IF( 'Organized Input Output'!$AF$9 = "y", IF(T60= 0, 1, 0), 0)</f>
        <v>0</v>
      </c>
      <c r="V60" s="43">
        <f t="shared" si="3"/>
        <v>0</v>
      </c>
      <c r="W60" s="43">
        <f t="shared" si="10"/>
        <v>0</v>
      </c>
      <c r="X60" s="43">
        <f t="shared" si="13"/>
        <v>0</v>
      </c>
      <c r="Y60" s="43">
        <f t="shared" si="12"/>
        <v>0</v>
      </c>
    </row>
    <row r="61" spans="1:25" ht="15" customHeight="1">
      <c r="A61" s="43">
        <v>51</v>
      </c>
      <c r="B61" s="176">
        <v>2.2000000000000002</v>
      </c>
      <c r="C61" s="126">
        <f>'Studio Rain System'!J73</f>
        <v>2.4</v>
      </c>
      <c r="D61" s="104">
        <f>'Studio Rain System'!K73</f>
        <v>2.6399999999999997</v>
      </c>
      <c r="E61" s="104">
        <f>'Studio Rain System'!L73</f>
        <v>20</v>
      </c>
      <c r="F61" s="104">
        <f>'Studio Rain System'!M73</f>
        <v>0.745</v>
      </c>
      <c r="G61" s="177">
        <v>125600</v>
      </c>
      <c r="H61" s="178">
        <f t="shared" si="0"/>
        <v>473691.42857142852</v>
      </c>
      <c r="I61" s="128">
        <f t="shared" si="4"/>
        <v>0.47369142857142854</v>
      </c>
      <c r="J61" s="193">
        <f>IF( 'Organized Input Output'!$AD$5= "y", $K$4*(D61*1000)/$K$3, 0)</f>
        <v>13199.999999999996</v>
      </c>
      <c r="K61" s="43">
        <f t="shared" si="5"/>
        <v>13.199999999999996</v>
      </c>
      <c r="L61" s="43">
        <f t="shared" si="6"/>
        <v>26399999.999999993</v>
      </c>
      <c r="M61" s="180">
        <f t="shared" si="1"/>
        <v>26.399999999999991</v>
      </c>
      <c r="N61" s="43">
        <f t="shared" si="7"/>
        <v>1200</v>
      </c>
      <c r="O61" s="128">
        <f t="shared" si="2"/>
        <v>4.32</v>
      </c>
      <c r="P61" s="181">
        <f t="shared" si="8"/>
        <v>31.19369142857142</v>
      </c>
      <c r="Q61" s="209">
        <f>IF( 'Organized Input Output'!$AF$9 = "y", P61 / ($Q$3 * $Q$4), 0)</f>
        <v>0</v>
      </c>
      <c r="R61" s="209">
        <f t="shared" si="9"/>
        <v>0</v>
      </c>
      <c r="S61" s="43">
        <f>IF( 'Organized Input Output'!$AF$9 = "y", IF(R61= 0, 1, 0), 0)</f>
        <v>0</v>
      </c>
      <c r="T61" s="209">
        <f t="shared" si="11"/>
        <v>0</v>
      </c>
      <c r="U61" s="43">
        <f>IF( 'Organized Input Output'!$AF$9 = "y", IF(T61= 0, 1, 0), 0)</f>
        <v>0</v>
      </c>
      <c r="V61" s="43">
        <f t="shared" si="3"/>
        <v>0</v>
      </c>
      <c r="W61" s="43">
        <f t="shared" si="10"/>
        <v>0</v>
      </c>
      <c r="X61" s="43">
        <f t="shared" si="13"/>
        <v>0</v>
      </c>
      <c r="Y61" s="43">
        <f t="shared" si="12"/>
        <v>0</v>
      </c>
    </row>
    <row r="62" spans="1:25" ht="15" customHeight="1">
      <c r="A62" s="43">
        <v>52</v>
      </c>
      <c r="B62" s="176">
        <v>9</v>
      </c>
      <c r="C62" s="126">
        <f>'Studio Rain System'!J74</f>
        <v>0.8</v>
      </c>
      <c r="D62" s="104">
        <f>'Studio Rain System'!K74</f>
        <v>0.88</v>
      </c>
      <c r="E62" s="104">
        <f>'Studio Rain System'!L74</f>
        <v>20</v>
      </c>
      <c r="F62" s="104">
        <f>'Studio Rain System'!M74</f>
        <v>0.745</v>
      </c>
      <c r="G62" s="177">
        <v>125600</v>
      </c>
      <c r="H62" s="178">
        <f t="shared" si="0"/>
        <v>157897.14285714287</v>
      </c>
      <c r="I62" s="128">
        <f t="shared" si="4"/>
        <v>0.15789714285714287</v>
      </c>
      <c r="J62" s="193">
        <f>IF( 'Organized Input Output'!$AD$5= "y", $K$4*(D62*1000)/$K$3, 0)</f>
        <v>4400</v>
      </c>
      <c r="K62" s="43">
        <f t="shared" si="5"/>
        <v>4.4000000000000004</v>
      </c>
      <c r="L62" s="43">
        <f t="shared" si="6"/>
        <v>8800000</v>
      </c>
      <c r="M62" s="180">
        <f t="shared" si="1"/>
        <v>8.8000000000000007</v>
      </c>
      <c r="N62" s="43">
        <f t="shared" si="7"/>
        <v>1200</v>
      </c>
      <c r="O62" s="128">
        <f t="shared" si="2"/>
        <v>4.32</v>
      </c>
      <c r="P62" s="181">
        <f t="shared" si="8"/>
        <v>13.277897142857144</v>
      </c>
      <c r="Q62" s="209">
        <f>IF( 'Organized Input Output'!$AF$9 = "y", P62 / ($Q$3 * $Q$4), 0)</f>
        <v>0</v>
      </c>
      <c r="R62" s="209">
        <f t="shared" si="9"/>
        <v>0</v>
      </c>
      <c r="S62" s="43">
        <f>IF( 'Organized Input Output'!$AF$9 = "y", IF(R62= 0, 1, 0), 0)</f>
        <v>0</v>
      </c>
      <c r="T62" s="209">
        <f t="shared" si="11"/>
        <v>0</v>
      </c>
      <c r="U62" s="43">
        <f>IF( 'Organized Input Output'!$AF$9 = "y", IF(T62= 0, 1, 0), 0)</f>
        <v>0</v>
      </c>
      <c r="V62" s="43">
        <f t="shared" si="3"/>
        <v>0</v>
      </c>
      <c r="W62" s="43">
        <f t="shared" si="10"/>
        <v>0</v>
      </c>
      <c r="X62" s="43">
        <f t="shared" si="13"/>
        <v>0</v>
      </c>
      <c r="Y62" s="43">
        <f t="shared" si="12"/>
        <v>0</v>
      </c>
    </row>
    <row r="63" spans="1:25" ht="15" customHeight="1">
      <c r="A63" s="43">
        <v>53</v>
      </c>
      <c r="B63" s="176">
        <v>10.6</v>
      </c>
      <c r="C63" s="126">
        <f>'Studio Rain System'!J75</f>
        <v>4.8</v>
      </c>
      <c r="D63" s="104">
        <f>'Studio Rain System'!K75</f>
        <v>5.2799999999999994</v>
      </c>
      <c r="E63" s="104">
        <f>'Studio Rain System'!L75</f>
        <v>20</v>
      </c>
      <c r="F63" s="104">
        <f>'Studio Rain System'!M75</f>
        <v>0.745</v>
      </c>
      <c r="G63" s="177">
        <v>125600</v>
      </c>
      <c r="H63" s="178">
        <f t="shared" si="0"/>
        <v>947382.85714285704</v>
      </c>
      <c r="I63" s="128">
        <f t="shared" si="4"/>
        <v>0.94738285714285708</v>
      </c>
      <c r="J63" s="193">
        <f>IF( 'Organized Input Output'!$AD$5= "y", $K$4*(D63*1000)/$K$3, 0)</f>
        <v>26399.999999999993</v>
      </c>
      <c r="K63" s="43">
        <f t="shared" si="5"/>
        <v>26.399999999999991</v>
      </c>
      <c r="L63" s="43">
        <f t="shared" si="6"/>
        <v>52799999.999999985</v>
      </c>
      <c r="M63" s="180">
        <f t="shared" si="1"/>
        <v>52.799999999999983</v>
      </c>
      <c r="N63" s="43">
        <f t="shared" si="7"/>
        <v>1200</v>
      </c>
      <c r="O63" s="128">
        <f t="shared" si="2"/>
        <v>4.32</v>
      </c>
      <c r="P63" s="181">
        <f t="shared" si="8"/>
        <v>58.067382857142839</v>
      </c>
      <c r="Q63" s="209">
        <f>IF( 'Organized Input Output'!$AF$9 = "y", P63 / ($Q$3 * $Q$4), 0)</f>
        <v>0</v>
      </c>
      <c r="R63" s="209">
        <f t="shared" si="9"/>
        <v>0</v>
      </c>
      <c r="S63" s="43">
        <f>IF( 'Organized Input Output'!$AF$9 = "y", IF(R63= 0, 1, 0), 0)</f>
        <v>0</v>
      </c>
      <c r="T63" s="209">
        <f t="shared" si="11"/>
        <v>0</v>
      </c>
      <c r="U63" s="43">
        <f>IF( 'Organized Input Output'!$AF$9 = "y", IF(T63= 0, 1, 0), 0)</f>
        <v>0</v>
      </c>
      <c r="V63" s="43">
        <f t="shared" si="3"/>
        <v>0</v>
      </c>
      <c r="W63" s="43">
        <f t="shared" si="10"/>
        <v>0</v>
      </c>
      <c r="X63" s="43">
        <f t="shared" si="13"/>
        <v>0</v>
      </c>
      <c r="Y63" s="43">
        <f t="shared" si="12"/>
        <v>0</v>
      </c>
    </row>
    <row r="64" spans="1:25" ht="15" customHeight="1">
      <c r="A64" s="43">
        <v>54</v>
      </c>
      <c r="B64" s="176">
        <v>4.5999999999999996</v>
      </c>
      <c r="C64" s="126">
        <f>'Studio Rain System'!J76</f>
        <v>14.6</v>
      </c>
      <c r="D64" s="104">
        <f>'Studio Rain System'!K76</f>
        <v>16.059999999999999</v>
      </c>
      <c r="E64" s="104">
        <f>'Studio Rain System'!L76</f>
        <v>20</v>
      </c>
      <c r="F64" s="104">
        <f>'Studio Rain System'!M76</f>
        <v>0.745</v>
      </c>
      <c r="G64" s="177">
        <v>125600</v>
      </c>
      <c r="H64" s="178">
        <f t="shared" si="0"/>
        <v>2881622.8571428568</v>
      </c>
      <c r="I64" s="128">
        <f t="shared" si="4"/>
        <v>2.8816228571428568</v>
      </c>
      <c r="J64" s="193">
        <f>IF( 'Organized Input Output'!$AD$5= "y", $K$4*(D64*1000)/$K$3, 0)</f>
        <v>80299.999999999985</v>
      </c>
      <c r="K64" s="43">
        <f t="shared" si="5"/>
        <v>80.299999999999983</v>
      </c>
      <c r="L64" s="43">
        <f t="shared" si="6"/>
        <v>160599999.99999997</v>
      </c>
      <c r="M64" s="180">
        <f t="shared" si="1"/>
        <v>160.59999999999997</v>
      </c>
      <c r="N64" s="43">
        <f t="shared" si="7"/>
        <v>1200</v>
      </c>
      <c r="O64" s="128">
        <f t="shared" si="2"/>
        <v>4.32</v>
      </c>
      <c r="P64" s="181">
        <f t="shared" si="8"/>
        <v>167.8016228571428</v>
      </c>
      <c r="Q64" s="209">
        <f>IF( 'Organized Input Output'!$AF$9 = "y", P64 / ($Q$3 * $Q$4), 0)</f>
        <v>0</v>
      </c>
      <c r="R64" s="209">
        <f t="shared" si="9"/>
        <v>0</v>
      </c>
      <c r="S64" s="43">
        <f>IF( 'Organized Input Output'!$AF$9 = "y", IF(R64= 0, 1, 0), 0)</f>
        <v>0</v>
      </c>
      <c r="T64" s="209">
        <f t="shared" si="11"/>
        <v>0</v>
      </c>
      <c r="U64" s="43">
        <f>IF( 'Organized Input Output'!$AF$9 = "y", IF(T64= 0, 1, 0), 0)</f>
        <v>0</v>
      </c>
      <c r="V64" s="43">
        <f t="shared" si="3"/>
        <v>0</v>
      </c>
      <c r="W64" s="43">
        <f t="shared" si="10"/>
        <v>0</v>
      </c>
      <c r="X64" s="43">
        <f t="shared" si="13"/>
        <v>0</v>
      </c>
      <c r="Y64" s="43">
        <f t="shared" si="12"/>
        <v>0</v>
      </c>
    </row>
    <row r="65" spans="1:25" ht="15" customHeight="1">
      <c r="A65" s="43">
        <v>55</v>
      </c>
      <c r="B65" s="176">
        <v>23.6</v>
      </c>
      <c r="C65" s="126">
        <f>'Studio Rain System'!J77</f>
        <v>6.8</v>
      </c>
      <c r="D65" s="104">
        <f>'Studio Rain System'!K77</f>
        <v>7.4799999999999995</v>
      </c>
      <c r="E65" s="104">
        <f>'Studio Rain System'!L77</f>
        <v>20</v>
      </c>
      <c r="F65" s="104">
        <f>'Studio Rain System'!M77</f>
        <v>0.745</v>
      </c>
      <c r="G65" s="177">
        <v>125600</v>
      </c>
      <c r="H65" s="178">
        <f t="shared" si="0"/>
        <v>1342125.7142857143</v>
      </c>
      <c r="I65" s="128">
        <f t="shared" si="4"/>
        <v>1.3421257142857144</v>
      </c>
      <c r="J65" s="193">
        <f>IF( 'Organized Input Output'!$AD$5= "y", $K$4*(D65*1000)/$K$3, 0)</f>
        <v>37399.999999999993</v>
      </c>
      <c r="K65" s="43">
        <f t="shared" si="5"/>
        <v>37.399999999999991</v>
      </c>
      <c r="L65" s="43">
        <f t="shared" si="6"/>
        <v>74799999.999999985</v>
      </c>
      <c r="M65" s="180">
        <f t="shared" si="1"/>
        <v>74.799999999999983</v>
      </c>
      <c r="N65" s="43">
        <f t="shared" si="7"/>
        <v>1200</v>
      </c>
      <c r="O65" s="128">
        <f t="shared" si="2"/>
        <v>4.32</v>
      </c>
      <c r="P65" s="181">
        <f t="shared" si="8"/>
        <v>80.46212571428569</v>
      </c>
      <c r="Q65" s="209">
        <f>IF( 'Organized Input Output'!$AF$9 = "y", P65 / ($Q$3 * $Q$4), 0)</f>
        <v>0</v>
      </c>
      <c r="R65" s="209">
        <f t="shared" si="9"/>
        <v>0</v>
      </c>
      <c r="S65" s="43">
        <f>IF( 'Organized Input Output'!$AF$9 = "y", IF(R65= 0, 1, 0), 0)</f>
        <v>0</v>
      </c>
      <c r="T65" s="209">
        <f t="shared" si="11"/>
        <v>0</v>
      </c>
      <c r="U65" s="43">
        <f>IF( 'Organized Input Output'!$AF$9 = "y", IF(T65= 0, 1, 0), 0)</f>
        <v>0</v>
      </c>
      <c r="V65" s="43">
        <f t="shared" si="3"/>
        <v>0</v>
      </c>
      <c r="W65" s="43">
        <f t="shared" si="10"/>
        <v>0</v>
      </c>
      <c r="X65" s="43">
        <f t="shared" si="13"/>
        <v>0</v>
      </c>
      <c r="Y65" s="43">
        <f t="shared" si="12"/>
        <v>0</v>
      </c>
    </row>
    <row r="66" spans="1:25" ht="15" customHeight="1">
      <c r="A66" s="43">
        <v>56</v>
      </c>
      <c r="B66" s="176">
        <v>1.6</v>
      </c>
      <c r="C66" s="126">
        <f>'Studio Rain System'!J78</f>
        <v>0</v>
      </c>
      <c r="D66" s="104">
        <f>'Studio Rain System'!K78</f>
        <v>0</v>
      </c>
      <c r="E66" s="104">
        <f>'Studio Rain System'!L78</f>
        <v>19.254999999999999</v>
      </c>
      <c r="F66" s="104">
        <f>'Studio Rain System'!M78</f>
        <v>0.745</v>
      </c>
      <c r="G66" s="177">
        <v>125600</v>
      </c>
      <c r="H66" s="178">
        <f t="shared" si="0"/>
        <v>0</v>
      </c>
      <c r="I66" s="128">
        <f t="shared" si="4"/>
        <v>0</v>
      </c>
      <c r="J66" s="193">
        <f>IF( 'Organized Input Output'!$AD$5= "y", $K$4*(D66*1000)/$K$3, 0)</f>
        <v>0</v>
      </c>
      <c r="K66" s="43">
        <f t="shared" si="5"/>
        <v>0</v>
      </c>
      <c r="L66" s="43">
        <f t="shared" si="6"/>
        <v>0</v>
      </c>
      <c r="M66" s="180">
        <f t="shared" si="1"/>
        <v>0</v>
      </c>
      <c r="N66" s="43">
        <f t="shared" si="7"/>
        <v>1200</v>
      </c>
      <c r="O66" s="128">
        <f t="shared" si="2"/>
        <v>4.32</v>
      </c>
      <c r="P66" s="181">
        <f t="shared" si="8"/>
        <v>4.32</v>
      </c>
      <c r="Q66" s="209">
        <f>IF( 'Organized Input Output'!$AF$9 = "y", P66 / ($Q$3 * $Q$4), 0)</f>
        <v>0</v>
      </c>
      <c r="R66" s="209">
        <f t="shared" si="9"/>
        <v>0</v>
      </c>
      <c r="S66" s="43">
        <f>IF( 'Organized Input Output'!$AF$9 = "y", IF(R66= 0, 1, 0), 0)</f>
        <v>0</v>
      </c>
      <c r="T66" s="209">
        <f t="shared" si="11"/>
        <v>0</v>
      </c>
      <c r="U66" s="43">
        <f>IF( 'Organized Input Output'!$AF$9 = "y", IF(T66= 0, 1, 0), 0)</f>
        <v>0</v>
      </c>
      <c r="V66" s="43">
        <f t="shared" si="3"/>
        <v>0</v>
      </c>
      <c r="W66" s="43">
        <f t="shared" si="10"/>
        <v>0</v>
      </c>
      <c r="X66" s="43">
        <f t="shared" si="13"/>
        <v>0</v>
      </c>
      <c r="Y66" s="43">
        <f t="shared" si="12"/>
        <v>0</v>
      </c>
    </row>
    <row r="67" spans="1:25" ht="15" customHeight="1">
      <c r="A67" s="43">
        <v>57</v>
      </c>
      <c r="B67" s="176">
        <v>2.2000000000000002</v>
      </c>
      <c r="C67" s="126">
        <f>'Studio Rain System'!J79</f>
        <v>0.8</v>
      </c>
      <c r="D67" s="104">
        <f>'Studio Rain System'!K79</f>
        <v>0.88</v>
      </c>
      <c r="E67" s="104">
        <f>'Studio Rain System'!L79</f>
        <v>19.389999999999997</v>
      </c>
      <c r="F67" s="104">
        <f>'Studio Rain System'!M79</f>
        <v>0.745</v>
      </c>
      <c r="G67" s="177">
        <v>125600</v>
      </c>
      <c r="H67" s="178">
        <f t="shared" si="0"/>
        <v>157897.14285714287</v>
      </c>
      <c r="I67" s="128">
        <f t="shared" si="4"/>
        <v>0.15789714285714287</v>
      </c>
      <c r="J67" s="193">
        <f>IF( 'Organized Input Output'!$AD$5= "y", $K$4*(D67*1000)/$K$3, 0)</f>
        <v>4400</v>
      </c>
      <c r="K67" s="43">
        <f t="shared" si="5"/>
        <v>4.4000000000000004</v>
      </c>
      <c r="L67" s="43">
        <f t="shared" si="6"/>
        <v>8800000</v>
      </c>
      <c r="M67" s="180">
        <f t="shared" si="1"/>
        <v>8.8000000000000007</v>
      </c>
      <c r="N67" s="43">
        <f t="shared" si="7"/>
        <v>1200</v>
      </c>
      <c r="O67" s="128">
        <f t="shared" si="2"/>
        <v>4.32</v>
      </c>
      <c r="P67" s="181">
        <f t="shared" si="8"/>
        <v>13.277897142857144</v>
      </c>
      <c r="Q67" s="209">
        <f>IF( 'Organized Input Output'!$AF$9 = "y", P67 / ($Q$3 * $Q$4), 0)</f>
        <v>0</v>
      </c>
      <c r="R67" s="209">
        <f t="shared" si="9"/>
        <v>0</v>
      </c>
      <c r="S67" s="43">
        <f>IF( 'Organized Input Output'!$AF$9 = "y", IF(R67= 0, 1, 0), 0)</f>
        <v>0</v>
      </c>
      <c r="T67" s="209">
        <f t="shared" si="11"/>
        <v>0</v>
      </c>
      <c r="U67" s="43">
        <f>IF( 'Organized Input Output'!$AF$9 = "y", IF(T67= 0, 1, 0), 0)</f>
        <v>0</v>
      </c>
      <c r="V67" s="43">
        <f t="shared" si="3"/>
        <v>0</v>
      </c>
      <c r="W67" s="43">
        <f t="shared" si="10"/>
        <v>0</v>
      </c>
      <c r="X67" s="43">
        <f t="shared" si="13"/>
        <v>0</v>
      </c>
      <c r="Y67" s="43">
        <f t="shared" si="12"/>
        <v>0</v>
      </c>
    </row>
    <row r="68" spans="1:25" ht="15" customHeight="1">
      <c r="A68" s="43">
        <v>58</v>
      </c>
      <c r="B68" s="176">
        <v>0.2</v>
      </c>
      <c r="C68" s="126">
        <f>'Studio Rain System'!J80</f>
        <v>0</v>
      </c>
      <c r="D68" s="104">
        <f>'Studio Rain System'!K80</f>
        <v>0</v>
      </c>
      <c r="E68" s="104">
        <f>'Studio Rain System'!L80</f>
        <v>18.644999999999996</v>
      </c>
      <c r="F68" s="104">
        <f>'Studio Rain System'!M80</f>
        <v>0.745</v>
      </c>
      <c r="G68" s="177">
        <v>125600</v>
      </c>
      <c r="H68" s="178">
        <f t="shared" si="0"/>
        <v>0</v>
      </c>
      <c r="I68" s="128">
        <f t="shared" si="4"/>
        <v>0</v>
      </c>
      <c r="J68" s="193">
        <f>IF( 'Organized Input Output'!$AD$5= "y", $K$4*(D68*1000)/$K$3, 0)</f>
        <v>0</v>
      </c>
      <c r="K68" s="43">
        <f t="shared" si="5"/>
        <v>0</v>
      </c>
      <c r="L68" s="43">
        <f t="shared" si="6"/>
        <v>0</v>
      </c>
      <c r="M68" s="180">
        <f t="shared" si="1"/>
        <v>0</v>
      </c>
      <c r="N68" s="43">
        <f t="shared" si="7"/>
        <v>1200</v>
      </c>
      <c r="O68" s="128">
        <f t="shared" si="2"/>
        <v>4.32</v>
      </c>
      <c r="P68" s="181">
        <f t="shared" si="8"/>
        <v>4.32</v>
      </c>
      <c r="Q68" s="209">
        <f>IF( 'Organized Input Output'!$AF$9 = "y", P68 / ($Q$3 * $Q$4), 0)</f>
        <v>0</v>
      </c>
      <c r="R68" s="209">
        <f t="shared" si="9"/>
        <v>0</v>
      </c>
      <c r="S68" s="43">
        <f>IF( 'Organized Input Output'!$AF$9 = "y", IF(R68= 0, 1, 0), 0)</f>
        <v>0</v>
      </c>
      <c r="T68" s="209">
        <f t="shared" si="11"/>
        <v>0</v>
      </c>
      <c r="U68" s="43">
        <f>IF( 'Organized Input Output'!$AF$9 = "y", IF(T68= 0, 1, 0), 0)</f>
        <v>0</v>
      </c>
      <c r="V68" s="43">
        <f t="shared" si="3"/>
        <v>0</v>
      </c>
      <c r="W68" s="43">
        <f t="shared" si="10"/>
        <v>0</v>
      </c>
      <c r="X68" s="43">
        <f t="shared" si="13"/>
        <v>0</v>
      </c>
      <c r="Y68" s="43">
        <f t="shared" si="12"/>
        <v>0</v>
      </c>
    </row>
    <row r="69" spans="1:25" ht="15" customHeight="1">
      <c r="A69" s="43">
        <v>59</v>
      </c>
      <c r="B69" s="176">
        <v>8.6</v>
      </c>
      <c r="C69" s="126">
        <f>'Studio Rain System'!J81</f>
        <v>0.4</v>
      </c>
      <c r="D69" s="104">
        <f>'Studio Rain System'!K81</f>
        <v>0.44</v>
      </c>
      <c r="E69" s="104">
        <f>'Studio Rain System'!L81</f>
        <v>18.339999999999996</v>
      </c>
      <c r="F69" s="104">
        <f>'Studio Rain System'!M81</f>
        <v>0.745</v>
      </c>
      <c r="G69" s="177">
        <v>125600</v>
      </c>
      <c r="H69" s="178">
        <f t="shared" si="0"/>
        <v>78948.571428571435</v>
      </c>
      <c r="I69" s="128">
        <f t="shared" si="4"/>
        <v>7.8948571428571437E-2</v>
      </c>
      <c r="J69" s="193">
        <f>IF( 'Organized Input Output'!$AD$5= "y", $K$4*(D69*1000)/$K$3, 0)</f>
        <v>2200</v>
      </c>
      <c r="K69" s="43">
        <f t="shared" si="5"/>
        <v>2.2000000000000002</v>
      </c>
      <c r="L69" s="43">
        <f t="shared" si="6"/>
        <v>4400000</v>
      </c>
      <c r="M69" s="180">
        <f t="shared" si="1"/>
        <v>4.4000000000000004</v>
      </c>
      <c r="N69" s="43">
        <f t="shared" si="7"/>
        <v>1200</v>
      </c>
      <c r="O69" s="128">
        <f t="shared" si="2"/>
        <v>4.32</v>
      </c>
      <c r="P69" s="181">
        <f t="shared" si="8"/>
        <v>8.7989485714285713</v>
      </c>
      <c r="Q69" s="209">
        <f>IF( 'Organized Input Output'!$AF$9 = "y", P69 / ($Q$3 * $Q$4), 0)</f>
        <v>0</v>
      </c>
      <c r="R69" s="209">
        <f t="shared" si="9"/>
        <v>0</v>
      </c>
      <c r="S69" s="43">
        <f>IF( 'Organized Input Output'!$AF$9 = "y", IF(R69= 0, 1, 0), 0)</f>
        <v>0</v>
      </c>
      <c r="T69" s="209">
        <f t="shared" si="11"/>
        <v>0</v>
      </c>
      <c r="U69" s="43">
        <f>IF( 'Organized Input Output'!$AF$9 = "y", IF(T69= 0, 1, 0), 0)</f>
        <v>0</v>
      </c>
      <c r="V69" s="43">
        <f t="shared" si="3"/>
        <v>0</v>
      </c>
      <c r="W69" s="43">
        <f t="shared" si="10"/>
        <v>0</v>
      </c>
      <c r="X69" s="43">
        <f t="shared" si="13"/>
        <v>0</v>
      </c>
      <c r="Y69" s="43">
        <f t="shared" si="12"/>
        <v>0</v>
      </c>
    </row>
    <row r="70" spans="1:25" s="216" customFormat="1" ht="15" customHeight="1">
      <c r="A70" s="216">
        <v>60</v>
      </c>
      <c r="B70" s="217">
        <v>2</v>
      </c>
      <c r="C70" s="218">
        <f>'Studio Rain System'!J82</f>
        <v>2</v>
      </c>
      <c r="D70" s="219">
        <f>'Studio Rain System'!K82</f>
        <v>2.2000000000000002</v>
      </c>
      <c r="E70" s="219">
        <f>'Studio Rain System'!L82</f>
        <v>19.794999999999995</v>
      </c>
      <c r="F70" s="219">
        <f>'Studio Rain System'!M82</f>
        <v>0.745</v>
      </c>
      <c r="G70" s="220">
        <v>125600</v>
      </c>
      <c r="H70" s="227">
        <f t="shared" si="0"/>
        <v>394742.85714285716</v>
      </c>
      <c r="I70" s="221">
        <f>H70/1000000</f>
        <v>0.39474285714285717</v>
      </c>
      <c r="J70" s="193">
        <f>IF( 'Organized Input Output'!$AD$5= "y", $K$4*(D70*1000)/$K$3, 0)</f>
        <v>11000</v>
      </c>
      <c r="K70" s="216">
        <f>J70/1000</f>
        <v>11</v>
      </c>
      <c r="L70" s="216">
        <f>M70*1000000</f>
        <v>22000000</v>
      </c>
      <c r="M70" s="180">
        <f t="shared" si="1"/>
        <v>22</v>
      </c>
      <c r="N70" s="216">
        <f t="shared" si="7"/>
        <v>1200</v>
      </c>
      <c r="O70" s="221">
        <f t="shared" si="2"/>
        <v>4.32</v>
      </c>
      <c r="P70" s="181">
        <f t="shared" si="8"/>
        <v>26.714742857142859</v>
      </c>
      <c r="Q70" s="224">
        <f>IF( 'Organized Input Output'!$AF$9 = "y", P70 / ($Q$3 * $Q$4), 0)</f>
        <v>0</v>
      </c>
      <c r="R70" s="209">
        <f>IF(R69+Q70 &gt; 100, 0, R69+Q70 )</f>
        <v>0</v>
      </c>
      <c r="S70" s="43">
        <f>IF( 'Organized Input Output'!$AF$9 = "y", IF(R70= 0, 1, 0), 0)</f>
        <v>0</v>
      </c>
      <c r="T70" s="209">
        <f t="shared" si="11"/>
        <v>0</v>
      </c>
      <c r="U70" s="43">
        <f>IF( 'Organized Input Output'!$AF$9 = "y", IF(T70= 0, 1, 0), 0)</f>
        <v>0</v>
      </c>
      <c r="V70" s="43">
        <f t="shared" si="3"/>
        <v>0</v>
      </c>
      <c r="W70" s="216">
        <f t="shared" si="10"/>
        <v>0</v>
      </c>
      <c r="X70" s="216">
        <f t="shared" si="13"/>
        <v>0</v>
      </c>
      <c r="Y70" s="216">
        <f t="shared" si="12"/>
        <v>0</v>
      </c>
    </row>
    <row r="71" spans="1:25" ht="15" customHeight="1">
      <c r="A71" s="43">
        <v>61</v>
      </c>
      <c r="B71" s="176">
        <v>4.4000000000000004</v>
      </c>
      <c r="C71" s="126">
        <f>'Studio Rain System'!J83</f>
        <v>19</v>
      </c>
      <c r="D71" s="104">
        <f>'Studio Rain System'!K83</f>
        <v>20.9</v>
      </c>
      <c r="E71" s="104">
        <f>'Studio Rain System'!L83</f>
        <v>20</v>
      </c>
      <c r="F71" s="104">
        <f>'Studio Rain System'!M83</f>
        <v>0.745</v>
      </c>
      <c r="G71" s="177">
        <v>125600</v>
      </c>
      <c r="H71" s="178">
        <f t="shared" si="0"/>
        <v>3750057.1428571432</v>
      </c>
      <c r="I71" s="128">
        <f t="shared" si="4"/>
        <v>3.750057142857143</v>
      </c>
      <c r="J71" s="193">
        <f>IF( 'Organized Input Output'!$AD$5= "y", $K$4*(D71*1000)/$K$3, 0)</f>
        <v>104500</v>
      </c>
      <c r="K71" s="43">
        <f t="shared" si="5"/>
        <v>104.5</v>
      </c>
      <c r="L71" s="43">
        <f t="shared" si="6"/>
        <v>209000000</v>
      </c>
      <c r="M71" s="180">
        <f t="shared" si="1"/>
        <v>209</v>
      </c>
      <c r="N71" s="43">
        <f t="shared" si="7"/>
        <v>1200</v>
      </c>
      <c r="O71" s="128">
        <f t="shared" si="2"/>
        <v>4.32</v>
      </c>
      <c r="P71" s="181">
        <f t="shared" si="8"/>
        <v>217.07005714285714</v>
      </c>
      <c r="Q71" s="209">
        <f>IF( 'Organized Input Output'!$AF$9 = "y", P71 / ($Q$3 * $Q$4), 0)</f>
        <v>0</v>
      </c>
      <c r="R71" s="209">
        <f t="shared" si="9"/>
        <v>0</v>
      </c>
      <c r="S71" s="43">
        <f>IF( 'Organized Input Output'!$AF$9 = "y", IF(R71= 0, 1, 0), 0)</f>
        <v>0</v>
      </c>
      <c r="T71" s="209">
        <f t="shared" si="11"/>
        <v>0</v>
      </c>
      <c r="U71" s="43">
        <f>IF( 'Organized Input Output'!$AF$9 = "y", IF(T71= 0, 1, 0), 0)</f>
        <v>0</v>
      </c>
      <c r="V71" s="43">
        <f t="shared" si="3"/>
        <v>0</v>
      </c>
      <c r="W71" s="43">
        <f t="shared" si="10"/>
        <v>0</v>
      </c>
      <c r="X71" s="43">
        <f t="shared" si="13"/>
        <v>0</v>
      </c>
      <c r="Y71" s="43">
        <f t="shared" si="12"/>
        <v>0</v>
      </c>
    </row>
    <row r="72" spans="1:25" ht="15" customHeight="1">
      <c r="A72" s="43">
        <v>62</v>
      </c>
      <c r="B72" s="176">
        <v>0</v>
      </c>
      <c r="C72" s="126">
        <f>'Studio Rain System'!J84</f>
        <v>1</v>
      </c>
      <c r="D72" s="104">
        <f>'Studio Rain System'!K84</f>
        <v>1.1000000000000001</v>
      </c>
      <c r="E72" s="104">
        <f>'Studio Rain System'!L84</f>
        <v>20</v>
      </c>
      <c r="F72" s="104">
        <f>'Studio Rain System'!M84</f>
        <v>0.745</v>
      </c>
      <c r="G72" s="177">
        <v>125600</v>
      </c>
      <c r="H72" s="178">
        <f t="shared" si="0"/>
        <v>197371.42857142858</v>
      </c>
      <c r="I72" s="128">
        <f t="shared" si="4"/>
        <v>0.19737142857142859</v>
      </c>
      <c r="J72" s="193">
        <f>IF( 'Organized Input Output'!$AD$5= "y", $K$4*(D72*1000)/$K$3, 0)</f>
        <v>5500</v>
      </c>
      <c r="K72" s="43">
        <f t="shared" si="5"/>
        <v>5.5</v>
      </c>
      <c r="L72" s="43">
        <f t="shared" si="6"/>
        <v>11000000</v>
      </c>
      <c r="M72" s="180">
        <f t="shared" si="1"/>
        <v>11</v>
      </c>
      <c r="N72" s="43">
        <f t="shared" si="7"/>
        <v>1200</v>
      </c>
      <c r="O72" s="128">
        <f t="shared" si="2"/>
        <v>4.32</v>
      </c>
      <c r="P72" s="181">
        <f t="shared" si="8"/>
        <v>15.51737142857143</v>
      </c>
      <c r="Q72" s="209">
        <f>IF( 'Organized Input Output'!$AF$9 = "y", P72 / ($Q$3 * $Q$4), 0)</f>
        <v>0</v>
      </c>
      <c r="R72" s="209">
        <f t="shared" si="9"/>
        <v>0</v>
      </c>
      <c r="S72" s="43">
        <f>IF( 'Organized Input Output'!$AF$9 = "y", IF(R72= 0, 1, 0), 0)</f>
        <v>0</v>
      </c>
      <c r="T72" s="209">
        <f t="shared" si="11"/>
        <v>0</v>
      </c>
      <c r="U72" s="43">
        <f>IF( 'Organized Input Output'!$AF$9 = "y", IF(T72= 0, 1, 0), 0)</f>
        <v>0</v>
      </c>
      <c r="V72" s="43">
        <f t="shared" si="3"/>
        <v>0</v>
      </c>
      <c r="W72" s="43">
        <f t="shared" si="10"/>
        <v>0</v>
      </c>
      <c r="X72" s="43">
        <f t="shared" si="13"/>
        <v>0</v>
      </c>
      <c r="Y72" s="43">
        <f t="shared" si="12"/>
        <v>0</v>
      </c>
    </row>
    <row r="73" spans="1:25" ht="15" customHeight="1">
      <c r="A73" s="43">
        <v>63</v>
      </c>
      <c r="B73" s="176">
        <v>0</v>
      </c>
      <c r="C73" s="126">
        <f>'Studio Rain System'!J85</f>
        <v>2.4</v>
      </c>
      <c r="D73" s="104">
        <f>'Studio Rain System'!K85</f>
        <v>2.6399999999999997</v>
      </c>
      <c r="E73" s="104">
        <f>'Studio Rain System'!L85</f>
        <v>20</v>
      </c>
      <c r="F73" s="104">
        <f>'Studio Rain System'!M85</f>
        <v>0.745</v>
      </c>
      <c r="G73" s="177">
        <v>125600</v>
      </c>
      <c r="H73" s="178">
        <f t="shared" si="0"/>
        <v>473691.42857142852</v>
      </c>
      <c r="I73" s="128">
        <f t="shared" si="4"/>
        <v>0.47369142857142854</v>
      </c>
      <c r="J73" s="193">
        <f>IF( 'Organized Input Output'!$AD$5= "y", $K$4*(D73*1000)/$K$3, 0)</f>
        <v>13199.999999999996</v>
      </c>
      <c r="K73" s="43">
        <f t="shared" si="5"/>
        <v>13.199999999999996</v>
      </c>
      <c r="L73" s="43">
        <f t="shared" si="6"/>
        <v>26399999.999999993</v>
      </c>
      <c r="M73" s="180">
        <f t="shared" si="1"/>
        <v>26.399999999999991</v>
      </c>
      <c r="N73" s="43">
        <f t="shared" si="7"/>
        <v>1200</v>
      </c>
      <c r="O73" s="128">
        <f t="shared" si="2"/>
        <v>4.32</v>
      </c>
      <c r="P73" s="181">
        <f t="shared" si="8"/>
        <v>31.19369142857142</v>
      </c>
      <c r="Q73" s="209">
        <f>IF( 'Organized Input Output'!$AF$9 = "y", P73 / ($Q$3 * $Q$4), 0)</f>
        <v>0</v>
      </c>
      <c r="R73" s="209">
        <f t="shared" si="9"/>
        <v>0</v>
      </c>
      <c r="S73" s="43">
        <f>IF( 'Organized Input Output'!$AF$9 = "y", IF(R73= 0, 1, 0), 0)</f>
        <v>0</v>
      </c>
      <c r="T73" s="209">
        <f t="shared" si="11"/>
        <v>0</v>
      </c>
      <c r="U73" s="43">
        <f>IF( 'Organized Input Output'!$AF$9 = "y", IF(T73= 0, 1, 0), 0)</f>
        <v>0</v>
      </c>
      <c r="V73" s="43">
        <f t="shared" si="3"/>
        <v>0</v>
      </c>
      <c r="W73" s="43">
        <f t="shared" si="10"/>
        <v>0</v>
      </c>
      <c r="X73" s="43">
        <f t="shared" si="13"/>
        <v>0</v>
      </c>
      <c r="Y73" s="43">
        <f t="shared" si="12"/>
        <v>0</v>
      </c>
    </row>
    <row r="74" spans="1:25" ht="15" customHeight="1">
      <c r="A74" s="43">
        <v>64</v>
      </c>
      <c r="B74" s="176">
        <v>0</v>
      </c>
      <c r="C74" s="126">
        <f>'Studio Rain System'!J86</f>
        <v>23.8</v>
      </c>
      <c r="D74" s="104">
        <f>'Studio Rain System'!K86</f>
        <v>26.180000000000003</v>
      </c>
      <c r="E74" s="104">
        <f>'Studio Rain System'!L86</f>
        <v>20</v>
      </c>
      <c r="F74" s="104">
        <f>'Studio Rain System'!M86</f>
        <v>0.745</v>
      </c>
      <c r="G74" s="177">
        <v>125600</v>
      </c>
      <c r="H74" s="178">
        <f t="shared" si="0"/>
        <v>4697440.0000000009</v>
      </c>
      <c r="I74" s="128">
        <f t="shared" si="4"/>
        <v>4.6974400000000012</v>
      </c>
      <c r="J74" s="193">
        <f>IF( 'Organized Input Output'!$AD$5= "y", $K$4*(D74*1000)/$K$3, 0)</f>
        <v>130900.00000000003</v>
      </c>
      <c r="K74" s="43">
        <f t="shared" si="5"/>
        <v>130.90000000000003</v>
      </c>
      <c r="L74" s="43">
        <f t="shared" si="6"/>
        <v>261800000.00000006</v>
      </c>
      <c r="M74" s="180">
        <f t="shared" si="1"/>
        <v>261.80000000000007</v>
      </c>
      <c r="N74" s="43">
        <f t="shared" si="7"/>
        <v>1200</v>
      </c>
      <c r="O74" s="128">
        <f t="shared" si="2"/>
        <v>4.32</v>
      </c>
      <c r="P74" s="181">
        <f t="shared" si="8"/>
        <v>270.81744000000009</v>
      </c>
      <c r="Q74" s="209">
        <f>IF( 'Organized Input Output'!$AF$9 = "y", P74 / ($Q$3 * $Q$4), 0)</f>
        <v>0</v>
      </c>
      <c r="R74" s="209">
        <f t="shared" si="9"/>
        <v>0</v>
      </c>
      <c r="S74" s="43">
        <f>IF( 'Organized Input Output'!$AF$9 = "y", IF(R74= 0, 1, 0), 0)</f>
        <v>0</v>
      </c>
      <c r="T74" s="209">
        <f t="shared" si="11"/>
        <v>0</v>
      </c>
      <c r="U74" s="43">
        <f>IF( 'Organized Input Output'!$AF$9 = "y", IF(T74= 0, 1, 0), 0)</f>
        <v>0</v>
      </c>
      <c r="V74" s="43">
        <f t="shared" si="3"/>
        <v>0</v>
      </c>
      <c r="W74" s="43">
        <f t="shared" si="10"/>
        <v>0</v>
      </c>
      <c r="X74" s="43">
        <f t="shared" si="13"/>
        <v>0</v>
      </c>
      <c r="Y74" s="43">
        <f t="shared" si="12"/>
        <v>0</v>
      </c>
    </row>
    <row r="75" spans="1:25" ht="15" customHeight="1">
      <c r="A75" s="43">
        <v>65</v>
      </c>
      <c r="B75" s="176">
        <v>0</v>
      </c>
      <c r="C75" s="126">
        <f>'Studio Rain System'!J87</f>
        <v>8.6</v>
      </c>
      <c r="D75" s="104">
        <f>'Studio Rain System'!K87</f>
        <v>9.4600000000000009</v>
      </c>
      <c r="E75" s="104">
        <f>'Studio Rain System'!L87</f>
        <v>20</v>
      </c>
      <c r="F75" s="104">
        <f>'Studio Rain System'!M87</f>
        <v>0.745</v>
      </c>
      <c r="G75" s="177">
        <v>125600</v>
      </c>
      <c r="H75" s="178">
        <f t="shared" ref="H75:H138" si="14">(G75*D75)/$H$3</f>
        <v>1697394.2857142859</v>
      </c>
      <c r="I75" s="128">
        <f t="shared" si="4"/>
        <v>1.6973942857142859</v>
      </c>
      <c r="J75" s="193">
        <f>IF( 'Organized Input Output'!$AD$5= "y", $K$4*(D75*1000)/$K$3, 0)</f>
        <v>47300</v>
      </c>
      <c r="K75" s="43">
        <f t="shared" si="5"/>
        <v>47.3</v>
      </c>
      <c r="L75" s="43">
        <f t="shared" si="6"/>
        <v>94600000</v>
      </c>
      <c r="M75" s="180">
        <f t="shared" ref="M75:M138" si="15">IF(A75 &lt; 32, 0, $K$5*K75)</f>
        <v>94.6</v>
      </c>
      <c r="N75" s="43">
        <f t="shared" si="7"/>
        <v>1200</v>
      </c>
      <c r="O75" s="128">
        <f t="shared" ref="O75:O138" si="16" xml:space="preserve"> IF(A75 &lt; 31, 0, (N75 * 3600 / 1000000))</f>
        <v>4.32</v>
      </c>
      <c r="P75" s="181">
        <f t="shared" si="8"/>
        <v>100.61739428571428</v>
      </c>
      <c r="Q75" s="209">
        <f>IF( 'Organized Input Output'!$AF$9 = "y", P75 / ($Q$3 * $Q$4), 0)</f>
        <v>0</v>
      </c>
      <c r="R75" s="209">
        <f t="shared" si="9"/>
        <v>0</v>
      </c>
      <c r="S75" s="43">
        <f>IF( 'Organized Input Output'!$AF$9 = "y", IF(R75= 0, 1, 0), 0)</f>
        <v>0</v>
      </c>
      <c r="T75" s="209">
        <f t="shared" si="11"/>
        <v>0</v>
      </c>
      <c r="U75" s="43">
        <f>IF( 'Organized Input Output'!$AF$9 = "y", IF(T75= 0, 1, 0), 0)</f>
        <v>0</v>
      </c>
      <c r="V75" s="43">
        <f t="shared" ref="V75:V138" si="17">W$4*(D75*1000)*(1/$W$3)</f>
        <v>0</v>
      </c>
      <c r="W75" s="43">
        <f t="shared" si="10"/>
        <v>0</v>
      </c>
      <c r="X75" s="43">
        <f t="shared" si="13"/>
        <v>0</v>
      </c>
      <c r="Y75" s="43">
        <f t="shared" si="12"/>
        <v>0</v>
      </c>
    </row>
    <row r="76" spans="1:25" ht="15" customHeight="1">
      <c r="A76" s="43">
        <v>66</v>
      </c>
      <c r="B76" s="176">
        <v>0</v>
      </c>
      <c r="C76" s="126">
        <f>'Studio Rain System'!J88</f>
        <v>34</v>
      </c>
      <c r="D76" s="104">
        <f>'Studio Rain System'!K88</f>
        <v>37.400000000000006</v>
      </c>
      <c r="E76" s="104">
        <f>'Studio Rain System'!L88</f>
        <v>20</v>
      </c>
      <c r="F76" s="104">
        <f>'Studio Rain System'!M88</f>
        <v>0.745</v>
      </c>
      <c r="G76" s="177">
        <v>125600</v>
      </c>
      <c r="H76" s="178">
        <f t="shared" si="14"/>
        <v>6710628.5714285728</v>
      </c>
      <c r="I76" s="128">
        <f t="shared" ref="I76:I139" si="18">H76/10^6</f>
        <v>6.7106285714285727</v>
      </c>
      <c r="J76" s="193">
        <f>IF( 'Organized Input Output'!$AD$5= "y", $K$4*(D76*1000)/$K$3, 0)</f>
        <v>187000.00000000006</v>
      </c>
      <c r="K76" s="43">
        <f t="shared" ref="K76:K139" si="19">J76/1000</f>
        <v>187.00000000000006</v>
      </c>
      <c r="L76" s="43">
        <f t="shared" ref="L76:L139" si="20">M76*1000000</f>
        <v>374000000.00000012</v>
      </c>
      <c r="M76" s="180">
        <f t="shared" si="15"/>
        <v>374.00000000000011</v>
      </c>
      <c r="N76" s="43">
        <f t="shared" ref="N76:N139" si="21" xml:space="preserve"> $N$3 * 24</f>
        <v>1200</v>
      </c>
      <c r="O76" s="128">
        <f t="shared" si="16"/>
        <v>4.32</v>
      </c>
      <c r="P76" s="181">
        <f t="shared" ref="P76:P139" si="22">I76 + M76 + O76</f>
        <v>385.03062857142868</v>
      </c>
      <c r="Q76" s="209">
        <f>IF( 'Organized Input Output'!$AF$9 = "y", P76 / ($Q$3 * $Q$4), 0)</f>
        <v>0</v>
      </c>
      <c r="R76" s="209">
        <f t="shared" ref="R76:R139" si="23">IF(R75+Q76 &gt; 100, 0, R75+Q76 )</f>
        <v>0</v>
      </c>
      <c r="S76" s="43">
        <f>IF( 'Organized Input Output'!$AF$9 = "y", IF(R76= 0, 1, 0), 0)</f>
        <v>0</v>
      </c>
      <c r="T76" s="209">
        <f t="shared" si="11"/>
        <v>0</v>
      </c>
      <c r="U76" s="43">
        <f>IF( 'Organized Input Output'!$AF$9 = "y", IF(T76= 0, 1, 0), 0)</f>
        <v>0</v>
      </c>
      <c r="V76" s="43">
        <f t="shared" si="17"/>
        <v>0</v>
      </c>
      <c r="W76" s="43">
        <f t="shared" ref="W76:W139" si="24">V76/1000000</f>
        <v>0</v>
      </c>
      <c r="X76" s="43">
        <f t="shared" si="13"/>
        <v>0</v>
      </c>
      <c r="Y76" s="43">
        <f t="shared" si="12"/>
        <v>0</v>
      </c>
    </row>
    <row r="77" spans="1:25" ht="15" customHeight="1">
      <c r="A77" s="43">
        <v>67</v>
      </c>
      <c r="B77" s="176">
        <v>0</v>
      </c>
      <c r="C77" s="126">
        <f>'Studio Rain System'!J89</f>
        <v>52.4</v>
      </c>
      <c r="D77" s="104">
        <f>'Studio Rain System'!K89</f>
        <v>57.639999999999993</v>
      </c>
      <c r="E77" s="104">
        <f>'Studio Rain System'!L89</f>
        <v>20</v>
      </c>
      <c r="F77" s="104">
        <f>'Studio Rain System'!M89</f>
        <v>0.745</v>
      </c>
      <c r="G77" s="177">
        <v>125600</v>
      </c>
      <c r="H77" s="178">
        <f t="shared" si="14"/>
        <v>10342262.857142856</v>
      </c>
      <c r="I77" s="128">
        <f t="shared" si="18"/>
        <v>10.342262857142856</v>
      </c>
      <c r="J77" s="193">
        <f>IF( 'Organized Input Output'!$AD$5= "y", $K$4*(D77*1000)/$K$3, 0)</f>
        <v>288199.99999999994</v>
      </c>
      <c r="K77" s="43">
        <f t="shared" si="19"/>
        <v>288.19999999999993</v>
      </c>
      <c r="L77" s="43">
        <f t="shared" si="20"/>
        <v>576399999.99999988</v>
      </c>
      <c r="M77" s="180">
        <f t="shared" si="15"/>
        <v>576.39999999999986</v>
      </c>
      <c r="N77" s="43">
        <f t="shared" si="21"/>
        <v>1200</v>
      </c>
      <c r="O77" s="128">
        <f t="shared" si="16"/>
        <v>4.32</v>
      </c>
      <c r="P77" s="181">
        <f t="shared" si="22"/>
        <v>591.06226285714274</v>
      </c>
      <c r="Q77" s="209">
        <f>IF( 'Organized Input Output'!$AF$9 = "y", P77 / ($Q$3 * $Q$4), 0)</f>
        <v>0</v>
      </c>
      <c r="R77" s="209">
        <f t="shared" si="23"/>
        <v>0</v>
      </c>
      <c r="S77" s="43">
        <f>IF( 'Organized Input Output'!$AF$9 = "y", IF(R77= 0, 1, 0), 0)</f>
        <v>0</v>
      </c>
      <c r="T77" s="209">
        <f t="shared" ref="T77:T140" si="25">IF(T76+Q77 &gt; 250, 0, T76+Q77 )</f>
        <v>0</v>
      </c>
      <c r="U77" s="43">
        <f>IF( 'Organized Input Output'!$AF$9 = "y", IF(T77= 0, 1, 0), 0)</f>
        <v>0</v>
      </c>
      <c r="V77" s="43">
        <f t="shared" si="17"/>
        <v>0</v>
      </c>
      <c r="W77" s="43">
        <f t="shared" si="24"/>
        <v>0</v>
      </c>
      <c r="X77" s="43">
        <f t="shared" ref="X77:X140" si="26">IF(X76+W77 &gt;= 4.4, 0, X76+W77 )</f>
        <v>0</v>
      </c>
      <c r="Y77" s="43">
        <f t="shared" ref="Y77:Y140" si="27">IF( V77 +X77+ W77 = 0, 0, IF(X77= 0, 1, 0))</f>
        <v>0</v>
      </c>
    </row>
    <row r="78" spans="1:25" ht="15" customHeight="1">
      <c r="A78" s="43">
        <v>68</v>
      </c>
      <c r="B78" s="176">
        <v>0.8</v>
      </c>
      <c r="C78" s="126">
        <f>'Studio Rain System'!J90</f>
        <v>10.6</v>
      </c>
      <c r="D78" s="104">
        <f>'Studio Rain System'!K90</f>
        <v>11.66</v>
      </c>
      <c r="E78" s="104">
        <f>'Studio Rain System'!L90</f>
        <v>20</v>
      </c>
      <c r="F78" s="104">
        <f>'Studio Rain System'!M90</f>
        <v>0.745</v>
      </c>
      <c r="G78" s="177">
        <v>125600</v>
      </c>
      <c r="H78" s="178">
        <f t="shared" si="14"/>
        <v>2092137.142857143</v>
      </c>
      <c r="I78" s="128">
        <f t="shared" si="18"/>
        <v>2.0921371428571431</v>
      </c>
      <c r="J78" s="193">
        <f>IF( 'Organized Input Output'!$AD$5= "y", $K$4*(D78*1000)/$K$3, 0)</f>
        <v>58300</v>
      </c>
      <c r="K78" s="43">
        <f t="shared" si="19"/>
        <v>58.3</v>
      </c>
      <c r="L78" s="43">
        <f t="shared" si="20"/>
        <v>116600000</v>
      </c>
      <c r="M78" s="180">
        <f t="shared" si="15"/>
        <v>116.6</v>
      </c>
      <c r="N78" s="43">
        <f t="shared" si="21"/>
        <v>1200</v>
      </c>
      <c r="O78" s="128">
        <f t="shared" si="16"/>
        <v>4.32</v>
      </c>
      <c r="P78" s="181">
        <f t="shared" si="22"/>
        <v>123.01213714285714</v>
      </c>
      <c r="Q78" s="209">
        <f>IF( 'Organized Input Output'!$AF$9 = "y", P78 / ($Q$3 * $Q$4), 0)</f>
        <v>0</v>
      </c>
      <c r="R78" s="209">
        <f t="shared" si="23"/>
        <v>0</v>
      </c>
      <c r="S78" s="43">
        <f>IF( 'Organized Input Output'!$AF$9 = "y", IF(R78= 0, 1, 0), 0)</f>
        <v>0</v>
      </c>
      <c r="T78" s="209">
        <f t="shared" si="25"/>
        <v>0</v>
      </c>
      <c r="U78" s="43">
        <f>IF( 'Organized Input Output'!$AF$9 = "y", IF(T78= 0, 1, 0), 0)</f>
        <v>0</v>
      </c>
      <c r="V78" s="43">
        <f t="shared" si="17"/>
        <v>0</v>
      </c>
      <c r="W78" s="43">
        <f t="shared" si="24"/>
        <v>0</v>
      </c>
      <c r="X78" s="43">
        <f t="shared" si="26"/>
        <v>0</v>
      </c>
      <c r="Y78" s="43">
        <f t="shared" si="27"/>
        <v>0</v>
      </c>
    </row>
    <row r="79" spans="1:25" ht="15" customHeight="1">
      <c r="A79" s="43">
        <v>69</v>
      </c>
      <c r="B79" s="176">
        <v>0</v>
      </c>
      <c r="C79" s="126">
        <f>'Studio Rain System'!J91</f>
        <v>2.4</v>
      </c>
      <c r="D79" s="104">
        <f>'Studio Rain System'!K91</f>
        <v>2.6399999999999997</v>
      </c>
      <c r="E79" s="104">
        <f>'Studio Rain System'!L91</f>
        <v>20</v>
      </c>
      <c r="F79" s="104">
        <f>'Studio Rain System'!M91</f>
        <v>0.745</v>
      </c>
      <c r="G79" s="177">
        <v>125600</v>
      </c>
      <c r="H79" s="178">
        <f t="shared" si="14"/>
        <v>473691.42857142852</v>
      </c>
      <c r="I79" s="128">
        <f t="shared" si="18"/>
        <v>0.47369142857142854</v>
      </c>
      <c r="J79" s="193">
        <f>IF( 'Organized Input Output'!$AD$5= "y", $K$4*(D79*1000)/$K$3, 0)</f>
        <v>13199.999999999996</v>
      </c>
      <c r="K79" s="43">
        <f t="shared" si="19"/>
        <v>13.199999999999996</v>
      </c>
      <c r="L79" s="43">
        <f t="shared" si="20"/>
        <v>26399999.999999993</v>
      </c>
      <c r="M79" s="180">
        <f t="shared" si="15"/>
        <v>26.399999999999991</v>
      </c>
      <c r="N79" s="43">
        <f t="shared" si="21"/>
        <v>1200</v>
      </c>
      <c r="O79" s="128">
        <f t="shared" si="16"/>
        <v>4.32</v>
      </c>
      <c r="P79" s="181">
        <f t="shared" si="22"/>
        <v>31.19369142857142</v>
      </c>
      <c r="Q79" s="209">
        <f>IF( 'Organized Input Output'!$AF$9 = "y", P79 / ($Q$3 * $Q$4), 0)</f>
        <v>0</v>
      </c>
      <c r="R79" s="209">
        <f t="shared" si="23"/>
        <v>0</v>
      </c>
      <c r="S79" s="43">
        <f>IF( 'Organized Input Output'!$AF$9 = "y", IF(R79= 0, 1, 0), 0)</f>
        <v>0</v>
      </c>
      <c r="T79" s="209">
        <f t="shared" si="25"/>
        <v>0</v>
      </c>
      <c r="U79" s="43">
        <f>IF( 'Organized Input Output'!$AF$9 = "y", IF(T79= 0, 1, 0), 0)</f>
        <v>0</v>
      </c>
      <c r="V79" s="43">
        <f t="shared" si="17"/>
        <v>0</v>
      </c>
      <c r="W79" s="43">
        <f t="shared" si="24"/>
        <v>0</v>
      </c>
      <c r="X79" s="43">
        <f t="shared" si="26"/>
        <v>0</v>
      </c>
      <c r="Y79" s="43">
        <f t="shared" si="27"/>
        <v>0</v>
      </c>
    </row>
    <row r="80" spans="1:25" ht="15" customHeight="1">
      <c r="A80" s="43">
        <v>70</v>
      </c>
      <c r="B80" s="176">
        <v>4</v>
      </c>
      <c r="C80" s="126">
        <f>'Studio Rain System'!J92</f>
        <v>0</v>
      </c>
      <c r="D80" s="104">
        <f>'Studio Rain System'!K92</f>
        <v>0</v>
      </c>
      <c r="E80" s="104">
        <f>'Studio Rain System'!L92</f>
        <v>19.254999999999999</v>
      </c>
      <c r="F80" s="104">
        <f>'Studio Rain System'!M92</f>
        <v>0.745</v>
      </c>
      <c r="G80" s="177">
        <v>125600</v>
      </c>
      <c r="H80" s="178">
        <f t="shared" si="14"/>
        <v>0</v>
      </c>
      <c r="I80" s="128">
        <f t="shared" si="18"/>
        <v>0</v>
      </c>
      <c r="J80" s="193">
        <f>IF( 'Organized Input Output'!$AD$5= "y", $K$4*(D80*1000)/$K$3, 0)</f>
        <v>0</v>
      </c>
      <c r="K80" s="43">
        <f t="shared" si="19"/>
        <v>0</v>
      </c>
      <c r="L80" s="43">
        <f t="shared" si="20"/>
        <v>0</v>
      </c>
      <c r="M80" s="180">
        <f t="shared" si="15"/>
        <v>0</v>
      </c>
      <c r="N80" s="43">
        <f t="shared" si="21"/>
        <v>1200</v>
      </c>
      <c r="O80" s="128">
        <f t="shared" si="16"/>
        <v>4.32</v>
      </c>
      <c r="P80" s="181">
        <f t="shared" si="22"/>
        <v>4.32</v>
      </c>
      <c r="Q80" s="209">
        <f>IF( 'Organized Input Output'!$AF$9 = "y", P80 / ($Q$3 * $Q$4), 0)</f>
        <v>0</v>
      </c>
      <c r="R80" s="209">
        <f t="shared" si="23"/>
        <v>0</v>
      </c>
      <c r="S80" s="43">
        <f>IF( 'Organized Input Output'!$AF$9 = "y", IF(R80= 0, 1, 0), 0)</f>
        <v>0</v>
      </c>
      <c r="T80" s="209">
        <f t="shared" si="25"/>
        <v>0</v>
      </c>
      <c r="U80" s="43">
        <f>IF( 'Organized Input Output'!$AF$9 = "y", IF(T80= 0, 1, 0), 0)</f>
        <v>0</v>
      </c>
      <c r="V80" s="43">
        <f t="shared" si="17"/>
        <v>0</v>
      </c>
      <c r="W80" s="43">
        <f t="shared" si="24"/>
        <v>0</v>
      </c>
      <c r="X80" s="43">
        <f t="shared" si="26"/>
        <v>0</v>
      </c>
      <c r="Y80" s="43">
        <f t="shared" si="27"/>
        <v>0</v>
      </c>
    </row>
    <row r="81" spans="1:25" ht="15" customHeight="1">
      <c r="A81" s="43">
        <v>71</v>
      </c>
      <c r="B81" s="176">
        <v>22.8</v>
      </c>
      <c r="C81" s="126">
        <f>'Studio Rain System'!J93</f>
        <v>2.8</v>
      </c>
      <c r="D81" s="104">
        <f>'Studio Rain System'!K93</f>
        <v>3.08</v>
      </c>
      <c r="E81" s="104">
        <f>'Studio Rain System'!L93</f>
        <v>20</v>
      </c>
      <c r="F81" s="104">
        <f>'Studio Rain System'!M93</f>
        <v>0.745</v>
      </c>
      <c r="G81" s="177">
        <v>125600</v>
      </c>
      <c r="H81" s="178">
        <f t="shared" si="14"/>
        <v>552640</v>
      </c>
      <c r="I81" s="128">
        <f t="shared" si="18"/>
        <v>0.55264000000000002</v>
      </c>
      <c r="J81" s="193">
        <f>IF( 'Organized Input Output'!$AD$5= "y", $K$4*(D81*1000)/$K$3, 0)</f>
        <v>15400</v>
      </c>
      <c r="K81" s="43">
        <f t="shared" si="19"/>
        <v>15.4</v>
      </c>
      <c r="L81" s="43">
        <f t="shared" si="20"/>
        <v>30800000</v>
      </c>
      <c r="M81" s="180">
        <f t="shared" si="15"/>
        <v>30.8</v>
      </c>
      <c r="N81" s="43">
        <f t="shared" si="21"/>
        <v>1200</v>
      </c>
      <c r="O81" s="128">
        <f t="shared" si="16"/>
        <v>4.32</v>
      </c>
      <c r="P81" s="181">
        <f t="shared" si="22"/>
        <v>35.672640000000001</v>
      </c>
      <c r="Q81" s="209">
        <f>IF( 'Organized Input Output'!$AF$9 = "y", P81 / ($Q$3 * $Q$4), 0)</f>
        <v>0</v>
      </c>
      <c r="R81" s="209">
        <f t="shared" si="23"/>
        <v>0</v>
      </c>
      <c r="S81" s="43">
        <f>IF( 'Organized Input Output'!$AF$9 = "y", IF(R81= 0, 1, 0), 0)</f>
        <v>0</v>
      </c>
      <c r="T81" s="209">
        <f t="shared" si="25"/>
        <v>0</v>
      </c>
      <c r="U81" s="43">
        <f>IF( 'Organized Input Output'!$AF$9 = "y", IF(T81= 0, 1, 0), 0)</f>
        <v>0</v>
      </c>
      <c r="V81" s="43">
        <f t="shared" si="17"/>
        <v>0</v>
      </c>
      <c r="W81" s="43">
        <f t="shared" si="24"/>
        <v>0</v>
      </c>
      <c r="X81" s="43">
        <f t="shared" si="26"/>
        <v>0</v>
      </c>
      <c r="Y81" s="43">
        <f t="shared" si="27"/>
        <v>0</v>
      </c>
    </row>
    <row r="82" spans="1:25" ht="15" customHeight="1">
      <c r="A82" s="43">
        <v>72</v>
      </c>
      <c r="B82" s="176">
        <v>25.2</v>
      </c>
      <c r="C82" s="126">
        <f>'Studio Rain System'!J94</f>
        <v>20.2</v>
      </c>
      <c r="D82" s="104">
        <f>'Studio Rain System'!K94</f>
        <v>22.22</v>
      </c>
      <c r="E82" s="104">
        <f>'Studio Rain System'!L94</f>
        <v>20</v>
      </c>
      <c r="F82" s="104">
        <f>'Studio Rain System'!M94</f>
        <v>0.745</v>
      </c>
      <c r="G82" s="177">
        <v>125600</v>
      </c>
      <c r="H82" s="178">
        <f t="shared" si="14"/>
        <v>3986902.8571428573</v>
      </c>
      <c r="I82" s="128">
        <f t="shared" si="18"/>
        <v>3.9869028571428573</v>
      </c>
      <c r="J82" s="193">
        <f>IF( 'Organized Input Output'!$AD$5= "y", $K$4*(D82*1000)/$K$3, 0)</f>
        <v>111100</v>
      </c>
      <c r="K82" s="43">
        <f t="shared" si="19"/>
        <v>111.1</v>
      </c>
      <c r="L82" s="43">
        <f t="shared" si="20"/>
        <v>222200000</v>
      </c>
      <c r="M82" s="180">
        <f t="shared" si="15"/>
        <v>222.2</v>
      </c>
      <c r="N82" s="43">
        <f t="shared" si="21"/>
        <v>1200</v>
      </c>
      <c r="O82" s="128">
        <f t="shared" si="16"/>
        <v>4.32</v>
      </c>
      <c r="P82" s="181">
        <f t="shared" si="22"/>
        <v>230.50690285714285</v>
      </c>
      <c r="Q82" s="209">
        <f>IF( 'Organized Input Output'!$AF$9 = "y", P82 / ($Q$3 * $Q$4), 0)</f>
        <v>0</v>
      </c>
      <c r="R82" s="209">
        <f t="shared" si="23"/>
        <v>0</v>
      </c>
      <c r="S82" s="43">
        <f>IF( 'Organized Input Output'!$AF$9 = "y", IF(R82= 0, 1, 0), 0)</f>
        <v>0</v>
      </c>
      <c r="T82" s="209">
        <f t="shared" si="25"/>
        <v>0</v>
      </c>
      <c r="U82" s="43">
        <f>IF( 'Organized Input Output'!$AF$9 = "y", IF(T82= 0, 1, 0), 0)</f>
        <v>0</v>
      </c>
      <c r="V82" s="43">
        <f t="shared" si="17"/>
        <v>0</v>
      </c>
      <c r="W82" s="43">
        <f t="shared" si="24"/>
        <v>0</v>
      </c>
      <c r="X82" s="43">
        <f t="shared" si="26"/>
        <v>0</v>
      </c>
      <c r="Y82" s="43">
        <f t="shared" si="27"/>
        <v>0</v>
      </c>
    </row>
    <row r="83" spans="1:25" ht="15" customHeight="1">
      <c r="A83" s="43">
        <v>73</v>
      </c>
      <c r="B83" s="176">
        <v>5.6</v>
      </c>
      <c r="C83" s="126">
        <f>'Studio Rain System'!J95</f>
        <v>13.8</v>
      </c>
      <c r="D83" s="104">
        <f>'Studio Rain System'!K95</f>
        <v>15.180000000000001</v>
      </c>
      <c r="E83" s="104">
        <f>'Studio Rain System'!L95</f>
        <v>20</v>
      </c>
      <c r="F83" s="104">
        <f>'Studio Rain System'!M95</f>
        <v>0.745</v>
      </c>
      <c r="G83" s="177">
        <v>125600</v>
      </c>
      <c r="H83" s="178">
        <f t="shared" si="14"/>
        <v>2723725.714285715</v>
      </c>
      <c r="I83" s="128">
        <f t="shared" si="18"/>
        <v>2.723725714285715</v>
      </c>
      <c r="J83" s="193">
        <f>IF( 'Organized Input Output'!$AD$5= "y", $K$4*(D83*1000)/$K$3, 0)</f>
        <v>75900.000000000015</v>
      </c>
      <c r="K83" s="43">
        <f t="shared" si="19"/>
        <v>75.90000000000002</v>
      </c>
      <c r="L83" s="43">
        <f t="shared" si="20"/>
        <v>151800000.00000003</v>
      </c>
      <c r="M83" s="180">
        <f t="shared" si="15"/>
        <v>151.80000000000004</v>
      </c>
      <c r="N83" s="43">
        <f t="shared" si="21"/>
        <v>1200</v>
      </c>
      <c r="O83" s="128">
        <f t="shared" si="16"/>
        <v>4.32</v>
      </c>
      <c r="P83" s="181">
        <f t="shared" si="22"/>
        <v>158.84372571428574</v>
      </c>
      <c r="Q83" s="209">
        <f>IF( 'Organized Input Output'!$AF$9 = "y", P83 / ($Q$3 * $Q$4), 0)</f>
        <v>0</v>
      </c>
      <c r="R83" s="209">
        <f t="shared" si="23"/>
        <v>0</v>
      </c>
      <c r="S83" s="43">
        <f>IF( 'Organized Input Output'!$AF$9 = "y", IF(R83= 0, 1, 0), 0)</f>
        <v>0</v>
      </c>
      <c r="T83" s="209">
        <f t="shared" si="25"/>
        <v>0</v>
      </c>
      <c r="U83" s="43">
        <f>IF( 'Organized Input Output'!$AF$9 = "y", IF(T83= 0, 1, 0), 0)</f>
        <v>0</v>
      </c>
      <c r="V83" s="43">
        <f t="shared" si="17"/>
        <v>0</v>
      </c>
      <c r="W83" s="43">
        <f t="shared" si="24"/>
        <v>0</v>
      </c>
      <c r="X83" s="43">
        <f t="shared" si="26"/>
        <v>0</v>
      </c>
      <c r="Y83" s="43">
        <f t="shared" si="27"/>
        <v>0</v>
      </c>
    </row>
    <row r="84" spans="1:25" ht="15" customHeight="1">
      <c r="A84" s="43">
        <v>74</v>
      </c>
      <c r="B84" s="176">
        <v>1.4</v>
      </c>
      <c r="C84" s="126">
        <f>'Studio Rain System'!J96</f>
        <v>22.8</v>
      </c>
      <c r="D84" s="104">
        <f>'Studio Rain System'!K96</f>
        <v>25.080000000000002</v>
      </c>
      <c r="E84" s="104">
        <f>'Studio Rain System'!L96</f>
        <v>20</v>
      </c>
      <c r="F84" s="104">
        <f>'Studio Rain System'!M96</f>
        <v>0.745</v>
      </c>
      <c r="G84" s="177">
        <v>125600</v>
      </c>
      <c r="H84" s="178">
        <f t="shared" si="14"/>
        <v>4500068.5714285718</v>
      </c>
      <c r="I84" s="128">
        <f t="shared" si="18"/>
        <v>4.5000685714285718</v>
      </c>
      <c r="J84" s="193">
        <f>IF( 'Organized Input Output'!$AD$5= "y", $K$4*(D84*1000)/$K$3, 0)</f>
        <v>125400.00000000003</v>
      </c>
      <c r="K84" s="43">
        <f t="shared" si="19"/>
        <v>125.40000000000003</v>
      </c>
      <c r="L84" s="43">
        <f t="shared" si="20"/>
        <v>250800000.00000006</v>
      </c>
      <c r="M84" s="180">
        <f t="shared" si="15"/>
        <v>250.80000000000007</v>
      </c>
      <c r="N84" s="43">
        <f t="shared" si="21"/>
        <v>1200</v>
      </c>
      <c r="O84" s="128">
        <f t="shared" si="16"/>
        <v>4.32</v>
      </c>
      <c r="P84" s="181">
        <f t="shared" si="22"/>
        <v>259.62006857142865</v>
      </c>
      <c r="Q84" s="209">
        <f>IF( 'Organized Input Output'!$AF$9 = "y", P84 / ($Q$3 * $Q$4), 0)</f>
        <v>0</v>
      </c>
      <c r="R84" s="209">
        <f t="shared" si="23"/>
        <v>0</v>
      </c>
      <c r="S84" s="43">
        <f>IF( 'Organized Input Output'!$AF$9 = "y", IF(R84= 0, 1, 0), 0)</f>
        <v>0</v>
      </c>
      <c r="T84" s="209">
        <f t="shared" si="25"/>
        <v>0</v>
      </c>
      <c r="U84" s="43">
        <f>IF( 'Organized Input Output'!$AF$9 = "y", IF(T84= 0, 1, 0), 0)</f>
        <v>0</v>
      </c>
      <c r="V84" s="43">
        <f t="shared" si="17"/>
        <v>0</v>
      </c>
      <c r="W84" s="43">
        <f t="shared" si="24"/>
        <v>0</v>
      </c>
      <c r="X84" s="43">
        <f t="shared" si="26"/>
        <v>0</v>
      </c>
      <c r="Y84" s="43">
        <f t="shared" si="27"/>
        <v>0</v>
      </c>
    </row>
    <row r="85" spans="1:25" ht="15" customHeight="1">
      <c r="A85" s="43">
        <v>75</v>
      </c>
      <c r="B85" s="176">
        <v>0</v>
      </c>
      <c r="C85" s="126">
        <f>'Studio Rain System'!J97</f>
        <v>5.4</v>
      </c>
      <c r="D85" s="104">
        <f>'Studio Rain System'!K97</f>
        <v>5.94</v>
      </c>
      <c r="E85" s="104">
        <f>'Studio Rain System'!L97</f>
        <v>20</v>
      </c>
      <c r="F85" s="104">
        <f>'Studio Rain System'!M97</f>
        <v>0.745</v>
      </c>
      <c r="G85" s="177">
        <v>125600</v>
      </c>
      <c r="H85" s="178">
        <f t="shared" si="14"/>
        <v>1065805.7142857143</v>
      </c>
      <c r="I85" s="128">
        <f t="shared" si="18"/>
        <v>1.0658057142857142</v>
      </c>
      <c r="J85" s="193">
        <f>IF( 'Organized Input Output'!$AD$5= "y", $K$4*(D85*1000)/$K$3, 0)</f>
        <v>29700</v>
      </c>
      <c r="K85" s="43">
        <f t="shared" si="19"/>
        <v>29.7</v>
      </c>
      <c r="L85" s="43">
        <f t="shared" si="20"/>
        <v>59400000</v>
      </c>
      <c r="M85" s="180">
        <f t="shared" si="15"/>
        <v>59.4</v>
      </c>
      <c r="N85" s="43">
        <f t="shared" si="21"/>
        <v>1200</v>
      </c>
      <c r="O85" s="128">
        <f t="shared" si="16"/>
        <v>4.32</v>
      </c>
      <c r="P85" s="181">
        <f t="shared" si="22"/>
        <v>64.785805714285715</v>
      </c>
      <c r="Q85" s="209">
        <f>IF( 'Organized Input Output'!$AF$9 = "y", P85 / ($Q$3 * $Q$4), 0)</f>
        <v>0</v>
      </c>
      <c r="R85" s="209">
        <f t="shared" si="23"/>
        <v>0</v>
      </c>
      <c r="S85" s="43">
        <f>IF( 'Organized Input Output'!$AF$9 = "y", IF(R85= 0, 1, 0), 0)</f>
        <v>0</v>
      </c>
      <c r="T85" s="209">
        <f t="shared" si="25"/>
        <v>0</v>
      </c>
      <c r="U85" s="43">
        <f>IF( 'Organized Input Output'!$AF$9 = "y", IF(T85= 0, 1, 0), 0)</f>
        <v>0</v>
      </c>
      <c r="V85" s="43">
        <f t="shared" si="17"/>
        <v>0</v>
      </c>
      <c r="W85" s="43">
        <f t="shared" si="24"/>
        <v>0</v>
      </c>
      <c r="X85" s="43">
        <f t="shared" si="26"/>
        <v>0</v>
      </c>
      <c r="Y85" s="43">
        <f t="shared" si="27"/>
        <v>0</v>
      </c>
    </row>
    <row r="86" spans="1:25" ht="15" customHeight="1">
      <c r="A86" s="43">
        <v>76</v>
      </c>
      <c r="B86" s="176">
        <v>1.8</v>
      </c>
      <c r="C86" s="126">
        <f>'Studio Rain System'!J98</f>
        <v>0.4</v>
      </c>
      <c r="D86" s="104">
        <f>'Studio Rain System'!K98</f>
        <v>0.44</v>
      </c>
      <c r="E86" s="104">
        <f>'Studio Rain System'!L98</f>
        <v>19.695</v>
      </c>
      <c r="F86" s="104">
        <f>'Studio Rain System'!M98</f>
        <v>0.745</v>
      </c>
      <c r="G86" s="177">
        <v>125600</v>
      </c>
      <c r="H86" s="178">
        <f t="shared" si="14"/>
        <v>78948.571428571435</v>
      </c>
      <c r="I86" s="128">
        <f t="shared" si="18"/>
        <v>7.8948571428571437E-2</v>
      </c>
      <c r="J86" s="193">
        <f>IF( 'Organized Input Output'!$AD$5= "y", $K$4*(D86*1000)/$K$3, 0)</f>
        <v>2200</v>
      </c>
      <c r="K86" s="43">
        <f t="shared" si="19"/>
        <v>2.2000000000000002</v>
      </c>
      <c r="L86" s="43">
        <f t="shared" si="20"/>
        <v>4400000</v>
      </c>
      <c r="M86" s="180">
        <f t="shared" si="15"/>
        <v>4.4000000000000004</v>
      </c>
      <c r="N86" s="43">
        <f t="shared" si="21"/>
        <v>1200</v>
      </c>
      <c r="O86" s="128">
        <f t="shared" si="16"/>
        <v>4.32</v>
      </c>
      <c r="P86" s="181">
        <f t="shared" si="22"/>
        <v>8.7989485714285713</v>
      </c>
      <c r="Q86" s="209">
        <f>IF( 'Organized Input Output'!$AF$9 = "y", P86 / ($Q$3 * $Q$4), 0)</f>
        <v>0</v>
      </c>
      <c r="R86" s="209">
        <f t="shared" si="23"/>
        <v>0</v>
      </c>
      <c r="S86" s="43">
        <f>IF( 'Organized Input Output'!$AF$9 = "y", IF(R86= 0, 1, 0), 0)</f>
        <v>0</v>
      </c>
      <c r="T86" s="209">
        <f t="shared" si="25"/>
        <v>0</v>
      </c>
      <c r="U86" s="43">
        <f>IF( 'Organized Input Output'!$AF$9 = "y", IF(T86= 0, 1, 0), 0)</f>
        <v>0</v>
      </c>
      <c r="V86" s="43">
        <f t="shared" si="17"/>
        <v>0</v>
      </c>
      <c r="W86" s="43">
        <f t="shared" si="24"/>
        <v>0</v>
      </c>
      <c r="X86" s="43">
        <f t="shared" si="26"/>
        <v>0</v>
      </c>
      <c r="Y86" s="43">
        <f t="shared" si="27"/>
        <v>0</v>
      </c>
    </row>
    <row r="87" spans="1:25" ht="15" customHeight="1">
      <c r="A87" s="43">
        <v>77</v>
      </c>
      <c r="B87" s="176">
        <v>0</v>
      </c>
      <c r="C87" s="126">
        <f>'Studio Rain System'!J99</f>
        <v>31</v>
      </c>
      <c r="D87" s="104">
        <f>'Studio Rain System'!K99</f>
        <v>34.1</v>
      </c>
      <c r="E87" s="104">
        <f>'Studio Rain System'!L99</f>
        <v>20</v>
      </c>
      <c r="F87" s="104">
        <f>'Studio Rain System'!M99</f>
        <v>0.745</v>
      </c>
      <c r="G87" s="177">
        <v>125600</v>
      </c>
      <c r="H87" s="178">
        <f t="shared" si="14"/>
        <v>6118514.2857142864</v>
      </c>
      <c r="I87" s="128">
        <f t="shared" si="18"/>
        <v>6.1185142857142862</v>
      </c>
      <c r="J87" s="193">
        <f>IF( 'Organized Input Output'!$AD$5= "y", $K$4*(D87*1000)/$K$3, 0)</f>
        <v>170500</v>
      </c>
      <c r="K87" s="43">
        <f t="shared" si="19"/>
        <v>170.5</v>
      </c>
      <c r="L87" s="43">
        <f t="shared" si="20"/>
        <v>341000000</v>
      </c>
      <c r="M87" s="180">
        <f t="shared" si="15"/>
        <v>341</v>
      </c>
      <c r="N87" s="43">
        <f t="shared" si="21"/>
        <v>1200</v>
      </c>
      <c r="O87" s="128">
        <f t="shared" si="16"/>
        <v>4.32</v>
      </c>
      <c r="P87" s="181">
        <f t="shared" si="22"/>
        <v>351.43851428571429</v>
      </c>
      <c r="Q87" s="209">
        <f>IF( 'Organized Input Output'!$AF$9 = "y", P87 / ($Q$3 * $Q$4), 0)</f>
        <v>0</v>
      </c>
      <c r="R87" s="209">
        <f t="shared" si="23"/>
        <v>0</v>
      </c>
      <c r="S87" s="43">
        <f>IF( 'Organized Input Output'!$AF$9 = "y", IF(R87= 0, 1, 0), 0)</f>
        <v>0</v>
      </c>
      <c r="T87" s="209">
        <f t="shared" si="25"/>
        <v>0</v>
      </c>
      <c r="U87" s="43">
        <f>IF( 'Organized Input Output'!$AF$9 = "y", IF(T87= 0, 1, 0), 0)</f>
        <v>0</v>
      </c>
      <c r="V87" s="43">
        <f t="shared" si="17"/>
        <v>0</v>
      </c>
      <c r="W87" s="43">
        <f t="shared" si="24"/>
        <v>0</v>
      </c>
      <c r="X87" s="43">
        <f t="shared" si="26"/>
        <v>0</v>
      </c>
      <c r="Y87" s="43">
        <f t="shared" si="27"/>
        <v>0</v>
      </c>
    </row>
    <row r="88" spans="1:25" ht="15" customHeight="1">
      <c r="A88" s="43">
        <v>78</v>
      </c>
      <c r="B88" s="176">
        <v>7.6</v>
      </c>
      <c r="C88" s="126">
        <f>'Studio Rain System'!J100</f>
        <v>1.6</v>
      </c>
      <c r="D88" s="104">
        <f>'Studio Rain System'!K100</f>
        <v>1.76</v>
      </c>
      <c r="E88" s="104">
        <f>'Studio Rain System'!L100</f>
        <v>20</v>
      </c>
      <c r="F88" s="104">
        <f>'Studio Rain System'!M100</f>
        <v>0.745</v>
      </c>
      <c r="G88" s="177">
        <v>125600</v>
      </c>
      <c r="H88" s="178">
        <f t="shared" si="14"/>
        <v>315794.28571428574</v>
      </c>
      <c r="I88" s="128">
        <f t="shared" si="18"/>
        <v>0.31579428571428575</v>
      </c>
      <c r="J88" s="193">
        <f>IF( 'Organized Input Output'!$AD$5= "y", $K$4*(D88*1000)/$K$3, 0)</f>
        <v>8800</v>
      </c>
      <c r="K88" s="43">
        <f t="shared" si="19"/>
        <v>8.8000000000000007</v>
      </c>
      <c r="L88" s="43">
        <f t="shared" si="20"/>
        <v>17600000</v>
      </c>
      <c r="M88" s="180">
        <f t="shared" si="15"/>
        <v>17.600000000000001</v>
      </c>
      <c r="N88" s="43">
        <f t="shared" si="21"/>
        <v>1200</v>
      </c>
      <c r="O88" s="128">
        <f t="shared" si="16"/>
        <v>4.32</v>
      </c>
      <c r="P88" s="181">
        <f t="shared" si="22"/>
        <v>22.235794285714288</v>
      </c>
      <c r="Q88" s="209">
        <f>IF( 'Organized Input Output'!$AF$9 = "y", P88 / ($Q$3 * $Q$4), 0)</f>
        <v>0</v>
      </c>
      <c r="R88" s="209">
        <f t="shared" si="23"/>
        <v>0</v>
      </c>
      <c r="S88" s="43">
        <f>IF( 'Organized Input Output'!$AF$9 = "y", IF(R88= 0, 1, 0), 0)</f>
        <v>0</v>
      </c>
      <c r="T88" s="209">
        <f t="shared" si="25"/>
        <v>0</v>
      </c>
      <c r="U88" s="43">
        <f>IF( 'Organized Input Output'!$AF$9 = "y", IF(T88= 0, 1, 0), 0)</f>
        <v>0</v>
      </c>
      <c r="V88" s="43">
        <f t="shared" si="17"/>
        <v>0</v>
      </c>
      <c r="W88" s="43">
        <f t="shared" si="24"/>
        <v>0</v>
      </c>
      <c r="X88" s="43">
        <f t="shared" si="26"/>
        <v>0</v>
      </c>
      <c r="Y88" s="43">
        <f t="shared" si="27"/>
        <v>0</v>
      </c>
    </row>
    <row r="89" spans="1:25" ht="15" customHeight="1">
      <c r="A89" s="43">
        <v>79</v>
      </c>
      <c r="B89" s="176">
        <v>3</v>
      </c>
      <c r="C89" s="126">
        <f>'Studio Rain System'!J101</f>
        <v>1.6</v>
      </c>
      <c r="D89" s="104">
        <f>'Studio Rain System'!K101</f>
        <v>1.76</v>
      </c>
      <c r="E89" s="104">
        <f>'Studio Rain System'!L101</f>
        <v>20</v>
      </c>
      <c r="F89" s="104">
        <f>'Studio Rain System'!M101</f>
        <v>0.745</v>
      </c>
      <c r="G89" s="177">
        <v>125600</v>
      </c>
      <c r="H89" s="178">
        <f t="shared" si="14"/>
        <v>315794.28571428574</v>
      </c>
      <c r="I89" s="128">
        <f t="shared" si="18"/>
        <v>0.31579428571428575</v>
      </c>
      <c r="J89" s="193">
        <f>IF( 'Organized Input Output'!$AD$5= "y", $K$4*(D89*1000)/$K$3, 0)</f>
        <v>8800</v>
      </c>
      <c r="K89" s="43">
        <f t="shared" si="19"/>
        <v>8.8000000000000007</v>
      </c>
      <c r="L89" s="43">
        <f t="shared" si="20"/>
        <v>17600000</v>
      </c>
      <c r="M89" s="180">
        <f t="shared" si="15"/>
        <v>17.600000000000001</v>
      </c>
      <c r="N89" s="43">
        <f t="shared" si="21"/>
        <v>1200</v>
      </c>
      <c r="O89" s="128">
        <f t="shared" si="16"/>
        <v>4.32</v>
      </c>
      <c r="P89" s="181">
        <f t="shared" si="22"/>
        <v>22.235794285714288</v>
      </c>
      <c r="Q89" s="209">
        <f>IF( 'Organized Input Output'!$AF$9 = "y", P89 / ($Q$3 * $Q$4), 0)</f>
        <v>0</v>
      </c>
      <c r="R89" s="209">
        <f t="shared" si="23"/>
        <v>0</v>
      </c>
      <c r="S89" s="43">
        <f>IF( 'Organized Input Output'!$AF$9 = "y", IF(R89= 0, 1, 0), 0)</f>
        <v>0</v>
      </c>
      <c r="T89" s="209">
        <f t="shared" si="25"/>
        <v>0</v>
      </c>
      <c r="U89" s="43">
        <f>IF( 'Organized Input Output'!$AF$9 = "y", IF(T89= 0, 1, 0), 0)</f>
        <v>0</v>
      </c>
      <c r="V89" s="43">
        <f t="shared" si="17"/>
        <v>0</v>
      </c>
      <c r="W89" s="43">
        <f t="shared" si="24"/>
        <v>0</v>
      </c>
      <c r="X89" s="43">
        <f t="shared" si="26"/>
        <v>0</v>
      </c>
      <c r="Y89" s="43">
        <f t="shared" si="27"/>
        <v>0</v>
      </c>
    </row>
    <row r="90" spans="1:25" ht="15" customHeight="1">
      <c r="A90" s="43">
        <v>80</v>
      </c>
      <c r="B90" s="176">
        <v>0</v>
      </c>
      <c r="C90" s="126">
        <f>'Studio Rain System'!J102</f>
        <v>7.6</v>
      </c>
      <c r="D90" s="104">
        <f>'Studio Rain System'!K102</f>
        <v>8.36</v>
      </c>
      <c r="E90" s="104">
        <f>'Studio Rain System'!L102</f>
        <v>20</v>
      </c>
      <c r="F90" s="104">
        <f>'Studio Rain System'!M102</f>
        <v>0.745</v>
      </c>
      <c r="G90" s="177">
        <v>125600</v>
      </c>
      <c r="H90" s="178">
        <f t="shared" si="14"/>
        <v>1500022.8571428573</v>
      </c>
      <c r="I90" s="128">
        <f t="shared" si="18"/>
        <v>1.5000228571428573</v>
      </c>
      <c r="J90" s="193">
        <f>IF( 'Organized Input Output'!$AD$5= "y", $K$4*(D90*1000)/$K$3, 0)</f>
        <v>41800</v>
      </c>
      <c r="K90" s="43">
        <f t="shared" si="19"/>
        <v>41.8</v>
      </c>
      <c r="L90" s="43">
        <f t="shared" si="20"/>
        <v>83600000</v>
      </c>
      <c r="M90" s="180">
        <f t="shared" si="15"/>
        <v>83.6</v>
      </c>
      <c r="N90" s="43">
        <f t="shared" si="21"/>
        <v>1200</v>
      </c>
      <c r="O90" s="128">
        <f t="shared" si="16"/>
        <v>4.32</v>
      </c>
      <c r="P90" s="181">
        <f t="shared" si="22"/>
        <v>89.42002285714284</v>
      </c>
      <c r="Q90" s="209">
        <f>IF( 'Organized Input Output'!$AF$9 = "y", P90 / ($Q$3 * $Q$4), 0)</f>
        <v>0</v>
      </c>
      <c r="R90" s="209">
        <f t="shared" si="23"/>
        <v>0</v>
      </c>
      <c r="S90" s="43">
        <f>IF( 'Organized Input Output'!$AF$9 = "y", IF(R90= 0, 1, 0), 0)</f>
        <v>0</v>
      </c>
      <c r="T90" s="209">
        <f t="shared" si="25"/>
        <v>0</v>
      </c>
      <c r="U90" s="43">
        <f>IF( 'Organized Input Output'!$AF$9 = "y", IF(T90= 0, 1, 0), 0)</f>
        <v>0</v>
      </c>
      <c r="V90" s="43">
        <f t="shared" si="17"/>
        <v>0</v>
      </c>
      <c r="W90" s="43">
        <f t="shared" si="24"/>
        <v>0</v>
      </c>
      <c r="X90" s="43">
        <f t="shared" si="26"/>
        <v>0</v>
      </c>
      <c r="Y90" s="43">
        <f t="shared" si="27"/>
        <v>0</v>
      </c>
    </row>
    <row r="91" spans="1:25" ht="15" customHeight="1">
      <c r="A91" s="43">
        <v>81</v>
      </c>
      <c r="B91" s="176">
        <v>0</v>
      </c>
      <c r="C91" s="126">
        <f>'Studio Rain System'!J103</f>
        <v>2.6</v>
      </c>
      <c r="D91" s="104">
        <f>'Studio Rain System'!K103</f>
        <v>2.86</v>
      </c>
      <c r="E91" s="104">
        <f>'Studio Rain System'!L103</f>
        <v>20</v>
      </c>
      <c r="F91" s="104">
        <f>'Studio Rain System'!M103</f>
        <v>0.745</v>
      </c>
      <c r="G91" s="177">
        <v>125600</v>
      </c>
      <c r="H91" s="178">
        <f t="shared" si="14"/>
        <v>513165.71428571432</v>
      </c>
      <c r="I91" s="128">
        <f t="shared" si="18"/>
        <v>0.51316571428571434</v>
      </c>
      <c r="J91" s="193">
        <f>IF( 'Organized Input Output'!$AD$5= "y", $K$4*(D91*1000)/$K$3, 0)</f>
        <v>14300</v>
      </c>
      <c r="K91" s="43">
        <f t="shared" si="19"/>
        <v>14.3</v>
      </c>
      <c r="L91" s="43">
        <f t="shared" si="20"/>
        <v>28600000</v>
      </c>
      <c r="M91" s="180">
        <f t="shared" si="15"/>
        <v>28.6</v>
      </c>
      <c r="N91" s="43">
        <f t="shared" si="21"/>
        <v>1200</v>
      </c>
      <c r="O91" s="128">
        <f t="shared" si="16"/>
        <v>4.32</v>
      </c>
      <c r="P91" s="181">
        <f t="shared" si="22"/>
        <v>33.433165714285721</v>
      </c>
      <c r="Q91" s="209">
        <f>IF( 'Organized Input Output'!$AF$9 = "y", P91 / ($Q$3 * $Q$4), 0)</f>
        <v>0</v>
      </c>
      <c r="R91" s="209">
        <f t="shared" si="23"/>
        <v>0</v>
      </c>
      <c r="S91" s="43">
        <f>IF( 'Organized Input Output'!$AF$9 = "y", IF(R91= 0, 1, 0), 0)</f>
        <v>0</v>
      </c>
      <c r="T91" s="209">
        <f t="shared" si="25"/>
        <v>0</v>
      </c>
      <c r="U91" s="43">
        <f>IF( 'Organized Input Output'!$AF$9 = "y", IF(T91= 0, 1, 0), 0)</f>
        <v>0</v>
      </c>
      <c r="V91" s="43">
        <f t="shared" si="17"/>
        <v>0</v>
      </c>
      <c r="W91" s="43">
        <f t="shared" si="24"/>
        <v>0</v>
      </c>
      <c r="X91" s="43">
        <f t="shared" si="26"/>
        <v>0</v>
      </c>
      <c r="Y91" s="43">
        <f t="shared" si="27"/>
        <v>0</v>
      </c>
    </row>
    <row r="92" spans="1:25" ht="15" customHeight="1">
      <c r="A92" s="43">
        <v>82</v>
      </c>
      <c r="B92" s="176">
        <v>0</v>
      </c>
      <c r="C92" s="126">
        <f>'Studio Rain System'!J104</f>
        <v>0</v>
      </c>
      <c r="D92" s="104">
        <f>'Studio Rain System'!K104</f>
        <v>0</v>
      </c>
      <c r="E92" s="104">
        <f>'Studio Rain System'!L104</f>
        <v>19.254999999999999</v>
      </c>
      <c r="F92" s="104">
        <f>'Studio Rain System'!M104</f>
        <v>0.745</v>
      </c>
      <c r="G92" s="177">
        <v>125600</v>
      </c>
      <c r="H92" s="178">
        <f t="shared" si="14"/>
        <v>0</v>
      </c>
      <c r="I92" s="128">
        <f t="shared" si="18"/>
        <v>0</v>
      </c>
      <c r="J92" s="193">
        <f>IF( 'Organized Input Output'!$AD$5= "y", $K$4*(D92*1000)/$K$3, 0)</f>
        <v>0</v>
      </c>
      <c r="K92" s="43">
        <f t="shared" si="19"/>
        <v>0</v>
      </c>
      <c r="L92" s="43">
        <f t="shared" si="20"/>
        <v>0</v>
      </c>
      <c r="M92" s="180">
        <f t="shared" si="15"/>
        <v>0</v>
      </c>
      <c r="N92" s="43">
        <f t="shared" si="21"/>
        <v>1200</v>
      </c>
      <c r="O92" s="128">
        <f t="shared" si="16"/>
        <v>4.32</v>
      </c>
      <c r="P92" s="181">
        <f t="shared" si="22"/>
        <v>4.32</v>
      </c>
      <c r="Q92" s="209">
        <f>IF( 'Organized Input Output'!$AF$9 = "y", P92 / ($Q$3 * $Q$4), 0)</f>
        <v>0</v>
      </c>
      <c r="R92" s="209">
        <f t="shared" si="23"/>
        <v>0</v>
      </c>
      <c r="S92" s="43">
        <f>IF( 'Organized Input Output'!$AF$9 = "y", IF(R92= 0, 1, 0), 0)</f>
        <v>0</v>
      </c>
      <c r="T92" s="209">
        <f t="shared" si="25"/>
        <v>0</v>
      </c>
      <c r="U92" s="43">
        <f>IF( 'Organized Input Output'!$AF$9 = "y", IF(T92= 0, 1, 0), 0)</f>
        <v>0</v>
      </c>
      <c r="V92" s="43">
        <f t="shared" si="17"/>
        <v>0</v>
      </c>
      <c r="W92" s="43">
        <f t="shared" si="24"/>
        <v>0</v>
      </c>
      <c r="X92" s="43">
        <f t="shared" si="26"/>
        <v>0</v>
      </c>
      <c r="Y92" s="43">
        <f t="shared" si="27"/>
        <v>0</v>
      </c>
    </row>
    <row r="93" spans="1:25" ht="15" customHeight="1">
      <c r="A93" s="43">
        <v>83</v>
      </c>
      <c r="B93" s="176">
        <v>0</v>
      </c>
      <c r="C93" s="126">
        <f>'Studio Rain System'!J105</f>
        <v>4</v>
      </c>
      <c r="D93" s="104">
        <f>'Studio Rain System'!K105</f>
        <v>4.4000000000000004</v>
      </c>
      <c r="E93" s="104">
        <f>'Studio Rain System'!L105</f>
        <v>20</v>
      </c>
      <c r="F93" s="104">
        <f>'Studio Rain System'!M105</f>
        <v>0.745</v>
      </c>
      <c r="G93" s="177">
        <v>125600</v>
      </c>
      <c r="H93" s="178">
        <f t="shared" si="14"/>
        <v>789485.71428571432</v>
      </c>
      <c r="I93" s="128">
        <f t="shared" si="18"/>
        <v>0.78948571428571435</v>
      </c>
      <c r="J93" s="193">
        <f>IF( 'Organized Input Output'!$AD$5= "y", $K$4*(D93*1000)/$K$3, 0)</f>
        <v>22000</v>
      </c>
      <c r="K93" s="43">
        <f t="shared" si="19"/>
        <v>22</v>
      </c>
      <c r="L93" s="43">
        <f t="shared" si="20"/>
        <v>44000000</v>
      </c>
      <c r="M93" s="180">
        <f t="shared" si="15"/>
        <v>44</v>
      </c>
      <c r="N93" s="43">
        <f t="shared" si="21"/>
        <v>1200</v>
      </c>
      <c r="O93" s="128">
        <f t="shared" si="16"/>
        <v>4.32</v>
      </c>
      <c r="P93" s="181">
        <f t="shared" si="22"/>
        <v>49.109485714285718</v>
      </c>
      <c r="Q93" s="209">
        <f>IF( 'Organized Input Output'!$AF$9 = "y", P93 / ($Q$3 * $Q$4), 0)</f>
        <v>0</v>
      </c>
      <c r="R93" s="209">
        <f t="shared" si="23"/>
        <v>0</v>
      </c>
      <c r="S93" s="43">
        <f>IF( 'Organized Input Output'!$AF$9 = "y", IF(R93= 0, 1, 0), 0)</f>
        <v>0</v>
      </c>
      <c r="T93" s="209">
        <f t="shared" si="25"/>
        <v>0</v>
      </c>
      <c r="U93" s="43">
        <f>IF( 'Organized Input Output'!$AF$9 = "y", IF(T93= 0, 1, 0), 0)</f>
        <v>0</v>
      </c>
      <c r="V93" s="43">
        <f t="shared" si="17"/>
        <v>0</v>
      </c>
      <c r="W93" s="43">
        <f t="shared" si="24"/>
        <v>0</v>
      </c>
      <c r="X93" s="43">
        <f t="shared" si="26"/>
        <v>0</v>
      </c>
      <c r="Y93" s="43">
        <f t="shared" si="27"/>
        <v>0</v>
      </c>
    </row>
    <row r="94" spans="1:25" ht="15" customHeight="1">
      <c r="A94" s="43">
        <v>84</v>
      </c>
      <c r="B94" s="176">
        <v>0.4</v>
      </c>
      <c r="C94" s="126">
        <f>'Studio Rain System'!J106</f>
        <v>31</v>
      </c>
      <c r="D94" s="104">
        <f>'Studio Rain System'!K106</f>
        <v>34.1</v>
      </c>
      <c r="E94" s="104">
        <f>'Studio Rain System'!L106</f>
        <v>20</v>
      </c>
      <c r="F94" s="104">
        <f>'Studio Rain System'!M106</f>
        <v>0.745</v>
      </c>
      <c r="G94" s="177">
        <v>125600</v>
      </c>
      <c r="H94" s="178">
        <f t="shared" si="14"/>
        <v>6118514.2857142864</v>
      </c>
      <c r="I94" s="128">
        <f t="shared" si="18"/>
        <v>6.1185142857142862</v>
      </c>
      <c r="J94" s="193">
        <f>IF( 'Organized Input Output'!$AD$5= "y", $K$4*(D94*1000)/$K$3, 0)</f>
        <v>170500</v>
      </c>
      <c r="K94" s="43">
        <f t="shared" si="19"/>
        <v>170.5</v>
      </c>
      <c r="L94" s="43">
        <f t="shared" si="20"/>
        <v>341000000</v>
      </c>
      <c r="M94" s="180">
        <f t="shared" si="15"/>
        <v>341</v>
      </c>
      <c r="N94" s="43">
        <f t="shared" si="21"/>
        <v>1200</v>
      </c>
      <c r="O94" s="128">
        <f t="shared" si="16"/>
        <v>4.32</v>
      </c>
      <c r="P94" s="181">
        <f t="shared" si="22"/>
        <v>351.43851428571429</v>
      </c>
      <c r="Q94" s="209">
        <f>IF( 'Organized Input Output'!$AF$9 = "y", P94 / ($Q$3 * $Q$4), 0)</f>
        <v>0</v>
      </c>
      <c r="R94" s="209">
        <f t="shared" si="23"/>
        <v>0</v>
      </c>
      <c r="S94" s="43">
        <f>IF( 'Organized Input Output'!$AF$9 = "y", IF(R94= 0, 1, 0), 0)</f>
        <v>0</v>
      </c>
      <c r="T94" s="209">
        <f t="shared" si="25"/>
        <v>0</v>
      </c>
      <c r="U94" s="43">
        <f>IF( 'Organized Input Output'!$AF$9 = "y", IF(T94= 0, 1, 0), 0)</f>
        <v>0</v>
      </c>
      <c r="V94" s="43">
        <f t="shared" si="17"/>
        <v>0</v>
      </c>
      <c r="W94" s="43">
        <f t="shared" si="24"/>
        <v>0</v>
      </c>
      <c r="X94" s="43">
        <f t="shared" si="26"/>
        <v>0</v>
      </c>
      <c r="Y94" s="43">
        <f t="shared" si="27"/>
        <v>0</v>
      </c>
    </row>
    <row r="95" spans="1:25" ht="15" customHeight="1">
      <c r="A95" s="43">
        <v>85</v>
      </c>
      <c r="B95" s="176">
        <v>0.8</v>
      </c>
      <c r="C95" s="126">
        <f>'Studio Rain System'!J107</f>
        <v>0.2</v>
      </c>
      <c r="D95" s="104">
        <f>'Studio Rain System'!K107</f>
        <v>0.22</v>
      </c>
      <c r="E95" s="104">
        <f>'Studio Rain System'!L107</f>
        <v>19.474999999999998</v>
      </c>
      <c r="F95" s="104">
        <f>'Studio Rain System'!M107</f>
        <v>0.745</v>
      </c>
      <c r="G95" s="177">
        <v>125600</v>
      </c>
      <c r="H95" s="178">
        <f t="shared" si="14"/>
        <v>39474.285714285717</v>
      </c>
      <c r="I95" s="128">
        <f t="shared" si="18"/>
        <v>3.9474285714285719E-2</v>
      </c>
      <c r="J95" s="193">
        <f>IF( 'Organized Input Output'!$AD$5= "y", $K$4*(D95*1000)/$K$3, 0)</f>
        <v>1100</v>
      </c>
      <c r="K95" s="43">
        <f t="shared" si="19"/>
        <v>1.1000000000000001</v>
      </c>
      <c r="L95" s="43">
        <f t="shared" si="20"/>
        <v>2200000</v>
      </c>
      <c r="M95" s="180">
        <f t="shared" si="15"/>
        <v>2.2000000000000002</v>
      </c>
      <c r="N95" s="43">
        <f t="shared" si="21"/>
        <v>1200</v>
      </c>
      <c r="O95" s="128">
        <f t="shared" si="16"/>
        <v>4.32</v>
      </c>
      <c r="P95" s="181">
        <f t="shared" si="22"/>
        <v>6.5594742857142858</v>
      </c>
      <c r="Q95" s="209">
        <f>IF( 'Organized Input Output'!$AF$9 = "y", P95 / ($Q$3 * $Q$4), 0)</f>
        <v>0</v>
      </c>
      <c r="R95" s="209">
        <f t="shared" si="23"/>
        <v>0</v>
      </c>
      <c r="S95" s="43">
        <f>IF( 'Organized Input Output'!$AF$9 = "y", IF(R95= 0, 1, 0), 0)</f>
        <v>0</v>
      </c>
      <c r="T95" s="209">
        <f t="shared" si="25"/>
        <v>0</v>
      </c>
      <c r="U95" s="43">
        <f>IF( 'Organized Input Output'!$AF$9 = "y", IF(T95= 0, 1, 0), 0)</f>
        <v>0</v>
      </c>
      <c r="V95" s="43">
        <f t="shared" si="17"/>
        <v>0</v>
      </c>
      <c r="W95" s="43">
        <f t="shared" si="24"/>
        <v>0</v>
      </c>
      <c r="X95" s="43">
        <f t="shared" si="26"/>
        <v>0</v>
      </c>
      <c r="Y95" s="43">
        <f t="shared" si="27"/>
        <v>0</v>
      </c>
    </row>
    <row r="96" spans="1:25" ht="15" customHeight="1">
      <c r="A96" s="43">
        <v>86</v>
      </c>
      <c r="B96" s="176">
        <v>0</v>
      </c>
      <c r="C96" s="126">
        <f>'Studio Rain System'!J108</f>
        <v>4.4000000000000004</v>
      </c>
      <c r="D96" s="104">
        <f>'Studio Rain System'!K108</f>
        <v>4.84</v>
      </c>
      <c r="E96" s="104">
        <f>'Studio Rain System'!L108</f>
        <v>20</v>
      </c>
      <c r="F96" s="104">
        <f>'Studio Rain System'!M108</f>
        <v>0.745</v>
      </c>
      <c r="G96" s="177">
        <v>125600</v>
      </c>
      <c r="H96" s="178">
        <f t="shared" si="14"/>
        <v>868434.2857142858</v>
      </c>
      <c r="I96" s="128">
        <f t="shared" si="18"/>
        <v>0.86843428571428583</v>
      </c>
      <c r="J96" s="193">
        <f>IF( 'Organized Input Output'!$AD$5= "y", $K$4*(D96*1000)/$K$3, 0)</f>
        <v>24200</v>
      </c>
      <c r="K96" s="43">
        <f t="shared" si="19"/>
        <v>24.2</v>
      </c>
      <c r="L96" s="43">
        <f t="shared" si="20"/>
        <v>48400000</v>
      </c>
      <c r="M96" s="180">
        <f t="shared" si="15"/>
        <v>48.4</v>
      </c>
      <c r="N96" s="43">
        <f t="shared" si="21"/>
        <v>1200</v>
      </c>
      <c r="O96" s="128">
        <f t="shared" si="16"/>
        <v>4.32</v>
      </c>
      <c r="P96" s="181">
        <f t="shared" si="22"/>
        <v>53.588434285714285</v>
      </c>
      <c r="Q96" s="209">
        <f>IF( 'Organized Input Output'!$AF$9 = "y", P96 / ($Q$3 * $Q$4), 0)</f>
        <v>0</v>
      </c>
      <c r="R96" s="209">
        <f t="shared" si="23"/>
        <v>0</v>
      </c>
      <c r="S96" s="43">
        <f>IF( 'Organized Input Output'!$AF$9 = "y", IF(R96= 0, 1, 0), 0)</f>
        <v>0</v>
      </c>
      <c r="T96" s="209">
        <f t="shared" si="25"/>
        <v>0</v>
      </c>
      <c r="U96" s="43">
        <f>IF( 'Organized Input Output'!$AF$9 = "y", IF(T96= 0, 1, 0), 0)</f>
        <v>0</v>
      </c>
      <c r="V96" s="43">
        <f t="shared" si="17"/>
        <v>0</v>
      </c>
      <c r="W96" s="43">
        <f t="shared" si="24"/>
        <v>0</v>
      </c>
      <c r="X96" s="43">
        <f t="shared" si="26"/>
        <v>0</v>
      </c>
      <c r="Y96" s="43">
        <f t="shared" si="27"/>
        <v>0</v>
      </c>
    </row>
    <row r="97" spans="1:25" ht="15" customHeight="1">
      <c r="A97" s="43">
        <v>87</v>
      </c>
      <c r="B97" s="176">
        <v>0</v>
      </c>
      <c r="C97" s="126">
        <f>'Studio Rain System'!J109</f>
        <v>23.6</v>
      </c>
      <c r="D97" s="104">
        <f>'Studio Rain System'!K109</f>
        <v>25.960000000000004</v>
      </c>
      <c r="E97" s="104">
        <f>'Studio Rain System'!L109</f>
        <v>20</v>
      </c>
      <c r="F97" s="104">
        <f>'Studio Rain System'!M109</f>
        <v>0.745</v>
      </c>
      <c r="G97" s="177">
        <v>125600</v>
      </c>
      <c r="H97" s="178">
        <f t="shared" si="14"/>
        <v>4657965.7142857155</v>
      </c>
      <c r="I97" s="128">
        <f t="shared" si="18"/>
        <v>4.6579657142857158</v>
      </c>
      <c r="J97" s="193">
        <f>IF( 'Organized Input Output'!$AD$5= "y", $K$4*(D97*1000)/$K$3, 0)</f>
        <v>129800.00000000003</v>
      </c>
      <c r="K97" s="43">
        <f t="shared" si="19"/>
        <v>129.80000000000004</v>
      </c>
      <c r="L97" s="43">
        <f t="shared" si="20"/>
        <v>259600000.00000009</v>
      </c>
      <c r="M97" s="180">
        <f t="shared" si="15"/>
        <v>259.60000000000008</v>
      </c>
      <c r="N97" s="43">
        <f t="shared" si="21"/>
        <v>1200</v>
      </c>
      <c r="O97" s="128">
        <f t="shared" si="16"/>
        <v>4.32</v>
      </c>
      <c r="P97" s="181">
        <f t="shared" si="22"/>
        <v>268.57796571428577</v>
      </c>
      <c r="Q97" s="209">
        <f>IF( 'Organized Input Output'!$AF$9 = "y", P97 / ($Q$3 * $Q$4), 0)</f>
        <v>0</v>
      </c>
      <c r="R97" s="209">
        <f t="shared" si="23"/>
        <v>0</v>
      </c>
      <c r="S97" s="43">
        <f>IF( 'Organized Input Output'!$AF$9 = "y", IF(R97= 0, 1, 0), 0)</f>
        <v>0</v>
      </c>
      <c r="T97" s="209">
        <f t="shared" si="25"/>
        <v>0</v>
      </c>
      <c r="U97" s="43">
        <f>IF( 'Organized Input Output'!$AF$9 = "y", IF(T97= 0, 1, 0), 0)</f>
        <v>0</v>
      </c>
      <c r="V97" s="43">
        <f t="shared" si="17"/>
        <v>0</v>
      </c>
      <c r="W97" s="43">
        <f t="shared" si="24"/>
        <v>0</v>
      </c>
      <c r="X97" s="43">
        <f t="shared" si="26"/>
        <v>0</v>
      </c>
      <c r="Y97" s="43">
        <f t="shared" si="27"/>
        <v>0</v>
      </c>
    </row>
    <row r="98" spans="1:25" ht="15" customHeight="1">
      <c r="A98" s="43">
        <v>88</v>
      </c>
      <c r="B98" s="176">
        <v>0</v>
      </c>
      <c r="C98" s="126">
        <f>'Studio Rain System'!J110</f>
        <v>41.6</v>
      </c>
      <c r="D98" s="104">
        <f>'Studio Rain System'!K110</f>
        <v>45.76</v>
      </c>
      <c r="E98" s="104">
        <f>'Studio Rain System'!L110</f>
        <v>20</v>
      </c>
      <c r="F98" s="104">
        <f>'Studio Rain System'!M110</f>
        <v>0.745</v>
      </c>
      <c r="G98" s="177">
        <v>125600</v>
      </c>
      <c r="H98" s="178">
        <f t="shared" si="14"/>
        <v>8210651.4285714291</v>
      </c>
      <c r="I98" s="128">
        <f t="shared" si="18"/>
        <v>8.2106514285714294</v>
      </c>
      <c r="J98" s="193">
        <f>IF( 'Organized Input Output'!$AD$5= "y", $K$4*(D98*1000)/$K$3, 0)</f>
        <v>228800</v>
      </c>
      <c r="K98" s="43">
        <f t="shared" si="19"/>
        <v>228.8</v>
      </c>
      <c r="L98" s="43">
        <f t="shared" si="20"/>
        <v>457600000</v>
      </c>
      <c r="M98" s="180">
        <f t="shared" si="15"/>
        <v>457.6</v>
      </c>
      <c r="N98" s="43">
        <f t="shared" si="21"/>
        <v>1200</v>
      </c>
      <c r="O98" s="128">
        <f t="shared" si="16"/>
        <v>4.32</v>
      </c>
      <c r="P98" s="181">
        <f t="shared" si="22"/>
        <v>470.13065142857147</v>
      </c>
      <c r="Q98" s="209">
        <f>IF( 'Organized Input Output'!$AF$9 = "y", P98 / ($Q$3 * $Q$4), 0)</f>
        <v>0</v>
      </c>
      <c r="R98" s="209">
        <f t="shared" si="23"/>
        <v>0</v>
      </c>
      <c r="S98" s="43">
        <f>IF( 'Organized Input Output'!$AF$9 = "y", IF(R98= 0, 1, 0), 0)</f>
        <v>0</v>
      </c>
      <c r="T98" s="209">
        <f t="shared" si="25"/>
        <v>0</v>
      </c>
      <c r="U98" s="43">
        <f>IF( 'Organized Input Output'!$AF$9 = "y", IF(T98= 0, 1, 0), 0)</f>
        <v>0</v>
      </c>
      <c r="V98" s="43">
        <f t="shared" si="17"/>
        <v>0</v>
      </c>
      <c r="W98" s="43">
        <f t="shared" si="24"/>
        <v>0</v>
      </c>
      <c r="X98" s="43">
        <f t="shared" si="26"/>
        <v>0</v>
      </c>
      <c r="Y98" s="43">
        <f t="shared" si="27"/>
        <v>0</v>
      </c>
    </row>
    <row r="99" spans="1:25" ht="15" customHeight="1">
      <c r="A99" s="43">
        <v>89</v>
      </c>
      <c r="B99" s="176">
        <v>0</v>
      </c>
      <c r="C99" s="126">
        <f>'Studio Rain System'!J111</f>
        <v>3</v>
      </c>
      <c r="D99" s="104">
        <f>'Studio Rain System'!K111</f>
        <v>3.3000000000000003</v>
      </c>
      <c r="E99" s="104">
        <f>'Studio Rain System'!L111</f>
        <v>20</v>
      </c>
      <c r="F99" s="104">
        <f>'Studio Rain System'!M111</f>
        <v>0.745</v>
      </c>
      <c r="G99" s="177">
        <v>125600</v>
      </c>
      <c r="H99" s="178">
        <f t="shared" si="14"/>
        <v>592114.2857142858</v>
      </c>
      <c r="I99" s="128">
        <f t="shared" si="18"/>
        <v>0.59211428571428582</v>
      </c>
      <c r="J99" s="193">
        <f>IF( 'Organized Input Output'!$AD$5= "y", $K$4*(D99*1000)/$K$3, 0)</f>
        <v>16500.000000000004</v>
      </c>
      <c r="K99" s="43">
        <f t="shared" si="19"/>
        <v>16.500000000000004</v>
      </c>
      <c r="L99" s="43">
        <f t="shared" si="20"/>
        <v>33000000.000000007</v>
      </c>
      <c r="M99" s="180">
        <f t="shared" si="15"/>
        <v>33.000000000000007</v>
      </c>
      <c r="N99" s="43">
        <f t="shared" si="21"/>
        <v>1200</v>
      </c>
      <c r="O99" s="128">
        <f t="shared" si="16"/>
        <v>4.32</v>
      </c>
      <c r="P99" s="181">
        <f t="shared" si="22"/>
        <v>37.912114285714296</v>
      </c>
      <c r="Q99" s="209">
        <f>IF( 'Organized Input Output'!$AF$9 = "y", P99 / ($Q$3 * $Q$4), 0)</f>
        <v>0</v>
      </c>
      <c r="R99" s="209">
        <f t="shared" si="23"/>
        <v>0</v>
      </c>
      <c r="S99" s="43">
        <f>IF( 'Organized Input Output'!$AF$9 = "y", IF(R99= 0, 1, 0), 0)</f>
        <v>0</v>
      </c>
      <c r="T99" s="209">
        <f t="shared" si="25"/>
        <v>0</v>
      </c>
      <c r="U99" s="43">
        <f>IF( 'Organized Input Output'!$AF$9 = "y", IF(T99= 0, 1, 0), 0)</f>
        <v>0</v>
      </c>
      <c r="V99" s="43">
        <f t="shared" si="17"/>
        <v>0</v>
      </c>
      <c r="W99" s="43">
        <f t="shared" si="24"/>
        <v>0</v>
      </c>
      <c r="X99" s="43">
        <f t="shared" si="26"/>
        <v>0</v>
      </c>
      <c r="Y99" s="43">
        <f t="shared" si="27"/>
        <v>0</v>
      </c>
    </row>
    <row r="100" spans="1:25" ht="15" customHeight="1">
      <c r="A100" s="43">
        <v>90</v>
      </c>
      <c r="B100" s="176">
        <v>0</v>
      </c>
      <c r="C100" s="126">
        <f>'Studio Rain System'!J112</f>
        <v>0</v>
      </c>
      <c r="D100" s="104">
        <f>'Studio Rain System'!K112</f>
        <v>0</v>
      </c>
      <c r="E100" s="104">
        <f>'Studio Rain System'!L112</f>
        <v>19.254999999999999</v>
      </c>
      <c r="F100" s="104">
        <f>'Studio Rain System'!M112</f>
        <v>0.745</v>
      </c>
      <c r="G100" s="177">
        <v>125600</v>
      </c>
      <c r="H100" s="178">
        <f t="shared" si="14"/>
        <v>0</v>
      </c>
      <c r="I100" s="128">
        <f t="shared" si="18"/>
        <v>0</v>
      </c>
      <c r="J100" s="193">
        <f>IF( 'Organized Input Output'!$AD$5= "y", $K$4*(D100*1000)/$K$3, 0)</f>
        <v>0</v>
      </c>
      <c r="K100" s="43">
        <f t="shared" si="19"/>
        <v>0</v>
      </c>
      <c r="L100" s="43">
        <f t="shared" si="20"/>
        <v>0</v>
      </c>
      <c r="M100" s="180">
        <f t="shared" si="15"/>
        <v>0</v>
      </c>
      <c r="N100" s="43">
        <f t="shared" si="21"/>
        <v>1200</v>
      </c>
      <c r="O100" s="128">
        <f t="shared" si="16"/>
        <v>4.32</v>
      </c>
      <c r="P100" s="181">
        <f t="shared" si="22"/>
        <v>4.32</v>
      </c>
      <c r="Q100" s="209">
        <f>IF( 'Organized Input Output'!$AF$9 = "y", P100 / ($Q$3 * $Q$4), 0)</f>
        <v>0</v>
      </c>
      <c r="R100" s="209">
        <f t="shared" si="23"/>
        <v>0</v>
      </c>
      <c r="S100" s="43">
        <f>IF( 'Organized Input Output'!$AF$9 = "y", IF(R100= 0, 1, 0), 0)</f>
        <v>0</v>
      </c>
      <c r="T100" s="209">
        <f t="shared" si="25"/>
        <v>0</v>
      </c>
      <c r="U100" s="43">
        <f>IF( 'Organized Input Output'!$AF$9 = "y", IF(T100= 0, 1, 0), 0)</f>
        <v>0</v>
      </c>
      <c r="V100" s="43">
        <f t="shared" si="17"/>
        <v>0</v>
      </c>
      <c r="W100" s="43">
        <f t="shared" si="24"/>
        <v>0</v>
      </c>
      <c r="X100" s="43">
        <f t="shared" si="26"/>
        <v>0</v>
      </c>
      <c r="Y100" s="43">
        <f t="shared" si="27"/>
        <v>0</v>
      </c>
    </row>
    <row r="101" spans="1:25" ht="15" customHeight="1">
      <c r="A101" s="43">
        <v>91</v>
      </c>
      <c r="B101" s="176">
        <v>0</v>
      </c>
      <c r="C101" s="126">
        <f>'Studio Rain System'!J113</f>
        <v>0</v>
      </c>
      <c r="D101" s="104">
        <f>'Studio Rain System'!K113</f>
        <v>0</v>
      </c>
      <c r="E101" s="104">
        <f>'Studio Rain System'!L113</f>
        <v>18.509999999999998</v>
      </c>
      <c r="F101" s="104">
        <f>'Studio Rain System'!M113</f>
        <v>0.745</v>
      </c>
      <c r="G101" s="177">
        <v>125600</v>
      </c>
      <c r="H101" s="178">
        <f t="shared" si="14"/>
        <v>0</v>
      </c>
      <c r="I101" s="128">
        <f t="shared" si="18"/>
        <v>0</v>
      </c>
      <c r="J101" s="193">
        <f>IF( 'Organized Input Output'!$AD$5= "y", $K$4*(D101*1000)/$K$3, 0)</f>
        <v>0</v>
      </c>
      <c r="K101" s="43">
        <f t="shared" si="19"/>
        <v>0</v>
      </c>
      <c r="L101" s="43">
        <f t="shared" si="20"/>
        <v>0</v>
      </c>
      <c r="M101" s="180">
        <f t="shared" si="15"/>
        <v>0</v>
      </c>
      <c r="N101" s="43">
        <f t="shared" si="21"/>
        <v>1200</v>
      </c>
      <c r="O101" s="128">
        <f t="shared" si="16"/>
        <v>4.32</v>
      </c>
      <c r="P101" s="181">
        <f t="shared" si="22"/>
        <v>4.32</v>
      </c>
      <c r="Q101" s="209">
        <f>IF( 'Organized Input Output'!$AF$9 = "y", P101 / ($Q$3 * $Q$4), 0)</f>
        <v>0</v>
      </c>
      <c r="R101" s="209">
        <f t="shared" si="23"/>
        <v>0</v>
      </c>
      <c r="S101" s="43">
        <f>IF( 'Organized Input Output'!$AF$9 = "y", IF(R101= 0, 1, 0), 0)</f>
        <v>0</v>
      </c>
      <c r="T101" s="209">
        <f t="shared" si="25"/>
        <v>0</v>
      </c>
      <c r="U101" s="43">
        <f>IF( 'Organized Input Output'!$AF$9 = "y", IF(T101= 0, 1, 0), 0)</f>
        <v>0</v>
      </c>
      <c r="V101" s="43">
        <f t="shared" si="17"/>
        <v>0</v>
      </c>
      <c r="W101" s="43">
        <f t="shared" si="24"/>
        <v>0</v>
      </c>
      <c r="X101" s="43">
        <f t="shared" si="26"/>
        <v>0</v>
      </c>
      <c r="Y101" s="43">
        <f t="shared" si="27"/>
        <v>0</v>
      </c>
    </row>
    <row r="102" spans="1:25" ht="15" customHeight="1">
      <c r="A102" s="43">
        <v>92</v>
      </c>
      <c r="B102" s="176">
        <v>0</v>
      </c>
      <c r="C102" s="126">
        <f>'Studio Rain System'!J114</f>
        <v>5.6</v>
      </c>
      <c r="D102" s="104">
        <f>'Studio Rain System'!K114</f>
        <v>6.16</v>
      </c>
      <c r="E102" s="104">
        <f>'Studio Rain System'!L114</f>
        <v>20</v>
      </c>
      <c r="F102" s="104">
        <f>'Studio Rain System'!M114</f>
        <v>0.745</v>
      </c>
      <c r="G102" s="177">
        <v>125600</v>
      </c>
      <c r="H102" s="178">
        <f t="shared" si="14"/>
        <v>1105280</v>
      </c>
      <c r="I102" s="128">
        <f t="shared" si="18"/>
        <v>1.10528</v>
      </c>
      <c r="J102" s="193">
        <f>IF( 'Organized Input Output'!$AD$5= "y", $K$4*(D102*1000)/$K$3, 0)</f>
        <v>30800</v>
      </c>
      <c r="K102" s="43">
        <f t="shared" si="19"/>
        <v>30.8</v>
      </c>
      <c r="L102" s="43">
        <f t="shared" si="20"/>
        <v>61600000</v>
      </c>
      <c r="M102" s="180">
        <f t="shared" si="15"/>
        <v>61.6</v>
      </c>
      <c r="N102" s="43">
        <f t="shared" si="21"/>
        <v>1200</v>
      </c>
      <c r="O102" s="128">
        <f t="shared" si="16"/>
        <v>4.32</v>
      </c>
      <c r="P102" s="181">
        <f t="shared" si="22"/>
        <v>67.025280000000009</v>
      </c>
      <c r="Q102" s="209">
        <f>IF( 'Organized Input Output'!$AF$9 = "y", P102 / ($Q$3 * $Q$4), 0)</f>
        <v>0</v>
      </c>
      <c r="R102" s="209">
        <f t="shared" si="23"/>
        <v>0</v>
      </c>
      <c r="S102" s="43">
        <f>IF( 'Organized Input Output'!$AF$9 = "y", IF(R102= 0, 1, 0), 0)</f>
        <v>0</v>
      </c>
      <c r="T102" s="209">
        <f t="shared" si="25"/>
        <v>0</v>
      </c>
      <c r="U102" s="43">
        <f>IF( 'Organized Input Output'!$AF$9 = "y", IF(T102= 0, 1, 0), 0)</f>
        <v>0</v>
      </c>
      <c r="V102" s="43">
        <f t="shared" si="17"/>
        <v>0</v>
      </c>
      <c r="W102" s="43">
        <f t="shared" si="24"/>
        <v>0</v>
      </c>
      <c r="X102" s="43">
        <f t="shared" si="26"/>
        <v>0</v>
      </c>
      <c r="Y102" s="43">
        <f t="shared" si="27"/>
        <v>0</v>
      </c>
    </row>
    <row r="103" spans="1:25" ht="15" customHeight="1">
      <c r="A103" s="43">
        <v>93</v>
      </c>
      <c r="B103" s="176">
        <v>0</v>
      </c>
      <c r="C103" s="126">
        <f>'Studio Rain System'!J115</f>
        <v>20.399999999999999</v>
      </c>
      <c r="D103" s="104">
        <f>'Studio Rain System'!K115</f>
        <v>22.439999999999998</v>
      </c>
      <c r="E103" s="104">
        <f>'Studio Rain System'!L115</f>
        <v>20</v>
      </c>
      <c r="F103" s="104">
        <f>'Studio Rain System'!M115</f>
        <v>0.745</v>
      </c>
      <c r="G103" s="177">
        <v>125600</v>
      </c>
      <c r="H103" s="178">
        <f t="shared" si="14"/>
        <v>4026377.1428571423</v>
      </c>
      <c r="I103" s="128">
        <f t="shared" si="18"/>
        <v>4.0263771428571422</v>
      </c>
      <c r="J103" s="193">
        <f>IF( 'Organized Input Output'!$AD$5= "y", $K$4*(D103*1000)/$K$3, 0)</f>
        <v>112199.99999999997</v>
      </c>
      <c r="K103" s="43">
        <f t="shared" si="19"/>
        <v>112.19999999999997</v>
      </c>
      <c r="L103" s="43">
        <f t="shared" si="20"/>
        <v>224399999.99999994</v>
      </c>
      <c r="M103" s="180">
        <f t="shared" si="15"/>
        <v>224.39999999999995</v>
      </c>
      <c r="N103" s="43">
        <f t="shared" si="21"/>
        <v>1200</v>
      </c>
      <c r="O103" s="128">
        <f t="shared" si="16"/>
        <v>4.32</v>
      </c>
      <c r="P103" s="181">
        <f t="shared" si="22"/>
        <v>232.74637714285709</v>
      </c>
      <c r="Q103" s="209">
        <f>IF( 'Organized Input Output'!$AF$9 = "y", P103 / ($Q$3 * $Q$4), 0)</f>
        <v>0</v>
      </c>
      <c r="R103" s="209">
        <f t="shared" si="23"/>
        <v>0</v>
      </c>
      <c r="S103" s="43">
        <f>IF( 'Organized Input Output'!$AF$9 = "y", IF(R103= 0, 1, 0), 0)</f>
        <v>0</v>
      </c>
      <c r="T103" s="209">
        <f t="shared" si="25"/>
        <v>0</v>
      </c>
      <c r="U103" s="43">
        <f>IF( 'Organized Input Output'!$AF$9 = "y", IF(T103= 0, 1, 0), 0)</f>
        <v>0</v>
      </c>
      <c r="V103" s="43">
        <f t="shared" si="17"/>
        <v>0</v>
      </c>
      <c r="W103" s="43">
        <f t="shared" si="24"/>
        <v>0</v>
      </c>
      <c r="X103" s="43">
        <f t="shared" si="26"/>
        <v>0</v>
      </c>
      <c r="Y103" s="43">
        <f t="shared" si="27"/>
        <v>0</v>
      </c>
    </row>
    <row r="104" spans="1:25" ht="15" customHeight="1">
      <c r="A104" s="43">
        <v>94</v>
      </c>
      <c r="B104" s="176">
        <v>9.8000000000000007</v>
      </c>
      <c r="C104" s="126">
        <f>'Studio Rain System'!J116</f>
        <v>2.6</v>
      </c>
      <c r="D104" s="104">
        <f>'Studio Rain System'!K116</f>
        <v>2.86</v>
      </c>
      <c r="E104" s="104">
        <f>'Studio Rain System'!L116</f>
        <v>20</v>
      </c>
      <c r="F104" s="104">
        <f>'Studio Rain System'!M116</f>
        <v>0.745</v>
      </c>
      <c r="G104" s="177">
        <v>125600</v>
      </c>
      <c r="H104" s="178">
        <f t="shared" si="14"/>
        <v>513165.71428571432</v>
      </c>
      <c r="I104" s="128">
        <f t="shared" si="18"/>
        <v>0.51316571428571434</v>
      </c>
      <c r="J104" s="193">
        <f>IF( 'Organized Input Output'!$AD$5= "y", $K$4*(D104*1000)/$K$3, 0)</f>
        <v>14300</v>
      </c>
      <c r="K104" s="43">
        <f t="shared" si="19"/>
        <v>14.3</v>
      </c>
      <c r="L104" s="43">
        <f t="shared" si="20"/>
        <v>28600000</v>
      </c>
      <c r="M104" s="180">
        <f t="shared" si="15"/>
        <v>28.6</v>
      </c>
      <c r="N104" s="43">
        <f t="shared" si="21"/>
        <v>1200</v>
      </c>
      <c r="O104" s="128">
        <f t="shared" si="16"/>
        <v>4.32</v>
      </c>
      <c r="P104" s="181">
        <f t="shared" si="22"/>
        <v>33.433165714285721</v>
      </c>
      <c r="Q104" s="209">
        <f>IF( 'Organized Input Output'!$AF$9 = "y", P104 / ($Q$3 * $Q$4), 0)</f>
        <v>0</v>
      </c>
      <c r="R104" s="209">
        <f t="shared" si="23"/>
        <v>0</v>
      </c>
      <c r="S104" s="43">
        <f>IF( 'Organized Input Output'!$AF$9 = "y", IF(R104= 0, 1, 0), 0)</f>
        <v>0</v>
      </c>
      <c r="T104" s="209">
        <f t="shared" si="25"/>
        <v>0</v>
      </c>
      <c r="U104" s="43">
        <f>IF( 'Organized Input Output'!$AF$9 = "y", IF(T104= 0, 1, 0), 0)</f>
        <v>0</v>
      </c>
      <c r="V104" s="43">
        <f t="shared" si="17"/>
        <v>0</v>
      </c>
      <c r="W104" s="43">
        <f t="shared" si="24"/>
        <v>0</v>
      </c>
      <c r="X104" s="43">
        <f t="shared" si="26"/>
        <v>0</v>
      </c>
      <c r="Y104" s="43">
        <f t="shared" si="27"/>
        <v>0</v>
      </c>
    </row>
    <row r="105" spans="1:25" ht="15" customHeight="1">
      <c r="A105" s="43">
        <v>95</v>
      </c>
      <c r="B105" s="176">
        <v>2.2000000000000002</v>
      </c>
      <c r="C105" s="126">
        <f>'Studio Rain System'!J117</f>
        <v>15.9</v>
      </c>
      <c r="D105" s="104">
        <f>'Studio Rain System'!K117</f>
        <v>17.490000000000002</v>
      </c>
      <c r="E105" s="104">
        <f>'Studio Rain System'!L117</f>
        <v>20</v>
      </c>
      <c r="F105" s="104">
        <f>'Studio Rain System'!M117</f>
        <v>0.745</v>
      </c>
      <c r="G105" s="177">
        <v>125600</v>
      </c>
      <c r="H105" s="178">
        <f t="shared" si="14"/>
        <v>3138205.714285715</v>
      </c>
      <c r="I105" s="128">
        <f t="shared" si="18"/>
        <v>3.1382057142857152</v>
      </c>
      <c r="J105" s="193">
        <f>IF( 'Organized Input Output'!$AD$5= "y", $K$4*(D105*1000)/$K$3, 0)</f>
        <v>87450.000000000029</v>
      </c>
      <c r="K105" s="43">
        <f t="shared" si="19"/>
        <v>87.450000000000031</v>
      </c>
      <c r="L105" s="43">
        <f t="shared" si="20"/>
        <v>174900000.00000006</v>
      </c>
      <c r="M105" s="180">
        <f t="shared" si="15"/>
        <v>174.90000000000006</v>
      </c>
      <c r="N105" s="43">
        <f t="shared" si="21"/>
        <v>1200</v>
      </c>
      <c r="O105" s="128">
        <f t="shared" si="16"/>
        <v>4.32</v>
      </c>
      <c r="P105" s="181">
        <f t="shared" si="22"/>
        <v>182.35820571428576</v>
      </c>
      <c r="Q105" s="209">
        <f>IF( 'Organized Input Output'!$AF$9 = "y", P105 / ($Q$3 * $Q$4), 0)</f>
        <v>0</v>
      </c>
      <c r="R105" s="209">
        <f t="shared" si="23"/>
        <v>0</v>
      </c>
      <c r="S105" s="43">
        <f>IF( 'Organized Input Output'!$AF$9 = "y", IF(R105= 0, 1, 0), 0)</f>
        <v>0</v>
      </c>
      <c r="T105" s="209">
        <f t="shared" si="25"/>
        <v>0</v>
      </c>
      <c r="U105" s="43">
        <f>IF( 'Organized Input Output'!$AF$9 = "y", IF(T105= 0, 1, 0), 0)</f>
        <v>0</v>
      </c>
      <c r="V105" s="43">
        <f t="shared" si="17"/>
        <v>0</v>
      </c>
      <c r="W105" s="43">
        <f t="shared" si="24"/>
        <v>0</v>
      </c>
      <c r="X105" s="43">
        <f t="shared" si="26"/>
        <v>0</v>
      </c>
      <c r="Y105" s="43">
        <f t="shared" si="27"/>
        <v>0</v>
      </c>
    </row>
    <row r="106" spans="1:25" ht="15" customHeight="1">
      <c r="A106" s="43">
        <v>96</v>
      </c>
      <c r="B106" s="176">
        <v>3.4</v>
      </c>
      <c r="C106" s="126">
        <f>'Studio Rain System'!J118</f>
        <v>9.4</v>
      </c>
      <c r="D106" s="104">
        <f>'Studio Rain System'!K118</f>
        <v>10.34</v>
      </c>
      <c r="E106" s="104">
        <f>'Studio Rain System'!L118</f>
        <v>20</v>
      </c>
      <c r="F106" s="104">
        <f>'Studio Rain System'!M118</f>
        <v>0.745</v>
      </c>
      <c r="G106" s="177">
        <v>125600</v>
      </c>
      <c r="H106" s="178">
        <f t="shared" si="14"/>
        <v>1855291.4285714286</v>
      </c>
      <c r="I106" s="128">
        <f t="shared" si="18"/>
        <v>1.8552914285714286</v>
      </c>
      <c r="J106" s="193">
        <f>IF( 'Organized Input Output'!$AD$5= "y", $K$4*(D106*1000)/$K$3, 0)</f>
        <v>51700</v>
      </c>
      <c r="K106" s="43">
        <f t="shared" si="19"/>
        <v>51.7</v>
      </c>
      <c r="L106" s="43">
        <f t="shared" si="20"/>
        <v>103400000</v>
      </c>
      <c r="M106" s="180">
        <f t="shared" si="15"/>
        <v>103.4</v>
      </c>
      <c r="N106" s="43">
        <f t="shared" si="21"/>
        <v>1200</v>
      </c>
      <c r="O106" s="128">
        <f t="shared" si="16"/>
        <v>4.32</v>
      </c>
      <c r="P106" s="181">
        <f t="shared" si="22"/>
        <v>109.57529142857143</v>
      </c>
      <c r="Q106" s="209">
        <f>IF( 'Organized Input Output'!$AF$9 = "y", P106 / ($Q$3 * $Q$4), 0)</f>
        <v>0</v>
      </c>
      <c r="R106" s="209">
        <f t="shared" si="23"/>
        <v>0</v>
      </c>
      <c r="S106" s="43">
        <f>IF( 'Organized Input Output'!$AF$9 = "y", IF(R106= 0, 1, 0), 0)</f>
        <v>0</v>
      </c>
      <c r="T106" s="209">
        <f t="shared" si="25"/>
        <v>0</v>
      </c>
      <c r="U106" s="43">
        <f>IF( 'Organized Input Output'!$AF$9 = "y", IF(T106= 0, 1, 0), 0)</f>
        <v>0</v>
      </c>
      <c r="V106" s="43">
        <f t="shared" si="17"/>
        <v>0</v>
      </c>
      <c r="W106" s="43">
        <f t="shared" si="24"/>
        <v>0</v>
      </c>
      <c r="X106" s="43">
        <f t="shared" si="26"/>
        <v>0</v>
      </c>
      <c r="Y106" s="43">
        <f t="shared" si="27"/>
        <v>0</v>
      </c>
    </row>
    <row r="107" spans="1:25" ht="15" customHeight="1">
      <c r="A107" s="43">
        <v>97</v>
      </c>
      <c r="B107" s="176">
        <v>0</v>
      </c>
      <c r="C107" s="126">
        <f>'Studio Rain System'!J119</f>
        <v>13.6</v>
      </c>
      <c r="D107" s="104">
        <f>'Studio Rain System'!K119</f>
        <v>14.959999999999999</v>
      </c>
      <c r="E107" s="104">
        <f>'Studio Rain System'!L119</f>
        <v>20</v>
      </c>
      <c r="F107" s="104">
        <f>'Studio Rain System'!M119</f>
        <v>0.745</v>
      </c>
      <c r="G107" s="177">
        <v>125600</v>
      </c>
      <c r="H107" s="178">
        <f t="shared" si="14"/>
        <v>2684251.4285714286</v>
      </c>
      <c r="I107" s="128">
        <f t="shared" si="18"/>
        <v>2.6842514285714287</v>
      </c>
      <c r="J107" s="193">
        <f>IF( 'Organized Input Output'!$AD$5= "y", $K$4*(D107*1000)/$K$3, 0)</f>
        <v>74799.999999999985</v>
      </c>
      <c r="K107" s="43">
        <f t="shared" si="19"/>
        <v>74.799999999999983</v>
      </c>
      <c r="L107" s="43">
        <f t="shared" si="20"/>
        <v>149599999.99999997</v>
      </c>
      <c r="M107" s="180">
        <f t="shared" si="15"/>
        <v>149.59999999999997</v>
      </c>
      <c r="N107" s="43">
        <f t="shared" si="21"/>
        <v>1200</v>
      </c>
      <c r="O107" s="128">
        <f t="shared" si="16"/>
        <v>4.32</v>
      </c>
      <c r="P107" s="181">
        <f t="shared" si="22"/>
        <v>156.60425142857139</v>
      </c>
      <c r="Q107" s="209">
        <f>IF( 'Organized Input Output'!$AF$9 = "y", P107 / ($Q$3 * $Q$4), 0)</f>
        <v>0</v>
      </c>
      <c r="R107" s="209">
        <f t="shared" si="23"/>
        <v>0</v>
      </c>
      <c r="S107" s="43">
        <f>IF( 'Organized Input Output'!$AF$9 = "y", IF(R107= 0, 1, 0), 0)</f>
        <v>0</v>
      </c>
      <c r="T107" s="209">
        <f t="shared" si="25"/>
        <v>0</v>
      </c>
      <c r="U107" s="43">
        <f>IF( 'Organized Input Output'!$AF$9 = "y", IF(T107= 0, 1, 0), 0)</f>
        <v>0</v>
      </c>
      <c r="V107" s="43">
        <f t="shared" si="17"/>
        <v>0</v>
      </c>
      <c r="W107" s="43">
        <f t="shared" si="24"/>
        <v>0</v>
      </c>
      <c r="X107" s="43">
        <f t="shared" si="26"/>
        <v>0</v>
      </c>
      <c r="Y107" s="43">
        <f t="shared" si="27"/>
        <v>0</v>
      </c>
    </row>
    <row r="108" spans="1:25" ht="15" customHeight="1">
      <c r="A108" s="43">
        <v>98</v>
      </c>
      <c r="B108" s="176">
        <v>2</v>
      </c>
      <c r="C108" s="126">
        <f>'Studio Rain System'!J120</f>
        <v>5.6</v>
      </c>
      <c r="D108" s="104">
        <f>'Studio Rain System'!K120</f>
        <v>6.16</v>
      </c>
      <c r="E108" s="104">
        <f>'Studio Rain System'!L120</f>
        <v>20</v>
      </c>
      <c r="F108" s="104">
        <f>'Studio Rain System'!M120</f>
        <v>0.745</v>
      </c>
      <c r="G108" s="177">
        <v>125600</v>
      </c>
      <c r="H108" s="178">
        <f t="shared" si="14"/>
        <v>1105280</v>
      </c>
      <c r="I108" s="128">
        <f t="shared" si="18"/>
        <v>1.10528</v>
      </c>
      <c r="J108" s="193">
        <f>IF( 'Organized Input Output'!$AD$5= "y", $K$4*(D108*1000)/$K$3, 0)</f>
        <v>30800</v>
      </c>
      <c r="K108" s="43">
        <f t="shared" si="19"/>
        <v>30.8</v>
      </c>
      <c r="L108" s="43">
        <f t="shared" si="20"/>
        <v>61600000</v>
      </c>
      <c r="M108" s="180">
        <f t="shared" si="15"/>
        <v>61.6</v>
      </c>
      <c r="N108" s="43">
        <f t="shared" si="21"/>
        <v>1200</v>
      </c>
      <c r="O108" s="128">
        <f t="shared" si="16"/>
        <v>4.32</v>
      </c>
      <c r="P108" s="181">
        <f t="shared" si="22"/>
        <v>67.025280000000009</v>
      </c>
      <c r="Q108" s="209">
        <f>IF( 'Organized Input Output'!$AF$9 = "y", P108 / ($Q$3 * $Q$4), 0)</f>
        <v>0</v>
      </c>
      <c r="R108" s="209">
        <f t="shared" si="23"/>
        <v>0</v>
      </c>
      <c r="S108" s="43">
        <f>IF( 'Organized Input Output'!$AF$9 = "y", IF(R108= 0, 1, 0), 0)</f>
        <v>0</v>
      </c>
      <c r="T108" s="209">
        <f t="shared" si="25"/>
        <v>0</v>
      </c>
      <c r="U108" s="43">
        <f>IF( 'Organized Input Output'!$AF$9 = "y", IF(T108= 0, 1, 0), 0)</f>
        <v>0</v>
      </c>
      <c r="V108" s="43">
        <f t="shared" si="17"/>
        <v>0</v>
      </c>
      <c r="W108" s="43">
        <f t="shared" si="24"/>
        <v>0</v>
      </c>
      <c r="X108" s="43">
        <f t="shared" si="26"/>
        <v>0</v>
      </c>
      <c r="Y108" s="43">
        <f t="shared" si="27"/>
        <v>0</v>
      </c>
    </row>
    <row r="109" spans="1:25" ht="15" customHeight="1">
      <c r="A109" s="43">
        <v>99</v>
      </c>
      <c r="B109" s="176">
        <v>0</v>
      </c>
      <c r="C109" s="126">
        <f>'Studio Rain System'!J121</f>
        <v>0</v>
      </c>
      <c r="D109" s="104">
        <f>'Studio Rain System'!K121</f>
        <v>0</v>
      </c>
      <c r="E109" s="104">
        <f>'Studio Rain System'!L121</f>
        <v>19.254999999999999</v>
      </c>
      <c r="F109" s="104">
        <f>'Studio Rain System'!M121</f>
        <v>0.745</v>
      </c>
      <c r="G109" s="177">
        <v>125600</v>
      </c>
      <c r="H109" s="178">
        <f t="shared" si="14"/>
        <v>0</v>
      </c>
      <c r="I109" s="128">
        <f t="shared" si="18"/>
        <v>0</v>
      </c>
      <c r="J109" s="193">
        <f>IF( 'Organized Input Output'!$AD$5= "y", $K$4*(D109*1000)/$K$3, 0)</f>
        <v>0</v>
      </c>
      <c r="K109" s="43">
        <f t="shared" si="19"/>
        <v>0</v>
      </c>
      <c r="L109" s="43">
        <f t="shared" si="20"/>
        <v>0</v>
      </c>
      <c r="M109" s="180">
        <f t="shared" si="15"/>
        <v>0</v>
      </c>
      <c r="N109" s="43">
        <f t="shared" si="21"/>
        <v>1200</v>
      </c>
      <c r="O109" s="128">
        <f t="shared" si="16"/>
        <v>4.32</v>
      </c>
      <c r="P109" s="181">
        <f t="shared" si="22"/>
        <v>4.32</v>
      </c>
      <c r="Q109" s="209">
        <f>IF( 'Organized Input Output'!$AF$9 = "y", P109 / ($Q$3 * $Q$4), 0)</f>
        <v>0</v>
      </c>
      <c r="R109" s="209">
        <f t="shared" si="23"/>
        <v>0</v>
      </c>
      <c r="S109" s="43">
        <f>IF( 'Organized Input Output'!$AF$9 = "y", IF(R109= 0, 1, 0), 0)</f>
        <v>0</v>
      </c>
      <c r="T109" s="209">
        <f t="shared" si="25"/>
        <v>0</v>
      </c>
      <c r="U109" s="43">
        <f>IF( 'Organized Input Output'!$AF$9 = "y", IF(T109= 0, 1, 0), 0)</f>
        <v>0</v>
      </c>
      <c r="V109" s="43">
        <f t="shared" si="17"/>
        <v>0</v>
      </c>
      <c r="W109" s="43">
        <f t="shared" si="24"/>
        <v>0</v>
      </c>
      <c r="X109" s="43">
        <f t="shared" si="26"/>
        <v>0</v>
      </c>
      <c r="Y109" s="43">
        <f t="shared" si="27"/>
        <v>0</v>
      </c>
    </row>
    <row r="110" spans="1:25" ht="15" customHeight="1">
      <c r="A110" s="43">
        <v>100</v>
      </c>
      <c r="B110" s="176">
        <v>1.2</v>
      </c>
      <c r="C110" s="126">
        <f>'Studio Rain System'!J122</f>
        <v>16.600000000000001</v>
      </c>
      <c r="D110" s="104">
        <f>'Studio Rain System'!K122</f>
        <v>18.260000000000002</v>
      </c>
      <c r="E110" s="104">
        <f>'Studio Rain System'!L122</f>
        <v>20</v>
      </c>
      <c r="F110" s="104">
        <f>'Studio Rain System'!M122</f>
        <v>0.745</v>
      </c>
      <c r="G110" s="177">
        <v>125600</v>
      </c>
      <c r="H110" s="178">
        <f t="shared" si="14"/>
        <v>3276365.7142857146</v>
      </c>
      <c r="I110" s="128">
        <f t="shared" si="18"/>
        <v>3.2763657142857148</v>
      </c>
      <c r="J110" s="193">
        <f>IF( 'Organized Input Output'!$AD$5= "y", $K$4*(D110*1000)/$K$3, 0)</f>
        <v>91300</v>
      </c>
      <c r="K110" s="43">
        <f t="shared" si="19"/>
        <v>91.3</v>
      </c>
      <c r="L110" s="43">
        <f t="shared" si="20"/>
        <v>182600000</v>
      </c>
      <c r="M110" s="180">
        <f t="shared" si="15"/>
        <v>182.6</v>
      </c>
      <c r="N110" s="43">
        <f t="shared" si="21"/>
        <v>1200</v>
      </c>
      <c r="O110" s="128">
        <f t="shared" si="16"/>
        <v>4.32</v>
      </c>
      <c r="P110" s="181">
        <f t="shared" si="22"/>
        <v>190.19636571428569</v>
      </c>
      <c r="Q110" s="209">
        <f>IF( 'Organized Input Output'!$AF$9 = "y", P110 / ($Q$3 * $Q$4), 0)</f>
        <v>0</v>
      </c>
      <c r="R110" s="209">
        <f t="shared" si="23"/>
        <v>0</v>
      </c>
      <c r="S110" s="43">
        <f>IF( 'Organized Input Output'!$AF$9 = "y", IF(R110= 0, 1, 0), 0)</f>
        <v>0</v>
      </c>
      <c r="T110" s="209">
        <f t="shared" si="25"/>
        <v>0</v>
      </c>
      <c r="U110" s="43">
        <f>IF( 'Organized Input Output'!$AF$9 = "y", IF(T110= 0, 1, 0), 0)</f>
        <v>0</v>
      </c>
      <c r="V110" s="43">
        <f t="shared" si="17"/>
        <v>0</v>
      </c>
      <c r="W110" s="43">
        <f t="shared" si="24"/>
        <v>0</v>
      </c>
      <c r="X110" s="43">
        <f t="shared" si="26"/>
        <v>0</v>
      </c>
      <c r="Y110" s="43">
        <f t="shared" si="27"/>
        <v>0</v>
      </c>
    </row>
    <row r="111" spans="1:25" ht="15" customHeight="1">
      <c r="A111" s="43">
        <v>101</v>
      </c>
      <c r="B111" s="176">
        <v>1</v>
      </c>
      <c r="C111" s="126">
        <f>'Studio Rain System'!J123</f>
        <v>0</v>
      </c>
      <c r="D111" s="104">
        <f>'Studio Rain System'!K123</f>
        <v>0</v>
      </c>
      <c r="E111" s="104">
        <f>'Studio Rain System'!L123</f>
        <v>19.254999999999999</v>
      </c>
      <c r="F111" s="104">
        <f>'Studio Rain System'!M123</f>
        <v>0.745</v>
      </c>
      <c r="G111" s="177">
        <v>125600</v>
      </c>
      <c r="H111" s="178">
        <f t="shared" si="14"/>
        <v>0</v>
      </c>
      <c r="I111" s="128">
        <f t="shared" si="18"/>
        <v>0</v>
      </c>
      <c r="J111" s="193">
        <f>IF( 'Organized Input Output'!$AD$5= "y", $K$4*(D111*1000)/$K$3, 0)</f>
        <v>0</v>
      </c>
      <c r="K111" s="43">
        <f t="shared" si="19"/>
        <v>0</v>
      </c>
      <c r="L111" s="43">
        <f t="shared" si="20"/>
        <v>0</v>
      </c>
      <c r="M111" s="180">
        <f t="shared" si="15"/>
        <v>0</v>
      </c>
      <c r="N111" s="43">
        <f t="shared" si="21"/>
        <v>1200</v>
      </c>
      <c r="O111" s="128">
        <f t="shared" si="16"/>
        <v>4.32</v>
      </c>
      <c r="P111" s="181">
        <f t="shared" si="22"/>
        <v>4.32</v>
      </c>
      <c r="Q111" s="209">
        <f>IF( 'Organized Input Output'!$AF$9 = "y", P111 / ($Q$3 * $Q$4), 0)</f>
        <v>0</v>
      </c>
      <c r="R111" s="209">
        <f t="shared" si="23"/>
        <v>0</v>
      </c>
      <c r="S111" s="43">
        <f>IF( 'Organized Input Output'!$AF$9 = "y", IF(R111= 0, 1, 0), 0)</f>
        <v>0</v>
      </c>
      <c r="T111" s="209">
        <f t="shared" si="25"/>
        <v>0</v>
      </c>
      <c r="U111" s="43">
        <f>IF( 'Organized Input Output'!$AF$9 = "y", IF(T111= 0, 1, 0), 0)</f>
        <v>0</v>
      </c>
      <c r="V111" s="43">
        <f t="shared" si="17"/>
        <v>0</v>
      </c>
      <c r="W111" s="43">
        <f t="shared" si="24"/>
        <v>0</v>
      </c>
      <c r="X111" s="43">
        <f t="shared" si="26"/>
        <v>0</v>
      </c>
      <c r="Y111" s="43">
        <f t="shared" si="27"/>
        <v>0</v>
      </c>
    </row>
    <row r="112" spans="1:25" ht="15" customHeight="1">
      <c r="A112" s="43">
        <v>102</v>
      </c>
      <c r="B112" s="176">
        <v>8.4</v>
      </c>
      <c r="C112" s="126">
        <f>'Studio Rain System'!J124</f>
        <v>0</v>
      </c>
      <c r="D112" s="104">
        <f>'Studio Rain System'!K124</f>
        <v>0</v>
      </c>
      <c r="E112" s="104">
        <f>'Studio Rain System'!L124</f>
        <v>18.509999999999998</v>
      </c>
      <c r="F112" s="104">
        <f>'Studio Rain System'!M124</f>
        <v>0.745</v>
      </c>
      <c r="G112" s="177">
        <v>125600</v>
      </c>
      <c r="H112" s="178">
        <f t="shared" si="14"/>
        <v>0</v>
      </c>
      <c r="I112" s="128">
        <f t="shared" si="18"/>
        <v>0</v>
      </c>
      <c r="J112" s="193">
        <f>IF( 'Organized Input Output'!$AD$5= "y", $K$4*(D112*1000)/$K$3, 0)</f>
        <v>0</v>
      </c>
      <c r="K112" s="43">
        <f t="shared" si="19"/>
        <v>0</v>
      </c>
      <c r="L112" s="43">
        <f t="shared" si="20"/>
        <v>0</v>
      </c>
      <c r="M112" s="180">
        <f t="shared" si="15"/>
        <v>0</v>
      </c>
      <c r="N112" s="43">
        <f t="shared" si="21"/>
        <v>1200</v>
      </c>
      <c r="O112" s="128">
        <f t="shared" si="16"/>
        <v>4.32</v>
      </c>
      <c r="P112" s="181">
        <f t="shared" si="22"/>
        <v>4.32</v>
      </c>
      <c r="Q112" s="209">
        <f>IF( 'Organized Input Output'!$AF$9 = "y", P112 / ($Q$3 * $Q$4), 0)</f>
        <v>0</v>
      </c>
      <c r="R112" s="209">
        <f t="shared" si="23"/>
        <v>0</v>
      </c>
      <c r="S112" s="43">
        <f>IF( 'Organized Input Output'!$AF$9 = "y", IF(R112= 0, 1, 0), 0)</f>
        <v>0</v>
      </c>
      <c r="T112" s="209">
        <f t="shared" si="25"/>
        <v>0</v>
      </c>
      <c r="U112" s="43">
        <f>IF( 'Organized Input Output'!$AF$9 = "y", IF(T112= 0, 1, 0), 0)</f>
        <v>0</v>
      </c>
      <c r="V112" s="43">
        <f t="shared" si="17"/>
        <v>0</v>
      </c>
      <c r="W112" s="43">
        <f t="shared" si="24"/>
        <v>0</v>
      </c>
      <c r="X112" s="43">
        <f t="shared" si="26"/>
        <v>0</v>
      </c>
      <c r="Y112" s="43">
        <f t="shared" si="27"/>
        <v>0</v>
      </c>
    </row>
    <row r="113" spans="1:25" ht="15" customHeight="1">
      <c r="A113" s="43">
        <v>103</v>
      </c>
      <c r="B113" s="176">
        <v>0</v>
      </c>
      <c r="C113" s="126">
        <f>'Studio Rain System'!J125</f>
        <v>0</v>
      </c>
      <c r="D113" s="104">
        <f>'Studio Rain System'!K125</f>
        <v>0</v>
      </c>
      <c r="E113" s="104">
        <f>'Studio Rain System'!L125</f>
        <v>17.764999999999997</v>
      </c>
      <c r="F113" s="104">
        <f>'Studio Rain System'!M125</f>
        <v>0.745</v>
      </c>
      <c r="G113" s="177">
        <v>125600</v>
      </c>
      <c r="H113" s="178">
        <f t="shared" si="14"/>
        <v>0</v>
      </c>
      <c r="I113" s="128">
        <f t="shared" si="18"/>
        <v>0</v>
      </c>
      <c r="J113" s="193">
        <f>IF( 'Organized Input Output'!$AD$5= "y", $K$4*(D113*1000)/$K$3, 0)</f>
        <v>0</v>
      </c>
      <c r="K113" s="43">
        <f t="shared" si="19"/>
        <v>0</v>
      </c>
      <c r="L113" s="43">
        <f t="shared" si="20"/>
        <v>0</v>
      </c>
      <c r="M113" s="180">
        <f t="shared" si="15"/>
        <v>0</v>
      </c>
      <c r="N113" s="43">
        <f t="shared" si="21"/>
        <v>1200</v>
      </c>
      <c r="O113" s="128">
        <f t="shared" si="16"/>
        <v>4.32</v>
      </c>
      <c r="P113" s="181">
        <f t="shared" si="22"/>
        <v>4.32</v>
      </c>
      <c r="Q113" s="209">
        <f>IF( 'Organized Input Output'!$AF$9 = "y", P113 / ($Q$3 * $Q$4), 0)</f>
        <v>0</v>
      </c>
      <c r="R113" s="209">
        <f t="shared" si="23"/>
        <v>0</v>
      </c>
      <c r="S113" s="43">
        <f>IF( 'Organized Input Output'!$AF$9 = "y", IF(R113= 0, 1, 0), 0)</f>
        <v>0</v>
      </c>
      <c r="T113" s="209">
        <f t="shared" si="25"/>
        <v>0</v>
      </c>
      <c r="U113" s="43">
        <f>IF( 'Organized Input Output'!$AF$9 = "y", IF(T113= 0, 1, 0), 0)</f>
        <v>0</v>
      </c>
      <c r="V113" s="43">
        <f t="shared" si="17"/>
        <v>0</v>
      </c>
      <c r="W113" s="43">
        <f t="shared" si="24"/>
        <v>0</v>
      </c>
      <c r="X113" s="43">
        <f t="shared" si="26"/>
        <v>0</v>
      </c>
      <c r="Y113" s="43">
        <f t="shared" si="27"/>
        <v>0</v>
      </c>
    </row>
    <row r="114" spans="1:25" ht="15" customHeight="1">
      <c r="A114" s="43">
        <v>104</v>
      </c>
      <c r="B114" s="176">
        <v>0</v>
      </c>
      <c r="C114" s="126">
        <f>'Studio Rain System'!J126</f>
        <v>14.8</v>
      </c>
      <c r="D114" s="104">
        <f>'Studio Rain System'!K126</f>
        <v>16.28</v>
      </c>
      <c r="E114" s="104">
        <f>'Studio Rain System'!L126</f>
        <v>20</v>
      </c>
      <c r="F114" s="104">
        <f>'Studio Rain System'!M126</f>
        <v>0.745</v>
      </c>
      <c r="G114" s="177">
        <v>125600</v>
      </c>
      <c r="H114" s="178">
        <f t="shared" si="14"/>
        <v>2921097.1428571432</v>
      </c>
      <c r="I114" s="128">
        <f t="shared" si="18"/>
        <v>2.9210971428571431</v>
      </c>
      <c r="J114" s="193">
        <f>IF( 'Organized Input Output'!$AD$5= "y", $K$4*(D114*1000)/$K$3, 0)</f>
        <v>81400.000000000015</v>
      </c>
      <c r="K114" s="43">
        <f t="shared" si="19"/>
        <v>81.40000000000002</v>
      </c>
      <c r="L114" s="43">
        <f t="shared" si="20"/>
        <v>162800000.00000003</v>
      </c>
      <c r="M114" s="180">
        <f t="shared" si="15"/>
        <v>162.80000000000004</v>
      </c>
      <c r="N114" s="43">
        <f t="shared" si="21"/>
        <v>1200</v>
      </c>
      <c r="O114" s="128">
        <f t="shared" si="16"/>
        <v>4.32</v>
      </c>
      <c r="P114" s="181">
        <f t="shared" si="22"/>
        <v>170.04109714285718</v>
      </c>
      <c r="Q114" s="209">
        <f>IF( 'Organized Input Output'!$AF$9 = "y", P114 / ($Q$3 * $Q$4), 0)</f>
        <v>0</v>
      </c>
      <c r="R114" s="209">
        <f t="shared" si="23"/>
        <v>0</v>
      </c>
      <c r="S114" s="43">
        <f>IF( 'Organized Input Output'!$AF$9 = "y", IF(R114= 0, 1, 0), 0)</f>
        <v>0</v>
      </c>
      <c r="T114" s="209">
        <f t="shared" si="25"/>
        <v>0</v>
      </c>
      <c r="U114" s="43">
        <f>IF( 'Organized Input Output'!$AF$9 = "y", IF(T114= 0, 1, 0), 0)</f>
        <v>0</v>
      </c>
      <c r="V114" s="43">
        <f t="shared" si="17"/>
        <v>0</v>
      </c>
      <c r="W114" s="43">
        <f t="shared" si="24"/>
        <v>0</v>
      </c>
      <c r="X114" s="43">
        <f t="shared" si="26"/>
        <v>0</v>
      </c>
      <c r="Y114" s="43">
        <f t="shared" si="27"/>
        <v>0</v>
      </c>
    </row>
    <row r="115" spans="1:25" ht="15" customHeight="1">
      <c r="A115" s="43">
        <v>105</v>
      </c>
      <c r="B115" s="176">
        <v>0</v>
      </c>
      <c r="C115" s="126">
        <f>'Studio Rain System'!J127</f>
        <v>20.8</v>
      </c>
      <c r="D115" s="104">
        <f>'Studio Rain System'!K127</f>
        <v>22.88</v>
      </c>
      <c r="E115" s="104">
        <f>'Studio Rain System'!L127</f>
        <v>20</v>
      </c>
      <c r="F115" s="104">
        <f>'Studio Rain System'!M127</f>
        <v>0.745</v>
      </c>
      <c r="G115" s="177">
        <v>125600</v>
      </c>
      <c r="H115" s="178">
        <f t="shared" si="14"/>
        <v>4105325.7142857146</v>
      </c>
      <c r="I115" s="128">
        <f t="shared" si="18"/>
        <v>4.1053257142857147</v>
      </c>
      <c r="J115" s="193">
        <f>IF( 'Organized Input Output'!$AD$5= "y", $K$4*(D115*1000)/$K$3, 0)</f>
        <v>114400</v>
      </c>
      <c r="K115" s="43">
        <f t="shared" si="19"/>
        <v>114.4</v>
      </c>
      <c r="L115" s="43">
        <f t="shared" si="20"/>
        <v>228800000</v>
      </c>
      <c r="M115" s="180">
        <f t="shared" si="15"/>
        <v>228.8</v>
      </c>
      <c r="N115" s="43">
        <f t="shared" si="21"/>
        <v>1200</v>
      </c>
      <c r="O115" s="128">
        <f t="shared" si="16"/>
        <v>4.32</v>
      </c>
      <c r="P115" s="181">
        <f t="shared" si="22"/>
        <v>237.22532571428573</v>
      </c>
      <c r="Q115" s="209">
        <f>IF( 'Organized Input Output'!$AF$9 = "y", P115 / ($Q$3 * $Q$4), 0)</f>
        <v>0</v>
      </c>
      <c r="R115" s="209">
        <f t="shared" si="23"/>
        <v>0</v>
      </c>
      <c r="S115" s="43">
        <f>IF( 'Organized Input Output'!$AF$9 = "y", IF(R115= 0, 1, 0), 0)</f>
        <v>0</v>
      </c>
      <c r="T115" s="209">
        <f t="shared" si="25"/>
        <v>0</v>
      </c>
      <c r="U115" s="43">
        <f>IF( 'Organized Input Output'!$AF$9 = "y", IF(T115= 0, 1, 0), 0)</f>
        <v>0</v>
      </c>
      <c r="V115" s="43">
        <f t="shared" si="17"/>
        <v>0</v>
      </c>
      <c r="W115" s="43">
        <f t="shared" si="24"/>
        <v>0</v>
      </c>
      <c r="X115" s="43">
        <f t="shared" si="26"/>
        <v>0</v>
      </c>
      <c r="Y115" s="43">
        <f t="shared" si="27"/>
        <v>0</v>
      </c>
    </row>
    <row r="116" spans="1:25" ht="15" customHeight="1">
      <c r="A116" s="43">
        <v>106</v>
      </c>
      <c r="B116" s="176">
        <v>0</v>
      </c>
      <c r="C116" s="126">
        <f>'Studio Rain System'!J128</f>
        <v>37.4</v>
      </c>
      <c r="D116" s="104">
        <f>'Studio Rain System'!K128</f>
        <v>41.139999999999993</v>
      </c>
      <c r="E116" s="104">
        <f>'Studio Rain System'!L128</f>
        <v>20</v>
      </c>
      <c r="F116" s="104">
        <f>'Studio Rain System'!M128</f>
        <v>0.745</v>
      </c>
      <c r="G116" s="177">
        <v>125600</v>
      </c>
      <c r="H116" s="178">
        <f t="shared" si="14"/>
        <v>7381691.4285714282</v>
      </c>
      <c r="I116" s="128">
        <f t="shared" si="18"/>
        <v>7.3816914285714281</v>
      </c>
      <c r="J116" s="193">
        <f>IF( 'Organized Input Output'!$AD$5= "y", $K$4*(D116*1000)/$K$3, 0)</f>
        <v>205699.99999999994</v>
      </c>
      <c r="K116" s="43">
        <f t="shared" si="19"/>
        <v>205.69999999999993</v>
      </c>
      <c r="L116" s="43">
        <f t="shared" si="20"/>
        <v>411399999.99999988</v>
      </c>
      <c r="M116" s="180">
        <f t="shared" si="15"/>
        <v>411.39999999999986</v>
      </c>
      <c r="N116" s="43">
        <f t="shared" si="21"/>
        <v>1200</v>
      </c>
      <c r="O116" s="128">
        <f t="shared" si="16"/>
        <v>4.32</v>
      </c>
      <c r="P116" s="181">
        <f t="shared" si="22"/>
        <v>423.10169142857126</v>
      </c>
      <c r="Q116" s="209">
        <f>IF( 'Organized Input Output'!$AF$9 = "y", P116 / ($Q$3 * $Q$4), 0)</f>
        <v>0</v>
      </c>
      <c r="R116" s="209">
        <f t="shared" si="23"/>
        <v>0</v>
      </c>
      <c r="S116" s="43">
        <f>IF( 'Organized Input Output'!$AF$9 = "y", IF(R116= 0, 1, 0), 0)</f>
        <v>0</v>
      </c>
      <c r="T116" s="209">
        <f t="shared" si="25"/>
        <v>0</v>
      </c>
      <c r="U116" s="43">
        <f>IF( 'Organized Input Output'!$AF$9 = "y", IF(T116= 0, 1, 0), 0)</f>
        <v>0</v>
      </c>
      <c r="V116" s="43">
        <f t="shared" si="17"/>
        <v>0</v>
      </c>
      <c r="W116" s="43">
        <f t="shared" si="24"/>
        <v>0</v>
      </c>
      <c r="X116" s="43">
        <f t="shared" si="26"/>
        <v>0</v>
      </c>
      <c r="Y116" s="43">
        <f t="shared" si="27"/>
        <v>0</v>
      </c>
    </row>
    <row r="117" spans="1:25" ht="15" customHeight="1">
      <c r="A117" s="43">
        <v>107</v>
      </c>
      <c r="B117" s="176">
        <v>0</v>
      </c>
      <c r="C117" s="126">
        <f>'Studio Rain System'!J129</f>
        <v>9.8000000000000007</v>
      </c>
      <c r="D117" s="104">
        <f>'Studio Rain System'!K129</f>
        <v>10.780000000000001</v>
      </c>
      <c r="E117" s="104">
        <f>'Studio Rain System'!L129</f>
        <v>20</v>
      </c>
      <c r="F117" s="104">
        <f>'Studio Rain System'!M129</f>
        <v>0.745</v>
      </c>
      <c r="G117" s="177">
        <v>125600</v>
      </c>
      <c r="H117" s="178">
        <f t="shared" si="14"/>
        <v>1934240.0000000005</v>
      </c>
      <c r="I117" s="128">
        <f t="shared" si="18"/>
        <v>1.9342400000000004</v>
      </c>
      <c r="J117" s="193">
        <f>IF( 'Organized Input Output'!$AD$5= "y", $K$4*(D117*1000)/$K$3, 0)</f>
        <v>53900.000000000015</v>
      </c>
      <c r="K117" s="43">
        <f t="shared" si="19"/>
        <v>53.900000000000013</v>
      </c>
      <c r="L117" s="43">
        <f t="shared" si="20"/>
        <v>107800000.00000003</v>
      </c>
      <c r="M117" s="180">
        <f t="shared" si="15"/>
        <v>107.80000000000003</v>
      </c>
      <c r="N117" s="43">
        <f t="shared" si="21"/>
        <v>1200</v>
      </c>
      <c r="O117" s="128">
        <f t="shared" si="16"/>
        <v>4.32</v>
      </c>
      <c r="P117" s="181">
        <f t="shared" si="22"/>
        <v>114.05424000000002</v>
      </c>
      <c r="Q117" s="209">
        <f>IF( 'Organized Input Output'!$AF$9 = "y", P117 / ($Q$3 * $Q$4), 0)</f>
        <v>0</v>
      </c>
      <c r="R117" s="209">
        <f t="shared" si="23"/>
        <v>0</v>
      </c>
      <c r="S117" s="43">
        <f>IF( 'Organized Input Output'!$AF$9 = "y", IF(R117= 0, 1, 0), 0)</f>
        <v>0</v>
      </c>
      <c r="T117" s="209">
        <f t="shared" si="25"/>
        <v>0</v>
      </c>
      <c r="U117" s="43">
        <f>IF( 'Organized Input Output'!$AF$9 = "y", IF(T117= 0, 1, 0), 0)</f>
        <v>0</v>
      </c>
      <c r="V117" s="43">
        <f t="shared" si="17"/>
        <v>0</v>
      </c>
      <c r="W117" s="43">
        <f t="shared" si="24"/>
        <v>0</v>
      </c>
      <c r="X117" s="43">
        <f t="shared" si="26"/>
        <v>0</v>
      </c>
      <c r="Y117" s="43">
        <f t="shared" si="27"/>
        <v>0</v>
      </c>
    </row>
    <row r="118" spans="1:25" ht="15" customHeight="1">
      <c r="A118" s="43">
        <v>108</v>
      </c>
      <c r="B118" s="176">
        <v>8.1999999999999993</v>
      </c>
      <c r="C118" s="126">
        <f>'Studio Rain System'!J130</f>
        <v>1.9</v>
      </c>
      <c r="D118" s="104">
        <f>'Studio Rain System'!K130</f>
        <v>2.09</v>
      </c>
      <c r="E118" s="104">
        <f>'Studio Rain System'!L130</f>
        <v>20</v>
      </c>
      <c r="F118" s="104">
        <f>'Studio Rain System'!M130</f>
        <v>0.745</v>
      </c>
      <c r="G118" s="177">
        <v>125600</v>
      </c>
      <c r="H118" s="178">
        <f t="shared" si="14"/>
        <v>375005.71428571432</v>
      </c>
      <c r="I118" s="128">
        <f t="shared" si="18"/>
        <v>0.37500571428571433</v>
      </c>
      <c r="J118" s="193">
        <f>IF( 'Organized Input Output'!$AD$5= "y", $K$4*(D118*1000)/$K$3, 0)</f>
        <v>10450</v>
      </c>
      <c r="K118" s="43">
        <f t="shared" si="19"/>
        <v>10.45</v>
      </c>
      <c r="L118" s="43">
        <f t="shared" si="20"/>
        <v>20900000</v>
      </c>
      <c r="M118" s="180">
        <f t="shared" si="15"/>
        <v>20.9</v>
      </c>
      <c r="N118" s="43">
        <f t="shared" si="21"/>
        <v>1200</v>
      </c>
      <c r="O118" s="128">
        <f t="shared" si="16"/>
        <v>4.32</v>
      </c>
      <c r="P118" s="181">
        <f t="shared" si="22"/>
        <v>25.595005714285712</v>
      </c>
      <c r="Q118" s="209">
        <f>IF( 'Organized Input Output'!$AF$9 = "y", P118 / ($Q$3 * $Q$4), 0)</f>
        <v>0</v>
      </c>
      <c r="R118" s="209">
        <f t="shared" si="23"/>
        <v>0</v>
      </c>
      <c r="S118" s="43">
        <f>IF( 'Organized Input Output'!$AF$9 = "y", IF(R118= 0, 1, 0), 0)</f>
        <v>0</v>
      </c>
      <c r="T118" s="209">
        <f t="shared" si="25"/>
        <v>0</v>
      </c>
      <c r="U118" s="43">
        <f>IF( 'Organized Input Output'!$AF$9 = "y", IF(T118= 0, 1, 0), 0)</f>
        <v>0</v>
      </c>
      <c r="V118" s="43">
        <f t="shared" si="17"/>
        <v>0</v>
      </c>
      <c r="W118" s="43">
        <f t="shared" si="24"/>
        <v>0</v>
      </c>
      <c r="X118" s="43">
        <f t="shared" si="26"/>
        <v>0</v>
      </c>
      <c r="Y118" s="43">
        <f t="shared" si="27"/>
        <v>0</v>
      </c>
    </row>
    <row r="119" spans="1:25" ht="15" customHeight="1">
      <c r="A119" s="43">
        <v>109</v>
      </c>
      <c r="B119" s="176">
        <v>0.8</v>
      </c>
      <c r="C119" s="126">
        <f>'Studio Rain System'!J131</f>
        <v>21</v>
      </c>
      <c r="D119" s="104">
        <f>'Studio Rain System'!K131</f>
        <v>23.1</v>
      </c>
      <c r="E119" s="104">
        <f>'Studio Rain System'!L131</f>
        <v>20</v>
      </c>
      <c r="F119" s="104">
        <f>'Studio Rain System'!M131</f>
        <v>0.745</v>
      </c>
      <c r="G119" s="177">
        <v>125600</v>
      </c>
      <c r="H119" s="178">
        <f t="shared" si="14"/>
        <v>4144800.0000000005</v>
      </c>
      <c r="I119" s="128">
        <f t="shared" si="18"/>
        <v>4.1448</v>
      </c>
      <c r="J119" s="193">
        <f>IF( 'Organized Input Output'!$AD$5= "y", $K$4*(D119*1000)/$K$3, 0)</f>
        <v>115500</v>
      </c>
      <c r="K119" s="43">
        <f t="shared" si="19"/>
        <v>115.5</v>
      </c>
      <c r="L119" s="43">
        <f t="shared" si="20"/>
        <v>231000000</v>
      </c>
      <c r="M119" s="180">
        <f t="shared" si="15"/>
        <v>231</v>
      </c>
      <c r="N119" s="43">
        <f t="shared" si="21"/>
        <v>1200</v>
      </c>
      <c r="O119" s="128">
        <f t="shared" si="16"/>
        <v>4.32</v>
      </c>
      <c r="P119" s="181">
        <f t="shared" si="22"/>
        <v>239.4648</v>
      </c>
      <c r="Q119" s="209">
        <f>IF( 'Organized Input Output'!$AF$9 = "y", P119 / ($Q$3 * $Q$4), 0)</f>
        <v>0</v>
      </c>
      <c r="R119" s="209">
        <f t="shared" si="23"/>
        <v>0</v>
      </c>
      <c r="S119" s="43">
        <f>IF( 'Organized Input Output'!$AF$9 = "y", IF(R119= 0, 1, 0), 0)</f>
        <v>0</v>
      </c>
      <c r="T119" s="209">
        <f t="shared" si="25"/>
        <v>0</v>
      </c>
      <c r="U119" s="43">
        <f>IF( 'Organized Input Output'!$AF$9 = "y", IF(T119= 0, 1, 0), 0)</f>
        <v>0</v>
      </c>
      <c r="V119" s="43">
        <f t="shared" si="17"/>
        <v>0</v>
      </c>
      <c r="W119" s="43">
        <f t="shared" si="24"/>
        <v>0</v>
      </c>
      <c r="X119" s="43">
        <f t="shared" si="26"/>
        <v>0</v>
      </c>
      <c r="Y119" s="43">
        <f t="shared" si="27"/>
        <v>0</v>
      </c>
    </row>
    <row r="120" spans="1:25" ht="15" customHeight="1">
      <c r="A120" s="43">
        <v>110</v>
      </c>
      <c r="B120" s="176">
        <v>0</v>
      </c>
      <c r="C120" s="126">
        <f>'Studio Rain System'!J132</f>
        <v>30</v>
      </c>
      <c r="D120" s="104">
        <f>'Studio Rain System'!K132</f>
        <v>33</v>
      </c>
      <c r="E120" s="104">
        <f>'Studio Rain System'!L132</f>
        <v>20</v>
      </c>
      <c r="F120" s="104">
        <f>'Studio Rain System'!M132</f>
        <v>0.745</v>
      </c>
      <c r="G120" s="177">
        <v>125600</v>
      </c>
      <c r="H120" s="178">
        <f t="shared" si="14"/>
        <v>5921142.8571428573</v>
      </c>
      <c r="I120" s="128">
        <f t="shared" si="18"/>
        <v>5.9211428571428577</v>
      </c>
      <c r="J120" s="193">
        <f>IF( 'Organized Input Output'!$AD$5= "y", $K$4*(D120*1000)/$K$3, 0)</f>
        <v>165000</v>
      </c>
      <c r="K120" s="43">
        <f t="shared" si="19"/>
        <v>165</v>
      </c>
      <c r="L120" s="43">
        <f t="shared" si="20"/>
        <v>330000000</v>
      </c>
      <c r="M120" s="180">
        <f t="shared" si="15"/>
        <v>330</v>
      </c>
      <c r="N120" s="43">
        <f t="shared" si="21"/>
        <v>1200</v>
      </c>
      <c r="O120" s="128">
        <f t="shared" si="16"/>
        <v>4.32</v>
      </c>
      <c r="P120" s="181">
        <f t="shared" si="22"/>
        <v>340.24114285714285</v>
      </c>
      <c r="Q120" s="209">
        <f>IF( 'Organized Input Output'!$AF$9 = "y", P120 / ($Q$3 * $Q$4), 0)</f>
        <v>0</v>
      </c>
      <c r="R120" s="209">
        <f t="shared" si="23"/>
        <v>0</v>
      </c>
      <c r="S120" s="43">
        <f>IF( 'Organized Input Output'!$AF$9 = "y", IF(R120= 0, 1, 0), 0)</f>
        <v>0</v>
      </c>
      <c r="T120" s="209">
        <f t="shared" si="25"/>
        <v>0</v>
      </c>
      <c r="U120" s="43">
        <f>IF( 'Organized Input Output'!$AF$9 = "y", IF(T120= 0, 1, 0), 0)</f>
        <v>0</v>
      </c>
      <c r="V120" s="43">
        <f t="shared" si="17"/>
        <v>0</v>
      </c>
      <c r="W120" s="43">
        <f t="shared" si="24"/>
        <v>0</v>
      </c>
      <c r="X120" s="43">
        <f t="shared" si="26"/>
        <v>0</v>
      </c>
      <c r="Y120" s="43">
        <f t="shared" si="27"/>
        <v>0</v>
      </c>
    </row>
    <row r="121" spans="1:25" ht="15" customHeight="1">
      <c r="A121" s="43">
        <v>111</v>
      </c>
      <c r="B121" s="176">
        <v>0</v>
      </c>
      <c r="C121" s="126">
        <f>'Studio Rain System'!J133</f>
        <v>0</v>
      </c>
      <c r="D121" s="104">
        <f>'Studio Rain System'!K133</f>
        <v>0</v>
      </c>
      <c r="E121" s="104">
        <f>'Studio Rain System'!L133</f>
        <v>19.254999999999999</v>
      </c>
      <c r="F121" s="104">
        <f>'Studio Rain System'!M133</f>
        <v>0.745</v>
      </c>
      <c r="G121" s="177">
        <v>125600</v>
      </c>
      <c r="H121" s="178">
        <f t="shared" si="14"/>
        <v>0</v>
      </c>
      <c r="I121" s="128">
        <f t="shared" si="18"/>
        <v>0</v>
      </c>
      <c r="J121" s="193">
        <f>IF( 'Organized Input Output'!$AD$5= "y", $K$4*(D121*1000)/$K$3, 0)</f>
        <v>0</v>
      </c>
      <c r="K121" s="43">
        <f t="shared" si="19"/>
        <v>0</v>
      </c>
      <c r="L121" s="43">
        <f t="shared" si="20"/>
        <v>0</v>
      </c>
      <c r="M121" s="180">
        <f t="shared" si="15"/>
        <v>0</v>
      </c>
      <c r="N121" s="43">
        <f t="shared" si="21"/>
        <v>1200</v>
      </c>
      <c r="O121" s="128">
        <f t="shared" si="16"/>
        <v>4.32</v>
      </c>
      <c r="P121" s="181">
        <f t="shared" si="22"/>
        <v>4.32</v>
      </c>
      <c r="Q121" s="209">
        <f>IF( 'Organized Input Output'!$AF$9 = "y", P121 / ($Q$3 * $Q$4), 0)</f>
        <v>0</v>
      </c>
      <c r="R121" s="209">
        <f t="shared" si="23"/>
        <v>0</v>
      </c>
      <c r="S121" s="43">
        <f>IF( 'Organized Input Output'!$AF$9 = "y", IF(R121= 0, 1, 0), 0)</f>
        <v>0</v>
      </c>
      <c r="T121" s="209">
        <f t="shared" si="25"/>
        <v>0</v>
      </c>
      <c r="U121" s="43">
        <f>IF( 'Organized Input Output'!$AF$9 = "y", IF(T121= 0, 1, 0), 0)</f>
        <v>0</v>
      </c>
      <c r="V121" s="43">
        <f t="shared" si="17"/>
        <v>0</v>
      </c>
      <c r="W121" s="43">
        <f t="shared" si="24"/>
        <v>0</v>
      </c>
      <c r="X121" s="43">
        <f t="shared" si="26"/>
        <v>0</v>
      </c>
      <c r="Y121" s="43">
        <f t="shared" si="27"/>
        <v>0</v>
      </c>
    </row>
    <row r="122" spans="1:25" ht="15" customHeight="1">
      <c r="A122" s="43">
        <v>112</v>
      </c>
      <c r="B122" s="176">
        <v>0</v>
      </c>
      <c r="C122" s="126">
        <f>'Studio Rain System'!J134</f>
        <v>4.4000000000000004</v>
      </c>
      <c r="D122" s="104">
        <f>'Studio Rain System'!K134</f>
        <v>4.84</v>
      </c>
      <c r="E122" s="104">
        <f>'Studio Rain System'!L134</f>
        <v>20</v>
      </c>
      <c r="F122" s="104">
        <f>'Studio Rain System'!M134</f>
        <v>0.745</v>
      </c>
      <c r="G122" s="177">
        <v>125600</v>
      </c>
      <c r="H122" s="178">
        <f t="shared" si="14"/>
        <v>868434.2857142858</v>
      </c>
      <c r="I122" s="128">
        <f t="shared" si="18"/>
        <v>0.86843428571428583</v>
      </c>
      <c r="J122" s="193">
        <f>IF( 'Organized Input Output'!$AD$5= "y", $K$4*(D122*1000)/$K$3, 0)</f>
        <v>24200</v>
      </c>
      <c r="K122" s="43">
        <f t="shared" si="19"/>
        <v>24.2</v>
      </c>
      <c r="L122" s="43">
        <f t="shared" si="20"/>
        <v>48400000</v>
      </c>
      <c r="M122" s="180">
        <f t="shared" si="15"/>
        <v>48.4</v>
      </c>
      <c r="N122" s="43">
        <f t="shared" si="21"/>
        <v>1200</v>
      </c>
      <c r="O122" s="128">
        <f t="shared" si="16"/>
        <v>4.32</v>
      </c>
      <c r="P122" s="181">
        <f t="shared" si="22"/>
        <v>53.588434285714285</v>
      </c>
      <c r="Q122" s="209">
        <f>IF( 'Organized Input Output'!$AF$9 = "y", P122 / ($Q$3 * $Q$4), 0)</f>
        <v>0</v>
      </c>
      <c r="R122" s="209">
        <f t="shared" si="23"/>
        <v>0</v>
      </c>
      <c r="S122" s="43">
        <f>IF( 'Organized Input Output'!$AF$9 = "y", IF(R122= 0, 1, 0), 0)</f>
        <v>0</v>
      </c>
      <c r="T122" s="209">
        <f t="shared" si="25"/>
        <v>0</v>
      </c>
      <c r="U122" s="43">
        <f>IF( 'Organized Input Output'!$AF$9 = "y", IF(T122= 0, 1, 0), 0)</f>
        <v>0</v>
      </c>
      <c r="V122" s="43">
        <f t="shared" si="17"/>
        <v>0</v>
      </c>
      <c r="W122" s="43">
        <f t="shared" si="24"/>
        <v>0</v>
      </c>
      <c r="X122" s="43">
        <f t="shared" si="26"/>
        <v>0</v>
      </c>
      <c r="Y122" s="43">
        <f t="shared" si="27"/>
        <v>0</v>
      </c>
    </row>
    <row r="123" spans="1:25" ht="15" customHeight="1">
      <c r="A123" s="43">
        <v>113</v>
      </c>
      <c r="B123" s="176">
        <v>0</v>
      </c>
      <c r="C123" s="126">
        <f>'Studio Rain System'!J135</f>
        <v>12.8</v>
      </c>
      <c r="D123" s="104">
        <f>'Studio Rain System'!K135</f>
        <v>14.08</v>
      </c>
      <c r="E123" s="104">
        <f>'Studio Rain System'!L135</f>
        <v>20</v>
      </c>
      <c r="F123" s="104">
        <f>'Studio Rain System'!M135</f>
        <v>0.745</v>
      </c>
      <c r="G123" s="177">
        <v>125600</v>
      </c>
      <c r="H123" s="178">
        <f t="shared" si="14"/>
        <v>2526354.2857142859</v>
      </c>
      <c r="I123" s="128">
        <f t="shared" si="18"/>
        <v>2.526354285714286</v>
      </c>
      <c r="J123" s="193">
        <f>IF( 'Organized Input Output'!$AD$5= "y", $K$4*(D123*1000)/$K$3, 0)</f>
        <v>70400</v>
      </c>
      <c r="K123" s="43">
        <f t="shared" si="19"/>
        <v>70.400000000000006</v>
      </c>
      <c r="L123" s="43">
        <f t="shared" si="20"/>
        <v>140800000</v>
      </c>
      <c r="M123" s="180">
        <f t="shared" si="15"/>
        <v>140.80000000000001</v>
      </c>
      <c r="N123" s="43">
        <f t="shared" si="21"/>
        <v>1200</v>
      </c>
      <c r="O123" s="128">
        <f t="shared" si="16"/>
        <v>4.32</v>
      </c>
      <c r="P123" s="181">
        <f t="shared" si="22"/>
        <v>147.6463542857143</v>
      </c>
      <c r="Q123" s="209">
        <f>IF( 'Organized Input Output'!$AF$9 = "y", P123 / ($Q$3 * $Q$4), 0)</f>
        <v>0</v>
      </c>
      <c r="R123" s="209">
        <f t="shared" si="23"/>
        <v>0</v>
      </c>
      <c r="S123" s="43">
        <f>IF( 'Organized Input Output'!$AF$9 = "y", IF(R123= 0, 1, 0), 0)</f>
        <v>0</v>
      </c>
      <c r="T123" s="209">
        <f t="shared" si="25"/>
        <v>0</v>
      </c>
      <c r="U123" s="43">
        <f>IF( 'Organized Input Output'!$AF$9 = "y", IF(T123= 0, 1, 0), 0)</f>
        <v>0</v>
      </c>
      <c r="V123" s="43">
        <f t="shared" si="17"/>
        <v>0</v>
      </c>
      <c r="W123" s="43">
        <f t="shared" si="24"/>
        <v>0</v>
      </c>
      <c r="X123" s="43">
        <f t="shared" si="26"/>
        <v>0</v>
      </c>
      <c r="Y123" s="43">
        <f t="shared" si="27"/>
        <v>0</v>
      </c>
    </row>
    <row r="124" spans="1:25" ht="15" customHeight="1">
      <c r="A124" s="43">
        <v>114</v>
      </c>
      <c r="B124" s="176">
        <v>0.6</v>
      </c>
      <c r="C124" s="126">
        <f>'Studio Rain System'!J136</f>
        <v>26</v>
      </c>
      <c r="D124" s="104">
        <f>'Studio Rain System'!K136</f>
        <v>28.599999999999998</v>
      </c>
      <c r="E124" s="104">
        <f>'Studio Rain System'!L136</f>
        <v>20</v>
      </c>
      <c r="F124" s="104">
        <f>'Studio Rain System'!M136</f>
        <v>0.745</v>
      </c>
      <c r="G124" s="177">
        <v>125600</v>
      </c>
      <c r="H124" s="178">
        <f t="shared" si="14"/>
        <v>5131657.1428571427</v>
      </c>
      <c r="I124" s="128">
        <f t="shared" si="18"/>
        <v>5.1316571428571427</v>
      </c>
      <c r="J124" s="193">
        <f>IF( 'Organized Input Output'!$AD$5= "y", $K$4*(D124*1000)/$K$3, 0)</f>
        <v>142999.99999999997</v>
      </c>
      <c r="K124" s="43">
        <f t="shared" si="19"/>
        <v>142.99999999999997</v>
      </c>
      <c r="L124" s="43">
        <f t="shared" si="20"/>
        <v>285999999.99999994</v>
      </c>
      <c r="M124" s="180">
        <f t="shared" si="15"/>
        <v>285.99999999999994</v>
      </c>
      <c r="N124" s="43">
        <f t="shared" si="21"/>
        <v>1200</v>
      </c>
      <c r="O124" s="128">
        <f t="shared" si="16"/>
        <v>4.32</v>
      </c>
      <c r="P124" s="181">
        <f t="shared" si="22"/>
        <v>295.45165714285707</v>
      </c>
      <c r="Q124" s="209">
        <f>IF( 'Organized Input Output'!$AF$9 = "y", P124 / ($Q$3 * $Q$4), 0)</f>
        <v>0</v>
      </c>
      <c r="R124" s="209">
        <f t="shared" si="23"/>
        <v>0</v>
      </c>
      <c r="S124" s="43">
        <f>IF( 'Organized Input Output'!$AF$9 = "y", IF(R124= 0, 1, 0), 0)</f>
        <v>0</v>
      </c>
      <c r="T124" s="209">
        <f t="shared" si="25"/>
        <v>0</v>
      </c>
      <c r="U124" s="43">
        <f>IF( 'Organized Input Output'!$AF$9 = "y", IF(T124= 0, 1, 0), 0)</f>
        <v>0</v>
      </c>
      <c r="V124" s="43">
        <f t="shared" si="17"/>
        <v>0</v>
      </c>
      <c r="W124" s="43">
        <f t="shared" si="24"/>
        <v>0</v>
      </c>
      <c r="X124" s="43">
        <f t="shared" si="26"/>
        <v>0</v>
      </c>
      <c r="Y124" s="43">
        <f t="shared" si="27"/>
        <v>0</v>
      </c>
    </row>
    <row r="125" spans="1:25" ht="15" customHeight="1">
      <c r="A125" s="43">
        <v>115</v>
      </c>
      <c r="B125" s="176">
        <v>1.2</v>
      </c>
      <c r="C125" s="126">
        <f>'Studio Rain System'!J137</f>
        <v>1.8</v>
      </c>
      <c r="D125" s="104">
        <f>'Studio Rain System'!K137</f>
        <v>1.98</v>
      </c>
      <c r="E125" s="104">
        <f>'Studio Rain System'!L137</f>
        <v>20</v>
      </c>
      <c r="F125" s="104">
        <f>'Studio Rain System'!M137</f>
        <v>0.745</v>
      </c>
      <c r="G125" s="177">
        <v>125600</v>
      </c>
      <c r="H125" s="178">
        <f t="shared" si="14"/>
        <v>355268.57142857148</v>
      </c>
      <c r="I125" s="128">
        <f t="shared" si="18"/>
        <v>0.35526857142857149</v>
      </c>
      <c r="J125" s="193">
        <f>IF( 'Organized Input Output'!$AD$5= "y", $K$4*(D125*1000)/$K$3, 0)</f>
        <v>9900</v>
      </c>
      <c r="K125" s="43">
        <f t="shared" si="19"/>
        <v>9.9</v>
      </c>
      <c r="L125" s="43">
        <f t="shared" si="20"/>
        <v>19800000</v>
      </c>
      <c r="M125" s="180">
        <f t="shared" si="15"/>
        <v>19.8</v>
      </c>
      <c r="N125" s="43">
        <f t="shared" si="21"/>
        <v>1200</v>
      </c>
      <c r="O125" s="128">
        <f t="shared" si="16"/>
        <v>4.32</v>
      </c>
      <c r="P125" s="181">
        <f t="shared" si="22"/>
        <v>24.475268571428572</v>
      </c>
      <c r="Q125" s="209">
        <f>IF( 'Organized Input Output'!$AF$9 = "y", P125 / ($Q$3 * $Q$4), 0)</f>
        <v>0</v>
      </c>
      <c r="R125" s="209">
        <f t="shared" si="23"/>
        <v>0</v>
      </c>
      <c r="S125" s="43">
        <f>IF( 'Organized Input Output'!$AF$9 = "y", IF(R125= 0, 1, 0), 0)</f>
        <v>0</v>
      </c>
      <c r="T125" s="209">
        <f t="shared" si="25"/>
        <v>0</v>
      </c>
      <c r="U125" s="43">
        <f>IF( 'Organized Input Output'!$AF$9 = "y", IF(T125= 0, 1, 0), 0)</f>
        <v>0</v>
      </c>
      <c r="V125" s="43">
        <f t="shared" si="17"/>
        <v>0</v>
      </c>
      <c r="W125" s="43">
        <f t="shared" si="24"/>
        <v>0</v>
      </c>
      <c r="X125" s="43">
        <f t="shared" si="26"/>
        <v>0</v>
      </c>
      <c r="Y125" s="43">
        <f t="shared" si="27"/>
        <v>0</v>
      </c>
    </row>
    <row r="126" spans="1:25" ht="15" customHeight="1">
      <c r="A126" s="43">
        <v>116</v>
      </c>
      <c r="B126" s="176">
        <v>18.600000000000001</v>
      </c>
      <c r="C126" s="126">
        <f>'Studio Rain System'!J138</f>
        <v>35</v>
      </c>
      <c r="D126" s="104">
        <f>'Studio Rain System'!K138</f>
        <v>38.500000000000007</v>
      </c>
      <c r="E126" s="104">
        <f>'Studio Rain System'!L138</f>
        <v>20</v>
      </c>
      <c r="F126" s="104">
        <f>'Studio Rain System'!M138</f>
        <v>0.745</v>
      </c>
      <c r="G126" s="177">
        <v>125600</v>
      </c>
      <c r="H126" s="178">
        <f t="shared" si="14"/>
        <v>6908000.0000000019</v>
      </c>
      <c r="I126" s="128">
        <f t="shared" si="18"/>
        <v>6.9080000000000021</v>
      </c>
      <c r="J126" s="193">
        <f>IF( 'Organized Input Output'!$AD$5= "y", $K$4*(D126*1000)/$K$3, 0)</f>
        <v>192500.00000000006</v>
      </c>
      <c r="K126" s="43">
        <f t="shared" si="19"/>
        <v>192.50000000000006</v>
      </c>
      <c r="L126" s="43">
        <f t="shared" si="20"/>
        <v>385000000.00000012</v>
      </c>
      <c r="M126" s="180">
        <f t="shared" si="15"/>
        <v>385.00000000000011</v>
      </c>
      <c r="N126" s="43">
        <f t="shared" si="21"/>
        <v>1200</v>
      </c>
      <c r="O126" s="128">
        <f t="shared" si="16"/>
        <v>4.32</v>
      </c>
      <c r="P126" s="181">
        <f t="shared" si="22"/>
        <v>396.22800000000012</v>
      </c>
      <c r="Q126" s="209">
        <f>IF( 'Organized Input Output'!$AF$9 = "y", P126 / ($Q$3 * $Q$4), 0)</f>
        <v>0</v>
      </c>
      <c r="R126" s="209">
        <f t="shared" si="23"/>
        <v>0</v>
      </c>
      <c r="S126" s="43">
        <f>IF( 'Organized Input Output'!$AF$9 = "y", IF(R126= 0, 1, 0), 0)</f>
        <v>0</v>
      </c>
      <c r="T126" s="209">
        <f t="shared" si="25"/>
        <v>0</v>
      </c>
      <c r="U126" s="43">
        <f>IF( 'Organized Input Output'!$AF$9 = "y", IF(T126= 0, 1, 0), 0)</f>
        <v>0</v>
      </c>
      <c r="V126" s="43">
        <f t="shared" si="17"/>
        <v>0</v>
      </c>
      <c r="W126" s="43">
        <f t="shared" si="24"/>
        <v>0</v>
      </c>
      <c r="X126" s="43">
        <f t="shared" si="26"/>
        <v>0</v>
      </c>
      <c r="Y126" s="43">
        <f t="shared" si="27"/>
        <v>0</v>
      </c>
    </row>
    <row r="127" spans="1:25" ht="15" customHeight="1">
      <c r="A127" s="43">
        <v>117</v>
      </c>
      <c r="B127" s="176">
        <v>2.8</v>
      </c>
      <c r="C127" s="126">
        <f>'Studio Rain System'!J139</f>
        <v>7.2</v>
      </c>
      <c r="D127" s="104">
        <f>'Studio Rain System'!K139</f>
        <v>7.92</v>
      </c>
      <c r="E127" s="104">
        <f>'Studio Rain System'!L139</f>
        <v>20</v>
      </c>
      <c r="F127" s="104">
        <f>'Studio Rain System'!M139</f>
        <v>0.745</v>
      </c>
      <c r="G127" s="177">
        <v>125600</v>
      </c>
      <c r="H127" s="178">
        <f t="shared" si="14"/>
        <v>1421074.2857142859</v>
      </c>
      <c r="I127" s="128">
        <f t="shared" si="18"/>
        <v>1.421074285714286</v>
      </c>
      <c r="J127" s="193">
        <f>IF( 'Organized Input Output'!$AD$5= "y", $K$4*(D127*1000)/$K$3, 0)</f>
        <v>39600</v>
      </c>
      <c r="K127" s="43">
        <f t="shared" si="19"/>
        <v>39.6</v>
      </c>
      <c r="L127" s="43">
        <f t="shared" si="20"/>
        <v>79200000</v>
      </c>
      <c r="M127" s="180">
        <f t="shared" si="15"/>
        <v>79.2</v>
      </c>
      <c r="N127" s="43">
        <f t="shared" si="21"/>
        <v>1200</v>
      </c>
      <c r="O127" s="128">
        <f t="shared" si="16"/>
        <v>4.32</v>
      </c>
      <c r="P127" s="181">
        <f t="shared" si="22"/>
        <v>84.941074285714279</v>
      </c>
      <c r="Q127" s="209">
        <f>IF( 'Organized Input Output'!$AF$9 = "y", P127 / ($Q$3 * $Q$4), 0)</f>
        <v>0</v>
      </c>
      <c r="R127" s="209">
        <f t="shared" si="23"/>
        <v>0</v>
      </c>
      <c r="S127" s="43">
        <f>IF( 'Organized Input Output'!$AF$9 = "y", IF(R127= 0, 1, 0), 0)</f>
        <v>0</v>
      </c>
      <c r="T127" s="209">
        <f t="shared" si="25"/>
        <v>0</v>
      </c>
      <c r="U127" s="43">
        <f>IF( 'Organized Input Output'!$AF$9 = "y", IF(T127= 0, 1, 0), 0)</f>
        <v>0</v>
      </c>
      <c r="V127" s="43">
        <f t="shared" si="17"/>
        <v>0</v>
      </c>
      <c r="W127" s="43">
        <f t="shared" si="24"/>
        <v>0</v>
      </c>
      <c r="X127" s="43">
        <f t="shared" si="26"/>
        <v>0</v>
      </c>
      <c r="Y127" s="43">
        <f t="shared" si="27"/>
        <v>0</v>
      </c>
    </row>
    <row r="128" spans="1:25" ht="15" customHeight="1">
      <c r="A128" s="43">
        <v>118</v>
      </c>
      <c r="B128" s="176">
        <v>7</v>
      </c>
      <c r="C128" s="126">
        <f>'Studio Rain System'!J140</f>
        <v>0.8</v>
      </c>
      <c r="D128" s="104">
        <f>'Studio Rain System'!K140</f>
        <v>0.88</v>
      </c>
      <c r="E128" s="104">
        <f>'Studio Rain System'!L140</f>
        <v>20</v>
      </c>
      <c r="F128" s="104">
        <f>'Studio Rain System'!M140</f>
        <v>0.745</v>
      </c>
      <c r="G128" s="177">
        <v>125600</v>
      </c>
      <c r="H128" s="178">
        <f t="shared" si="14"/>
        <v>157897.14285714287</v>
      </c>
      <c r="I128" s="128">
        <f t="shared" si="18"/>
        <v>0.15789714285714287</v>
      </c>
      <c r="J128" s="193">
        <f>IF( 'Organized Input Output'!$AD$5= "y", $K$4*(D128*1000)/$K$3, 0)</f>
        <v>4400</v>
      </c>
      <c r="K128" s="43">
        <f t="shared" si="19"/>
        <v>4.4000000000000004</v>
      </c>
      <c r="L128" s="43">
        <f t="shared" si="20"/>
        <v>8800000</v>
      </c>
      <c r="M128" s="180">
        <f t="shared" si="15"/>
        <v>8.8000000000000007</v>
      </c>
      <c r="N128" s="43">
        <f t="shared" si="21"/>
        <v>1200</v>
      </c>
      <c r="O128" s="128">
        <f t="shared" si="16"/>
        <v>4.32</v>
      </c>
      <c r="P128" s="181">
        <f t="shared" si="22"/>
        <v>13.277897142857144</v>
      </c>
      <c r="Q128" s="209">
        <f>IF( 'Organized Input Output'!$AF$9 = "y", P128 / ($Q$3 * $Q$4), 0)</f>
        <v>0</v>
      </c>
      <c r="R128" s="209">
        <f t="shared" si="23"/>
        <v>0</v>
      </c>
      <c r="S128" s="43">
        <f>IF( 'Organized Input Output'!$AF$9 = "y", IF(R128= 0, 1, 0), 0)</f>
        <v>0</v>
      </c>
      <c r="T128" s="209">
        <f t="shared" si="25"/>
        <v>0</v>
      </c>
      <c r="U128" s="43">
        <f>IF( 'Organized Input Output'!$AF$9 = "y", IF(T128= 0, 1, 0), 0)</f>
        <v>0</v>
      </c>
      <c r="V128" s="43">
        <f t="shared" si="17"/>
        <v>0</v>
      </c>
      <c r="W128" s="43">
        <f t="shared" si="24"/>
        <v>0</v>
      </c>
      <c r="X128" s="43">
        <f t="shared" si="26"/>
        <v>0</v>
      </c>
      <c r="Y128" s="43">
        <f t="shared" si="27"/>
        <v>0</v>
      </c>
    </row>
    <row r="129" spans="1:25" ht="15" customHeight="1">
      <c r="A129" s="43">
        <v>119</v>
      </c>
      <c r="B129" s="176">
        <v>0</v>
      </c>
      <c r="C129" s="126">
        <f>'Studio Rain System'!J141</f>
        <v>0.1</v>
      </c>
      <c r="D129" s="104">
        <f>'Studio Rain System'!K141</f>
        <v>0.11</v>
      </c>
      <c r="E129" s="104">
        <f>'Studio Rain System'!L141</f>
        <v>19.364999999999998</v>
      </c>
      <c r="F129" s="104">
        <f>'Studio Rain System'!M141</f>
        <v>0.745</v>
      </c>
      <c r="G129" s="177">
        <v>125600</v>
      </c>
      <c r="H129" s="178">
        <f t="shared" si="14"/>
        <v>19737.142857142859</v>
      </c>
      <c r="I129" s="128">
        <f t="shared" si="18"/>
        <v>1.9737142857142859E-2</v>
      </c>
      <c r="J129" s="193">
        <f>IF( 'Organized Input Output'!$AD$5= "y", $K$4*(D129*1000)/$K$3, 0)</f>
        <v>550</v>
      </c>
      <c r="K129" s="43">
        <f t="shared" si="19"/>
        <v>0.55000000000000004</v>
      </c>
      <c r="L129" s="43">
        <f t="shared" si="20"/>
        <v>1100000</v>
      </c>
      <c r="M129" s="180">
        <f t="shared" si="15"/>
        <v>1.1000000000000001</v>
      </c>
      <c r="N129" s="43">
        <f t="shared" si="21"/>
        <v>1200</v>
      </c>
      <c r="O129" s="128">
        <f t="shared" si="16"/>
        <v>4.32</v>
      </c>
      <c r="P129" s="181">
        <f t="shared" si="22"/>
        <v>5.439737142857143</v>
      </c>
      <c r="Q129" s="209">
        <f>IF( 'Organized Input Output'!$AF$9 = "y", P129 / ($Q$3 * $Q$4), 0)</f>
        <v>0</v>
      </c>
      <c r="R129" s="209">
        <f t="shared" si="23"/>
        <v>0</v>
      </c>
      <c r="S129" s="43">
        <f>IF( 'Organized Input Output'!$AF$9 = "y", IF(R129= 0, 1, 0), 0)</f>
        <v>0</v>
      </c>
      <c r="T129" s="209">
        <f t="shared" si="25"/>
        <v>0</v>
      </c>
      <c r="U129" s="43">
        <f>IF( 'Organized Input Output'!$AF$9 = "y", IF(T129= 0, 1, 0), 0)</f>
        <v>0</v>
      </c>
      <c r="V129" s="43">
        <f t="shared" si="17"/>
        <v>0</v>
      </c>
      <c r="W129" s="43">
        <f t="shared" si="24"/>
        <v>0</v>
      </c>
      <c r="X129" s="43">
        <f t="shared" si="26"/>
        <v>0</v>
      </c>
      <c r="Y129" s="43">
        <f t="shared" si="27"/>
        <v>0</v>
      </c>
    </row>
    <row r="130" spans="1:25" ht="15" customHeight="1">
      <c r="A130" s="43">
        <v>120</v>
      </c>
      <c r="B130" s="176">
        <v>0.2</v>
      </c>
      <c r="C130" s="126">
        <f>'Studio Rain System'!J142</f>
        <v>0</v>
      </c>
      <c r="D130" s="104">
        <f>'Studio Rain System'!K142</f>
        <v>0</v>
      </c>
      <c r="E130" s="104">
        <f>'Studio Rain System'!L142</f>
        <v>18.619999999999997</v>
      </c>
      <c r="F130" s="104">
        <f>'Studio Rain System'!M142</f>
        <v>0.745</v>
      </c>
      <c r="G130" s="177">
        <v>125600</v>
      </c>
      <c r="H130" s="178">
        <f t="shared" si="14"/>
        <v>0</v>
      </c>
      <c r="I130" s="128">
        <f t="shared" si="18"/>
        <v>0</v>
      </c>
      <c r="J130" s="193">
        <f>IF( 'Organized Input Output'!$AD$5= "y", $K$4*(D130*1000)/$K$3, 0)</f>
        <v>0</v>
      </c>
      <c r="K130" s="43">
        <f t="shared" si="19"/>
        <v>0</v>
      </c>
      <c r="L130" s="43">
        <f t="shared" si="20"/>
        <v>0</v>
      </c>
      <c r="M130" s="180">
        <f t="shared" si="15"/>
        <v>0</v>
      </c>
      <c r="N130" s="43">
        <f t="shared" si="21"/>
        <v>1200</v>
      </c>
      <c r="O130" s="128">
        <f t="shared" si="16"/>
        <v>4.32</v>
      </c>
      <c r="P130" s="181">
        <f t="shared" si="22"/>
        <v>4.32</v>
      </c>
      <c r="Q130" s="209">
        <f>IF( 'Organized Input Output'!$AF$9 = "y", P130 / ($Q$3 * $Q$4), 0)</f>
        <v>0</v>
      </c>
      <c r="R130" s="209">
        <f t="shared" si="23"/>
        <v>0</v>
      </c>
      <c r="S130" s="43">
        <f>IF( 'Organized Input Output'!$AF$9 = "y", IF(R130= 0, 1, 0), 0)</f>
        <v>0</v>
      </c>
      <c r="T130" s="209">
        <f t="shared" si="25"/>
        <v>0</v>
      </c>
      <c r="U130" s="43">
        <f>IF( 'Organized Input Output'!$AF$9 = "y", IF(T130= 0, 1, 0), 0)</f>
        <v>0</v>
      </c>
      <c r="V130" s="43">
        <f t="shared" si="17"/>
        <v>0</v>
      </c>
      <c r="W130" s="43">
        <f t="shared" si="24"/>
        <v>0</v>
      </c>
      <c r="X130" s="43">
        <f t="shared" si="26"/>
        <v>0</v>
      </c>
      <c r="Y130" s="43">
        <f t="shared" si="27"/>
        <v>0</v>
      </c>
    </row>
    <row r="131" spans="1:25" ht="15" customHeight="1">
      <c r="A131" s="43">
        <v>121</v>
      </c>
      <c r="B131" s="176">
        <v>0.2</v>
      </c>
      <c r="C131" s="126">
        <f>'Studio Rain System'!J143</f>
        <v>0</v>
      </c>
      <c r="D131" s="104">
        <f>'Studio Rain System'!K143</f>
        <v>0</v>
      </c>
      <c r="E131" s="104">
        <f>'Studio Rain System'!L143</f>
        <v>17.874999999999996</v>
      </c>
      <c r="F131" s="104">
        <f>'Studio Rain System'!M143</f>
        <v>0.745</v>
      </c>
      <c r="G131" s="177">
        <v>125600</v>
      </c>
      <c r="H131" s="178">
        <f t="shared" si="14"/>
        <v>0</v>
      </c>
      <c r="I131" s="128">
        <f t="shared" si="18"/>
        <v>0</v>
      </c>
      <c r="J131" s="193">
        <f>IF( 'Organized Input Output'!$AD$5= "y", $K$4*(D131*1000)/$K$3, 0)</f>
        <v>0</v>
      </c>
      <c r="K131" s="43">
        <f t="shared" si="19"/>
        <v>0</v>
      </c>
      <c r="L131" s="43">
        <f t="shared" si="20"/>
        <v>0</v>
      </c>
      <c r="M131" s="180">
        <f t="shared" si="15"/>
        <v>0</v>
      </c>
      <c r="N131" s="43">
        <f t="shared" si="21"/>
        <v>1200</v>
      </c>
      <c r="O131" s="128">
        <f t="shared" si="16"/>
        <v>4.32</v>
      </c>
      <c r="P131" s="181">
        <f t="shared" si="22"/>
        <v>4.32</v>
      </c>
      <c r="Q131" s="209">
        <f>IF( 'Organized Input Output'!$AF$9 = "y", P131 / ($Q$3 * $Q$4), 0)</f>
        <v>0</v>
      </c>
      <c r="R131" s="209">
        <f t="shared" si="23"/>
        <v>0</v>
      </c>
      <c r="S131" s="43">
        <f>IF( 'Organized Input Output'!$AF$9 = "y", IF(R131= 0, 1, 0), 0)</f>
        <v>0</v>
      </c>
      <c r="T131" s="209">
        <f t="shared" si="25"/>
        <v>0</v>
      </c>
      <c r="U131" s="43">
        <f>IF( 'Organized Input Output'!$AF$9 = "y", IF(T131= 0, 1, 0), 0)</f>
        <v>0</v>
      </c>
      <c r="V131" s="43">
        <f t="shared" si="17"/>
        <v>0</v>
      </c>
      <c r="W131" s="43">
        <f t="shared" si="24"/>
        <v>0</v>
      </c>
      <c r="X131" s="43">
        <f t="shared" si="26"/>
        <v>0</v>
      </c>
      <c r="Y131" s="43">
        <f t="shared" si="27"/>
        <v>0</v>
      </c>
    </row>
    <row r="132" spans="1:25" ht="15" customHeight="1">
      <c r="A132" s="43">
        <v>122</v>
      </c>
      <c r="B132" s="176">
        <v>1</v>
      </c>
      <c r="C132" s="126">
        <f>'Studio Rain System'!J144</f>
        <v>2</v>
      </c>
      <c r="D132" s="104">
        <f>'Studio Rain System'!K144</f>
        <v>2.2000000000000002</v>
      </c>
      <c r="E132" s="104">
        <f>'Studio Rain System'!L144</f>
        <v>19.329999999999995</v>
      </c>
      <c r="F132" s="104">
        <f>'Studio Rain System'!M144</f>
        <v>0.745</v>
      </c>
      <c r="G132" s="177">
        <v>125600</v>
      </c>
      <c r="H132" s="178">
        <f t="shared" si="14"/>
        <v>394742.85714285716</v>
      </c>
      <c r="I132" s="128">
        <f t="shared" si="18"/>
        <v>0.39474285714285717</v>
      </c>
      <c r="J132" s="193">
        <f>IF( 'Organized Input Output'!$AD$5= "y", $K$4*(D132*1000)/$K$3, 0)</f>
        <v>11000</v>
      </c>
      <c r="K132" s="43">
        <f t="shared" si="19"/>
        <v>11</v>
      </c>
      <c r="L132" s="43">
        <f t="shared" si="20"/>
        <v>22000000</v>
      </c>
      <c r="M132" s="180">
        <f t="shared" si="15"/>
        <v>22</v>
      </c>
      <c r="N132" s="43">
        <f t="shared" si="21"/>
        <v>1200</v>
      </c>
      <c r="O132" s="128">
        <f t="shared" si="16"/>
        <v>4.32</v>
      </c>
      <c r="P132" s="181">
        <f t="shared" si="22"/>
        <v>26.714742857142859</v>
      </c>
      <c r="Q132" s="209">
        <f>IF( 'Organized Input Output'!$AF$9 = "y", P132 / ($Q$3 * $Q$4), 0)</f>
        <v>0</v>
      </c>
      <c r="R132" s="209">
        <f t="shared" si="23"/>
        <v>0</v>
      </c>
      <c r="S132" s="43">
        <f>IF( 'Organized Input Output'!$AF$9 = "y", IF(R132= 0, 1, 0), 0)</f>
        <v>0</v>
      </c>
      <c r="T132" s="209">
        <f t="shared" si="25"/>
        <v>0</v>
      </c>
      <c r="U132" s="43">
        <f>IF( 'Organized Input Output'!$AF$9 = "y", IF(T132= 0, 1, 0), 0)</f>
        <v>0</v>
      </c>
      <c r="V132" s="43">
        <f t="shared" si="17"/>
        <v>0</v>
      </c>
      <c r="W132" s="43">
        <f t="shared" si="24"/>
        <v>0</v>
      </c>
      <c r="X132" s="43">
        <f t="shared" si="26"/>
        <v>0</v>
      </c>
      <c r="Y132" s="43">
        <f t="shared" si="27"/>
        <v>0</v>
      </c>
    </row>
    <row r="133" spans="1:25" ht="15" customHeight="1">
      <c r="A133" s="43">
        <v>123</v>
      </c>
      <c r="B133" s="176">
        <v>0</v>
      </c>
      <c r="C133" s="126">
        <f>'Studio Rain System'!J145</f>
        <v>4.5999999999999996</v>
      </c>
      <c r="D133" s="104">
        <f>'Studio Rain System'!K145</f>
        <v>5.0599999999999996</v>
      </c>
      <c r="E133" s="104">
        <f>'Studio Rain System'!L145</f>
        <v>20</v>
      </c>
      <c r="F133" s="104">
        <f>'Studio Rain System'!M145</f>
        <v>0.745</v>
      </c>
      <c r="G133" s="177">
        <v>125600</v>
      </c>
      <c r="H133" s="178">
        <f t="shared" si="14"/>
        <v>907908.57142857148</v>
      </c>
      <c r="I133" s="128">
        <f t="shared" si="18"/>
        <v>0.90790857142857151</v>
      </c>
      <c r="J133" s="193">
        <f>IF( 'Organized Input Output'!$AD$5= "y", $K$4*(D133*1000)/$K$3, 0)</f>
        <v>25300</v>
      </c>
      <c r="K133" s="43">
        <f t="shared" si="19"/>
        <v>25.3</v>
      </c>
      <c r="L133" s="43">
        <f t="shared" si="20"/>
        <v>50600000</v>
      </c>
      <c r="M133" s="180">
        <f t="shared" si="15"/>
        <v>50.6</v>
      </c>
      <c r="N133" s="43">
        <f t="shared" si="21"/>
        <v>1200</v>
      </c>
      <c r="O133" s="128">
        <f t="shared" si="16"/>
        <v>4.32</v>
      </c>
      <c r="P133" s="181">
        <f t="shared" si="22"/>
        <v>55.827908571428573</v>
      </c>
      <c r="Q133" s="209">
        <f>IF( 'Organized Input Output'!$AF$9 = "y", P133 / ($Q$3 * $Q$4), 0)</f>
        <v>0</v>
      </c>
      <c r="R133" s="209">
        <f t="shared" si="23"/>
        <v>0</v>
      </c>
      <c r="S133" s="43">
        <f>IF( 'Organized Input Output'!$AF$9 = "y", IF(R133= 0, 1, 0), 0)</f>
        <v>0</v>
      </c>
      <c r="T133" s="209">
        <f t="shared" si="25"/>
        <v>0</v>
      </c>
      <c r="U133" s="43">
        <f>IF( 'Organized Input Output'!$AF$9 = "y", IF(T133= 0, 1, 0), 0)</f>
        <v>0</v>
      </c>
      <c r="V133" s="43">
        <f t="shared" si="17"/>
        <v>0</v>
      </c>
      <c r="W133" s="43">
        <f t="shared" si="24"/>
        <v>0</v>
      </c>
      <c r="X133" s="43">
        <f t="shared" si="26"/>
        <v>0</v>
      </c>
      <c r="Y133" s="43">
        <f t="shared" si="27"/>
        <v>0</v>
      </c>
    </row>
    <row r="134" spans="1:25" ht="15" customHeight="1">
      <c r="A134" s="43">
        <v>124</v>
      </c>
      <c r="B134" s="176">
        <v>0</v>
      </c>
      <c r="C134" s="126">
        <f>'Studio Rain System'!J146</f>
        <v>3.8</v>
      </c>
      <c r="D134" s="104">
        <f>'Studio Rain System'!K146</f>
        <v>4.18</v>
      </c>
      <c r="E134" s="104">
        <f>'Studio Rain System'!L146</f>
        <v>20</v>
      </c>
      <c r="F134" s="104">
        <f>'Studio Rain System'!M146</f>
        <v>0.745</v>
      </c>
      <c r="G134" s="177">
        <v>125600</v>
      </c>
      <c r="H134" s="178">
        <f t="shared" si="14"/>
        <v>750011.42857142864</v>
      </c>
      <c r="I134" s="128">
        <f t="shared" si="18"/>
        <v>0.75001142857142866</v>
      </c>
      <c r="J134" s="193">
        <f>IF( 'Organized Input Output'!$AD$5= "y", $K$4*(D134*1000)/$K$3, 0)</f>
        <v>20900</v>
      </c>
      <c r="K134" s="43">
        <f t="shared" si="19"/>
        <v>20.9</v>
      </c>
      <c r="L134" s="43">
        <f t="shared" si="20"/>
        <v>41800000</v>
      </c>
      <c r="M134" s="180">
        <f t="shared" si="15"/>
        <v>41.8</v>
      </c>
      <c r="N134" s="43">
        <f t="shared" si="21"/>
        <v>1200</v>
      </c>
      <c r="O134" s="128">
        <f t="shared" si="16"/>
        <v>4.32</v>
      </c>
      <c r="P134" s="181">
        <f t="shared" si="22"/>
        <v>46.870011428571424</v>
      </c>
      <c r="Q134" s="209">
        <f>IF( 'Organized Input Output'!$AF$9 = "y", P134 / ($Q$3 * $Q$4), 0)</f>
        <v>0</v>
      </c>
      <c r="R134" s="209">
        <f t="shared" si="23"/>
        <v>0</v>
      </c>
      <c r="S134" s="43">
        <f>IF( 'Organized Input Output'!$AF$9 = "y", IF(R134= 0, 1, 0), 0)</f>
        <v>0</v>
      </c>
      <c r="T134" s="209">
        <f t="shared" si="25"/>
        <v>0</v>
      </c>
      <c r="U134" s="43">
        <f>IF( 'Organized Input Output'!$AF$9 = "y", IF(T134= 0, 1, 0), 0)</f>
        <v>0</v>
      </c>
      <c r="V134" s="43">
        <f t="shared" si="17"/>
        <v>0</v>
      </c>
      <c r="W134" s="43">
        <f t="shared" si="24"/>
        <v>0</v>
      </c>
      <c r="X134" s="43">
        <f t="shared" si="26"/>
        <v>0</v>
      </c>
      <c r="Y134" s="43">
        <f t="shared" si="27"/>
        <v>0</v>
      </c>
    </row>
    <row r="135" spans="1:25" ht="15" customHeight="1">
      <c r="A135" s="43">
        <v>125</v>
      </c>
      <c r="B135" s="176">
        <v>0</v>
      </c>
      <c r="C135" s="126">
        <f>'Studio Rain System'!J147</f>
        <v>0</v>
      </c>
      <c r="D135" s="104">
        <f>'Studio Rain System'!K147</f>
        <v>0</v>
      </c>
      <c r="E135" s="104">
        <f>'Studio Rain System'!L147</f>
        <v>19.254999999999999</v>
      </c>
      <c r="F135" s="104">
        <f>'Studio Rain System'!M147</f>
        <v>0.745</v>
      </c>
      <c r="G135" s="177">
        <v>125600</v>
      </c>
      <c r="H135" s="178">
        <f t="shared" si="14"/>
        <v>0</v>
      </c>
      <c r="I135" s="128">
        <f t="shared" si="18"/>
        <v>0</v>
      </c>
      <c r="J135" s="193">
        <f>IF( 'Organized Input Output'!$AD$5= "y", $K$4*(D135*1000)/$K$3, 0)</f>
        <v>0</v>
      </c>
      <c r="K135" s="43">
        <f t="shared" si="19"/>
        <v>0</v>
      </c>
      <c r="L135" s="43">
        <f t="shared" si="20"/>
        <v>0</v>
      </c>
      <c r="M135" s="180">
        <f t="shared" si="15"/>
        <v>0</v>
      </c>
      <c r="N135" s="43">
        <f t="shared" si="21"/>
        <v>1200</v>
      </c>
      <c r="O135" s="128">
        <f t="shared" si="16"/>
        <v>4.32</v>
      </c>
      <c r="P135" s="181">
        <f t="shared" si="22"/>
        <v>4.32</v>
      </c>
      <c r="Q135" s="209">
        <f>IF( 'Organized Input Output'!$AF$9 = "y", P135 / ($Q$3 * $Q$4), 0)</f>
        <v>0</v>
      </c>
      <c r="R135" s="209">
        <f t="shared" si="23"/>
        <v>0</v>
      </c>
      <c r="S135" s="43">
        <f>IF( 'Organized Input Output'!$AF$9 = "y", IF(R135= 0, 1, 0), 0)</f>
        <v>0</v>
      </c>
      <c r="T135" s="209">
        <f t="shared" si="25"/>
        <v>0</v>
      </c>
      <c r="U135" s="43">
        <f>IF( 'Organized Input Output'!$AF$9 = "y", IF(T135= 0, 1, 0), 0)</f>
        <v>0</v>
      </c>
      <c r="V135" s="43">
        <f t="shared" si="17"/>
        <v>0</v>
      </c>
      <c r="W135" s="43">
        <f t="shared" si="24"/>
        <v>0</v>
      </c>
      <c r="X135" s="43">
        <f t="shared" si="26"/>
        <v>0</v>
      </c>
      <c r="Y135" s="43">
        <f t="shared" si="27"/>
        <v>0</v>
      </c>
    </row>
    <row r="136" spans="1:25" ht="15" customHeight="1">
      <c r="A136" s="43">
        <v>126</v>
      </c>
      <c r="B136" s="176">
        <v>0</v>
      </c>
      <c r="C136" s="126">
        <f>'Studio Rain System'!J148</f>
        <v>0</v>
      </c>
      <c r="D136" s="104">
        <f>'Studio Rain System'!K148</f>
        <v>0</v>
      </c>
      <c r="E136" s="104">
        <f>'Studio Rain System'!L148</f>
        <v>18.509999999999998</v>
      </c>
      <c r="F136" s="104">
        <f>'Studio Rain System'!M148</f>
        <v>0.745</v>
      </c>
      <c r="G136" s="177">
        <v>125600</v>
      </c>
      <c r="H136" s="178">
        <f t="shared" si="14"/>
        <v>0</v>
      </c>
      <c r="I136" s="128">
        <f t="shared" si="18"/>
        <v>0</v>
      </c>
      <c r="J136" s="193">
        <f>IF( 'Organized Input Output'!$AD$5= "y", $K$4*(D136*1000)/$K$3, 0)</f>
        <v>0</v>
      </c>
      <c r="K136" s="43">
        <f t="shared" si="19"/>
        <v>0</v>
      </c>
      <c r="L136" s="43">
        <f t="shared" si="20"/>
        <v>0</v>
      </c>
      <c r="M136" s="180">
        <f t="shared" si="15"/>
        <v>0</v>
      </c>
      <c r="N136" s="43">
        <f t="shared" si="21"/>
        <v>1200</v>
      </c>
      <c r="O136" s="128">
        <f t="shared" si="16"/>
        <v>4.32</v>
      </c>
      <c r="P136" s="181">
        <f t="shared" si="22"/>
        <v>4.32</v>
      </c>
      <c r="Q136" s="209">
        <f>IF( 'Organized Input Output'!$AF$9 = "y", P136 / ($Q$3 * $Q$4), 0)</f>
        <v>0</v>
      </c>
      <c r="R136" s="209">
        <f t="shared" si="23"/>
        <v>0</v>
      </c>
      <c r="S136" s="43">
        <f>IF( 'Organized Input Output'!$AF$9 = "y", IF(R136= 0, 1, 0), 0)</f>
        <v>0</v>
      </c>
      <c r="T136" s="209">
        <f t="shared" si="25"/>
        <v>0</v>
      </c>
      <c r="U136" s="43">
        <f>IF( 'Organized Input Output'!$AF$9 = "y", IF(T136= 0, 1, 0), 0)</f>
        <v>0</v>
      </c>
      <c r="V136" s="43">
        <f t="shared" si="17"/>
        <v>0</v>
      </c>
      <c r="W136" s="43">
        <f t="shared" si="24"/>
        <v>0</v>
      </c>
      <c r="X136" s="43">
        <f t="shared" si="26"/>
        <v>0</v>
      </c>
      <c r="Y136" s="43">
        <f t="shared" si="27"/>
        <v>0</v>
      </c>
    </row>
    <row r="137" spans="1:25" ht="15" customHeight="1">
      <c r="A137" s="43">
        <v>127</v>
      </c>
      <c r="B137" s="176">
        <v>0</v>
      </c>
      <c r="C137" s="126">
        <f>'Studio Rain System'!J149</f>
        <v>0</v>
      </c>
      <c r="D137" s="104">
        <f>'Studio Rain System'!K149</f>
        <v>0</v>
      </c>
      <c r="E137" s="104">
        <f>'Studio Rain System'!L149</f>
        <v>17.764999999999997</v>
      </c>
      <c r="F137" s="104">
        <f>'Studio Rain System'!M149</f>
        <v>0.745</v>
      </c>
      <c r="G137" s="177">
        <v>125600</v>
      </c>
      <c r="H137" s="178">
        <f t="shared" si="14"/>
        <v>0</v>
      </c>
      <c r="I137" s="128">
        <f t="shared" si="18"/>
        <v>0</v>
      </c>
      <c r="J137" s="193">
        <f>IF( 'Organized Input Output'!$AD$5= "y", $K$4*(D137*1000)/$K$3, 0)</f>
        <v>0</v>
      </c>
      <c r="K137" s="43">
        <f t="shared" si="19"/>
        <v>0</v>
      </c>
      <c r="L137" s="43">
        <f t="shared" si="20"/>
        <v>0</v>
      </c>
      <c r="M137" s="180">
        <f t="shared" si="15"/>
        <v>0</v>
      </c>
      <c r="N137" s="43">
        <f t="shared" si="21"/>
        <v>1200</v>
      </c>
      <c r="O137" s="128">
        <f t="shared" si="16"/>
        <v>4.32</v>
      </c>
      <c r="P137" s="181">
        <f t="shared" si="22"/>
        <v>4.32</v>
      </c>
      <c r="Q137" s="209">
        <f>IF( 'Organized Input Output'!$AF$9 = "y", P137 / ($Q$3 * $Q$4), 0)</f>
        <v>0</v>
      </c>
      <c r="R137" s="209">
        <f t="shared" si="23"/>
        <v>0</v>
      </c>
      <c r="S137" s="43">
        <f>IF( 'Organized Input Output'!$AF$9 = "y", IF(R137= 0, 1, 0), 0)</f>
        <v>0</v>
      </c>
      <c r="T137" s="209">
        <f t="shared" si="25"/>
        <v>0</v>
      </c>
      <c r="U137" s="43">
        <f>IF( 'Organized Input Output'!$AF$9 = "y", IF(T137= 0, 1, 0), 0)</f>
        <v>0</v>
      </c>
      <c r="V137" s="43">
        <f t="shared" si="17"/>
        <v>0</v>
      </c>
      <c r="W137" s="43">
        <f t="shared" si="24"/>
        <v>0</v>
      </c>
      <c r="X137" s="43">
        <f t="shared" si="26"/>
        <v>0</v>
      </c>
      <c r="Y137" s="43">
        <f t="shared" si="27"/>
        <v>0</v>
      </c>
    </row>
    <row r="138" spans="1:25" ht="15" customHeight="1">
      <c r="A138" s="43">
        <v>128</v>
      </c>
      <c r="B138" s="176">
        <v>0</v>
      </c>
      <c r="C138" s="126">
        <f>'Studio Rain System'!J150</f>
        <v>0</v>
      </c>
      <c r="D138" s="104">
        <f>'Studio Rain System'!K150</f>
        <v>0</v>
      </c>
      <c r="E138" s="104">
        <f>'Studio Rain System'!L150</f>
        <v>17.019999999999996</v>
      </c>
      <c r="F138" s="104">
        <f>'Studio Rain System'!M150</f>
        <v>0.745</v>
      </c>
      <c r="G138" s="177">
        <v>125600</v>
      </c>
      <c r="H138" s="178">
        <f t="shared" si="14"/>
        <v>0</v>
      </c>
      <c r="I138" s="128">
        <f t="shared" si="18"/>
        <v>0</v>
      </c>
      <c r="J138" s="193">
        <f>IF( 'Organized Input Output'!$AD$5= "y", $K$4*(D138*1000)/$K$3, 0)</f>
        <v>0</v>
      </c>
      <c r="K138" s="43">
        <f t="shared" si="19"/>
        <v>0</v>
      </c>
      <c r="L138" s="43">
        <f t="shared" si="20"/>
        <v>0</v>
      </c>
      <c r="M138" s="180">
        <f t="shared" si="15"/>
        <v>0</v>
      </c>
      <c r="N138" s="43">
        <f t="shared" si="21"/>
        <v>1200</v>
      </c>
      <c r="O138" s="128">
        <f t="shared" si="16"/>
        <v>4.32</v>
      </c>
      <c r="P138" s="181">
        <f t="shared" si="22"/>
        <v>4.32</v>
      </c>
      <c r="Q138" s="209">
        <f>IF( 'Organized Input Output'!$AF$9 = "y", P138 / ($Q$3 * $Q$4), 0)</f>
        <v>0</v>
      </c>
      <c r="R138" s="209">
        <f t="shared" si="23"/>
        <v>0</v>
      </c>
      <c r="S138" s="43">
        <f>IF( 'Organized Input Output'!$AF$9 = "y", IF(R138= 0, 1, 0), 0)</f>
        <v>0</v>
      </c>
      <c r="T138" s="209">
        <f t="shared" si="25"/>
        <v>0</v>
      </c>
      <c r="U138" s="43">
        <f>IF( 'Organized Input Output'!$AF$9 = "y", IF(T138= 0, 1, 0), 0)</f>
        <v>0</v>
      </c>
      <c r="V138" s="43">
        <f t="shared" si="17"/>
        <v>0</v>
      </c>
      <c r="W138" s="43">
        <f t="shared" si="24"/>
        <v>0</v>
      </c>
      <c r="X138" s="43">
        <f t="shared" si="26"/>
        <v>0</v>
      </c>
      <c r="Y138" s="43">
        <f t="shared" si="27"/>
        <v>0</v>
      </c>
    </row>
    <row r="139" spans="1:25" ht="15" customHeight="1">
      <c r="A139" s="43">
        <v>129</v>
      </c>
      <c r="B139" s="176">
        <v>0</v>
      </c>
      <c r="C139" s="126">
        <f>'Studio Rain System'!J151</f>
        <v>0</v>
      </c>
      <c r="D139" s="104">
        <f>'Studio Rain System'!K151</f>
        <v>0</v>
      </c>
      <c r="E139" s="104">
        <f>'Studio Rain System'!L151</f>
        <v>16.274999999999995</v>
      </c>
      <c r="F139" s="104">
        <f>'Studio Rain System'!M151</f>
        <v>0.745</v>
      </c>
      <c r="G139" s="177">
        <v>125600</v>
      </c>
      <c r="H139" s="178">
        <f t="shared" ref="H139:H202" si="28">(G139*D139)/$H$3</f>
        <v>0</v>
      </c>
      <c r="I139" s="128">
        <f t="shared" si="18"/>
        <v>0</v>
      </c>
      <c r="J139" s="193">
        <f>IF( 'Organized Input Output'!$AD$5= "y", $K$4*(D139*1000)/$K$3, 0)</f>
        <v>0</v>
      </c>
      <c r="K139" s="43">
        <f t="shared" si="19"/>
        <v>0</v>
      </c>
      <c r="L139" s="43">
        <f t="shared" si="20"/>
        <v>0</v>
      </c>
      <c r="M139" s="180">
        <f t="shared" ref="M139:M202" si="29">IF(A139 &lt; 32, 0, $K$5*K139)</f>
        <v>0</v>
      </c>
      <c r="N139" s="43">
        <f t="shared" si="21"/>
        <v>1200</v>
      </c>
      <c r="O139" s="128">
        <f t="shared" ref="O139:O202" si="30" xml:space="preserve"> IF(A139 &lt; 31, 0, (N139 * 3600 / 1000000))</f>
        <v>4.32</v>
      </c>
      <c r="P139" s="181">
        <f t="shared" si="22"/>
        <v>4.32</v>
      </c>
      <c r="Q139" s="209">
        <f>IF( 'Organized Input Output'!$AF$9 = "y", P139 / ($Q$3 * $Q$4), 0)</f>
        <v>0</v>
      </c>
      <c r="R139" s="209">
        <f t="shared" si="23"/>
        <v>0</v>
      </c>
      <c r="S139" s="43">
        <f>IF( 'Organized Input Output'!$AF$9 = "y", IF(R139= 0, 1, 0), 0)</f>
        <v>0</v>
      </c>
      <c r="T139" s="209">
        <f t="shared" si="25"/>
        <v>0</v>
      </c>
      <c r="U139" s="43">
        <f>IF( 'Organized Input Output'!$AF$9 = "y", IF(T139= 0, 1, 0), 0)</f>
        <v>0</v>
      </c>
      <c r="V139" s="43">
        <f t="shared" ref="V139:V202" si="31">W$4*(D139*1000)*(1/$W$3)</f>
        <v>0</v>
      </c>
      <c r="W139" s="43">
        <f t="shared" si="24"/>
        <v>0</v>
      </c>
      <c r="X139" s="43">
        <f t="shared" si="26"/>
        <v>0</v>
      </c>
      <c r="Y139" s="43">
        <f t="shared" si="27"/>
        <v>0</v>
      </c>
    </row>
    <row r="140" spans="1:25" ht="15" customHeight="1">
      <c r="A140" s="43">
        <v>130</v>
      </c>
      <c r="B140" s="176">
        <v>0</v>
      </c>
      <c r="C140" s="126">
        <f>'Studio Rain System'!J152</f>
        <v>0.2</v>
      </c>
      <c r="D140" s="104">
        <f>'Studio Rain System'!K152</f>
        <v>0.22</v>
      </c>
      <c r="E140" s="104">
        <f>'Studio Rain System'!L152</f>
        <v>15.749999999999995</v>
      </c>
      <c r="F140" s="104">
        <f>'Studio Rain System'!M152</f>
        <v>0.745</v>
      </c>
      <c r="G140" s="177">
        <v>125600</v>
      </c>
      <c r="H140" s="178">
        <f t="shared" si="28"/>
        <v>39474.285714285717</v>
      </c>
      <c r="I140" s="128">
        <f t="shared" ref="I140:I203" si="32">H140/10^6</f>
        <v>3.9474285714285719E-2</v>
      </c>
      <c r="J140" s="193">
        <f>IF( 'Organized Input Output'!$AD$5= "y", $K$4*(D140*1000)/$K$3, 0)</f>
        <v>1100</v>
      </c>
      <c r="K140" s="43">
        <f t="shared" ref="K140:K203" si="33">J140/1000</f>
        <v>1.1000000000000001</v>
      </c>
      <c r="L140" s="43">
        <f t="shared" ref="L140:L203" si="34">M140*1000000</f>
        <v>2200000</v>
      </c>
      <c r="M140" s="180">
        <f t="shared" si="29"/>
        <v>2.2000000000000002</v>
      </c>
      <c r="N140" s="43">
        <f t="shared" ref="N140:N203" si="35" xml:space="preserve"> $N$3 * 24</f>
        <v>1200</v>
      </c>
      <c r="O140" s="128">
        <f t="shared" si="30"/>
        <v>4.32</v>
      </c>
      <c r="P140" s="181">
        <f t="shared" ref="P140:P203" si="36">I140 + M140 + O140</f>
        <v>6.5594742857142858</v>
      </c>
      <c r="Q140" s="209">
        <f>IF( 'Organized Input Output'!$AF$9 = "y", P140 / ($Q$3 * $Q$4), 0)</f>
        <v>0</v>
      </c>
      <c r="R140" s="209">
        <f t="shared" ref="R140:R203" si="37">IF(R139+Q140 &gt; 100, 0, R139+Q140 )</f>
        <v>0</v>
      </c>
      <c r="S140" s="43">
        <f>IF( 'Organized Input Output'!$AF$9 = "y", IF(R140= 0, 1, 0), 0)</f>
        <v>0</v>
      </c>
      <c r="T140" s="209">
        <f t="shared" si="25"/>
        <v>0</v>
      </c>
      <c r="U140" s="43">
        <f>IF( 'Organized Input Output'!$AF$9 = "y", IF(T140= 0, 1, 0), 0)</f>
        <v>0</v>
      </c>
      <c r="V140" s="43">
        <f t="shared" si="31"/>
        <v>0</v>
      </c>
      <c r="W140" s="43">
        <f t="shared" ref="W140:W203" si="38">V140/1000000</f>
        <v>0</v>
      </c>
      <c r="X140" s="43">
        <f t="shared" si="26"/>
        <v>0</v>
      </c>
      <c r="Y140" s="43">
        <f t="shared" si="27"/>
        <v>0</v>
      </c>
    </row>
    <row r="141" spans="1:25" ht="15" customHeight="1">
      <c r="A141" s="43">
        <v>131</v>
      </c>
      <c r="B141" s="176">
        <v>21.8</v>
      </c>
      <c r="C141" s="126">
        <f>'Studio Rain System'!J153</f>
        <v>0</v>
      </c>
      <c r="D141" s="104">
        <f>'Studio Rain System'!K153</f>
        <v>0</v>
      </c>
      <c r="E141" s="104">
        <f>'Studio Rain System'!L153</f>
        <v>15.004999999999995</v>
      </c>
      <c r="F141" s="104">
        <f>'Studio Rain System'!M153</f>
        <v>0.745</v>
      </c>
      <c r="G141" s="177">
        <v>125600</v>
      </c>
      <c r="H141" s="178">
        <f t="shared" si="28"/>
        <v>0</v>
      </c>
      <c r="I141" s="128">
        <f t="shared" si="32"/>
        <v>0</v>
      </c>
      <c r="J141" s="193">
        <f>IF( 'Organized Input Output'!$AD$5= "y", $K$4*(D141*1000)/$K$3, 0)</f>
        <v>0</v>
      </c>
      <c r="K141" s="43">
        <f t="shared" si="33"/>
        <v>0</v>
      </c>
      <c r="L141" s="43">
        <f t="shared" si="34"/>
        <v>0</v>
      </c>
      <c r="M141" s="180">
        <f t="shared" si="29"/>
        <v>0</v>
      </c>
      <c r="N141" s="43">
        <f t="shared" si="35"/>
        <v>1200</v>
      </c>
      <c r="O141" s="128">
        <f t="shared" si="30"/>
        <v>4.32</v>
      </c>
      <c r="P141" s="181">
        <f t="shared" si="36"/>
        <v>4.32</v>
      </c>
      <c r="Q141" s="209">
        <f>IF( 'Organized Input Output'!$AF$9 = "y", P141 / ($Q$3 * $Q$4), 0)</f>
        <v>0</v>
      </c>
      <c r="R141" s="209">
        <f t="shared" si="37"/>
        <v>0</v>
      </c>
      <c r="S141" s="43">
        <f>IF( 'Organized Input Output'!$AF$9 = "y", IF(R141= 0, 1, 0), 0)</f>
        <v>0</v>
      </c>
      <c r="T141" s="209">
        <f t="shared" ref="T141:T204" si="39">IF(T140+Q141 &gt; 250, 0, T140+Q141 )</f>
        <v>0</v>
      </c>
      <c r="U141" s="43">
        <f>IF( 'Organized Input Output'!$AF$9 = "y", IF(T141= 0, 1, 0), 0)</f>
        <v>0</v>
      </c>
      <c r="V141" s="43">
        <f t="shared" si="31"/>
        <v>0</v>
      </c>
      <c r="W141" s="43">
        <f t="shared" si="38"/>
        <v>0</v>
      </c>
      <c r="X141" s="43">
        <f t="shared" ref="X141:X204" si="40">IF(X140+W141 &gt;= 4.4, 0, X140+W141 )</f>
        <v>0</v>
      </c>
      <c r="Y141" s="43">
        <f t="shared" ref="Y141:Y204" si="41">IF( V141 +X141+ W141 = 0, 0, IF(X141= 0, 1, 0))</f>
        <v>0</v>
      </c>
    </row>
    <row r="142" spans="1:25" ht="15" customHeight="1">
      <c r="A142" s="43">
        <v>132</v>
      </c>
      <c r="B142" s="176">
        <v>9.1</v>
      </c>
      <c r="C142" s="126">
        <f>'Studio Rain System'!J154</f>
        <v>0.2</v>
      </c>
      <c r="D142" s="104">
        <f>'Studio Rain System'!K154</f>
        <v>0.22</v>
      </c>
      <c r="E142" s="104">
        <f>'Studio Rain System'!L154</f>
        <v>14.479999999999997</v>
      </c>
      <c r="F142" s="104">
        <f>'Studio Rain System'!M154</f>
        <v>0.745</v>
      </c>
      <c r="G142" s="177">
        <v>125600</v>
      </c>
      <c r="H142" s="178">
        <f t="shared" si="28"/>
        <v>39474.285714285717</v>
      </c>
      <c r="I142" s="128">
        <f t="shared" si="32"/>
        <v>3.9474285714285719E-2</v>
      </c>
      <c r="J142" s="193">
        <f>IF( 'Organized Input Output'!$AD$5= "y", $K$4*(D142*1000)/$K$3, 0)</f>
        <v>1100</v>
      </c>
      <c r="K142" s="43">
        <f t="shared" si="33"/>
        <v>1.1000000000000001</v>
      </c>
      <c r="L142" s="43">
        <f t="shared" si="34"/>
        <v>2200000</v>
      </c>
      <c r="M142" s="180">
        <f t="shared" si="29"/>
        <v>2.2000000000000002</v>
      </c>
      <c r="N142" s="43">
        <f t="shared" si="35"/>
        <v>1200</v>
      </c>
      <c r="O142" s="128">
        <f t="shared" si="30"/>
        <v>4.32</v>
      </c>
      <c r="P142" s="181">
        <f t="shared" si="36"/>
        <v>6.5594742857142858</v>
      </c>
      <c r="Q142" s="209">
        <f>IF( 'Organized Input Output'!$AF$9 = "y", P142 / ($Q$3 * $Q$4), 0)</f>
        <v>0</v>
      </c>
      <c r="R142" s="209">
        <f t="shared" si="37"/>
        <v>0</v>
      </c>
      <c r="S142" s="43">
        <f>IF( 'Organized Input Output'!$AF$9 = "y", IF(R142= 0, 1, 0), 0)</f>
        <v>0</v>
      </c>
      <c r="T142" s="209">
        <f t="shared" si="39"/>
        <v>0</v>
      </c>
      <c r="U142" s="43">
        <f>IF( 'Organized Input Output'!$AF$9 = "y", IF(T142= 0, 1, 0), 0)</f>
        <v>0</v>
      </c>
      <c r="V142" s="43">
        <f t="shared" si="31"/>
        <v>0</v>
      </c>
      <c r="W142" s="43">
        <f t="shared" si="38"/>
        <v>0</v>
      </c>
      <c r="X142" s="43">
        <f t="shared" si="40"/>
        <v>0</v>
      </c>
      <c r="Y142" s="43">
        <f t="shared" si="41"/>
        <v>0</v>
      </c>
    </row>
    <row r="143" spans="1:25" ht="15" customHeight="1">
      <c r="A143" s="43">
        <v>133</v>
      </c>
      <c r="B143" s="176">
        <v>1</v>
      </c>
      <c r="C143" s="126">
        <f>'Studio Rain System'!J155</f>
        <v>0</v>
      </c>
      <c r="D143" s="104">
        <f>'Studio Rain System'!K155</f>
        <v>0</v>
      </c>
      <c r="E143" s="104">
        <f>'Studio Rain System'!L155</f>
        <v>13.734999999999998</v>
      </c>
      <c r="F143" s="104">
        <f>'Studio Rain System'!M155</f>
        <v>0.745</v>
      </c>
      <c r="G143" s="177">
        <v>125600</v>
      </c>
      <c r="H143" s="178">
        <f t="shared" si="28"/>
        <v>0</v>
      </c>
      <c r="I143" s="128">
        <f t="shared" si="32"/>
        <v>0</v>
      </c>
      <c r="J143" s="193">
        <f>IF( 'Organized Input Output'!$AD$5= "y", $K$4*(D143*1000)/$K$3, 0)</f>
        <v>0</v>
      </c>
      <c r="K143" s="43">
        <f t="shared" si="33"/>
        <v>0</v>
      </c>
      <c r="L143" s="43">
        <f t="shared" si="34"/>
        <v>0</v>
      </c>
      <c r="M143" s="180">
        <f t="shared" si="29"/>
        <v>0</v>
      </c>
      <c r="N143" s="43">
        <f t="shared" si="35"/>
        <v>1200</v>
      </c>
      <c r="O143" s="128">
        <f t="shared" si="30"/>
        <v>4.32</v>
      </c>
      <c r="P143" s="181">
        <f t="shared" si="36"/>
        <v>4.32</v>
      </c>
      <c r="Q143" s="209">
        <f>IF( 'Organized Input Output'!$AF$9 = "y", P143 / ($Q$3 * $Q$4), 0)</f>
        <v>0</v>
      </c>
      <c r="R143" s="209">
        <f t="shared" si="37"/>
        <v>0</v>
      </c>
      <c r="S143" s="43">
        <f>IF( 'Organized Input Output'!$AF$9 = "y", IF(R143= 0, 1, 0), 0)</f>
        <v>0</v>
      </c>
      <c r="T143" s="209">
        <f t="shared" si="39"/>
        <v>0</v>
      </c>
      <c r="U143" s="43">
        <f>IF( 'Organized Input Output'!$AF$9 = "y", IF(T143= 0, 1, 0), 0)</f>
        <v>0</v>
      </c>
      <c r="V143" s="43">
        <f t="shared" si="31"/>
        <v>0</v>
      </c>
      <c r="W143" s="43">
        <f t="shared" si="38"/>
        <v>0</v>
      </c>
      <c r="X143" s="43">
        <f t="shared" si="40"/>
        <v>0</v>
      </c>
      <c r="Y143" s="43">
        <f t="shared" si="41"/>
        <v>0</v>
      </c>
    </row>
    <row r="144" spans="1:25" ht="15" customHeight="1">
      <c r="A144" s="43">
        <v>134</v>
      </c>
      <c r="B144" s="176">
        <v>2.6</v>
      </c>
      <c r="C144" s="126">
        <f>'Studio Rain System'!J156</f>
        <v>0</v>
      </c>
      <c r="D144" s="104">
        <f>'Studio Rain System'!K156</f>
        <v>0</v>
      </c>
      <c r="E144" s="104">
        <f>'Studio Rain System'!L156</f>
        <v>12.989999999999998</v>
      </c>
      <c r="F144" s="104">
        <f>'Studio Rain System'!M156</f>
        <v>0.745</v>
      </c>
      <c r="G144" s="177">
        <v>125600</v>
      </c>
      <c r="H144" s="178">
        <f t="shared" si="28"/>
        <v>0</v>
      </c>
      <c r="I144" s="128">
        <f t="shared" si="32"/>
        <v>0</v>
      </c>
      <c r="J144" s="193">
        <f>IF( 'Organized Input Output'!$AD$5= "y", $K$4*(D144*1000)/$K$3, 0)</f>
        <v>0</v>
      </c>
      <c r="K144" s="43">
        <f t="shared" si="33"/>
        <v>0</v>
      </c>
      <c r="L144" s="43">
        <f t="shared" si="34"/>
        <v>0</v>
      </c>
      <c r="M144" s="180">
        <f t="shared" si="29"/>
        <v>0</v>
      </c>
      <c r="N144" s="43">
        <f t="shared" si="35"/>
        <v>1200</v>
      </c>
      <c r="O144" s="128">
        <f t="shared" si="30"/>
        <v>4.32</v>
      </c>
      <c r="P144" s="181">
        <f t="shared" si="36"/>
        <v>4.32</v>
      </c>
      <c r="Q144" s="209">
        <f>IF( 'Organized Input Output'!$AF$9 = "y", P144 / ($Q$3 * $Q$4), 0)</f>
        <v>0</v>
      </c>
      <c r="R144" s="209">
        <f t="shared" si="37"/>
        <v>0</v>
      </c>
      <c r="S144" s="43">
        <f>IF( 'Organized Input Output'!$AF$9 = "y", IF(R144= 0, 1, 0), 0)</f>
        <v>0</v>
      </c>
      <c r="T144" s="209">
        <f t="shared" si="39"/>
        <v>0</v>
      </c>
      <c r="U144" s="43">
        <f>IF( 'Organized Input Output'!$AF$9 = "y", IF(T144= 0, 1, 0), 0)</f>
        <v>0</v>
      </c>
      <c r="V144" s="43">
        <f t="shared" si="31"/>
        <v>0</v>
      </c>
      <c r="W144" s="43">
        <f t="shared" si="38"/>
        <v>0</v>
      </c>
      <c r="X144" s="43">
        <f t="shared" si="40"/>
        <v>0</v>
      </c>
      <c r="Y144" s="43">
        <f t="shared" si="41"/>
        <v>0</v>
      </c>
    </row>
    <row r="145" spans="1:25" ht="15" customHeight="1">
      <c r="A145" s="43">
        <v>135</v>
      </c>
      <c r="B145" s="176">
        <v>1.2</v>
      </c>
      <c r="C145" s="126">
        <f>'Studio Rain System'!J157</f>
        <v>0</v>
      </c>
      <c r="D145" s="104">
        <f>'Studio Rain System'!K157</f>
        <v>0</v>
      </c>
      <c r="E145" s="104">
        <f>'Studio Rain System'!L157</f>
        <v>12.244999999999999</v>
      </c>
      <c r="F145" s="104">
        <f>'Studio Rain System'!M157</f>
        <v>0.745</v>
      </c>
      <c r="G145" s="177">
        <v>125600</v>
      </c>
      <c r="H145" s="178">
        <f t="shared" si="28"/>
        <v>0</v>
      </c>
      <c r="I145" s="128">
        <f t="shared" si="32"/>
        <v>0</v>
      </c>
      <c r="J145" s="193">
        <f>IF( 'Organized Input Output'!$AD$5= "y", $K$4*(D145*1000)/$K$3, 0)</f>
        <v>0</v>
      </c>
      <c r="K145" s="43">
        <f t="shared" si="33"/>
        <v>0</v>
      </c>
      <c r="L145" s="43">
        <f t="shared" si="34"/>
        <v>0</v>
      </c>
      <c r="M145" s="180">
        <f t="shared" si="29"/>
        <v>0</v>
      </c>
      <c r="N145" s="43">
        <f t="shared" si="35"/>
        <v>1200</v>
      </c>
      <c r="O145" s="128">
        <f t="shared" si="30"/>
        <v>4.32</v>
      </c>
      <c r="P145" s="181">
        <f t="shared" si="36"/>
        <v>4.32</v>
      </c>
      <c r="Q145" s="209">
        <f>IF( 'Organized Input Output'!$AF$9 = "y", P145 / ($Q$3 * $Q$4), 0)</f>
        <v>0</v>
      </c>
      <c r="R145" s="209">
        <f t="shared" si="37"/>
        <v>0</v>
      </c>
      <c r="S145" s="43">
        <f>IF( 'Organized Input Output'!$AF$9 = "y", IF(R145= 0, 1, 0), 0)</f>
        <v>0</v>
      </c>
      <c r="T145" s="209">
        <f t="shared" si="39"/>
        <v>0</v>
      </c>
      <c r="U145" s="43">
        <f>IF( 'Organized Input Output'!$AF$9 = "y", IF(T145= 0, 1, 0), 0)</f>
        <v>0</v>
      </c>
      <c r="V145" s="43">
        <f t="shared" si="31"/>
        <v>0</v>
      </c>
      <c r="W145" s="43">
        <f t="shared" si="38"/>
        <v>0</v>
      </c>
      <c r="X145" s="43">
        <f t="shared" si="40"/>
        <v>0</v>
      </c>
      <c r="Y145" s="43">
        <f t="shared" si="41"/>
        <v>0</v>
      </c>
    </row>
    <row r="146" spans="1:25" ht="15" customHeight="1">
      <c r="A146" s="43">
        <v>136</v>
      </c>
      <c r="B146" s="176">
        <v>0</v>
      </c>
      <c r="C146" s="126">
        <f>'Studio Rain System'!J158</f>
        <v>2.8</v>
      </c>
      <c r="D146" s="104">
        <f>'Studio Rain System'!K158</f>
        <v>3.08</v>
      </c>
      <c r="E146" s="104">
        <f>'Studio Rain System'!L158</f>
        <v>14.58</v>
      </c>
      <c r="F146" s="104">
        <f>'Studio Rain System'!M158</f>
        <v>0.745</v>
      </c>
      <c r="G146" s="177">
        <v>125600</v>
      </c>
      <c r="H146" s="178">
        <f t="shared" si="28"/>
        <v>552640</v>
      </c>
      <c r="I146" s="128">
        <f t="shared" si="32"/>
        <v>0.55264000000000002</v>
      </c>
      <c r="J146" s="193">
        <f>IF( 'Organized Input Output'!$AD$5= "y", $K$4*(D146*1000)/$K$3, 0)</f>
        <v>15400</v>
      </c>
      <c r="K146" s="43">
        <f t="shared" si="33"/>
        <v>15.4</v>
      </c>
      <c r="L146" s="43">
        <f t="shared" si="34"/>
        <v>30800000</v>
      </c>
      <c r="M146" s="180">
        <f t="shared" si="29"/>
        <v>30.8</v>
      </c>
      <c r="N146" s="43">
        <f t="shared" si="35"/>
        <v>1200</v>
      </c>
      <c r="O146" s="128">
        <f t="shared" si="30"/>
        <v>4.32</v>
      </c>
      <c r="P146" s="181">
        <f t="shared" si="36"/>
        <v>35.672640000000001</v>
      </c>
      <c r="Q146" s="209">
        <f>IF( 'Organized Input Output'!$AF$9 = "y", P146 / ($Q$3 * $Q$4), 0)</f>
        <v>0</v>
      </c>
      <c r="R146" s="209">
        <f t="shared" si="37"/>
        <v>0</v>
      </c>
      <c r="S146" s="43">
        <f>IF( 'Organized Input Output'!$AF$9 = "y", IF(R146= 0, 1, 0), 0)</f>
        <v>0</v>
      </c>
      <c r="T146" s="209">
        <f t="shared" si="39"/>
        <v>0</v>
      </c>
      <c r="U146" s="43">
        <f>IF( 'Organized Input Output'!$AF$9 = "y", IF(T146= 0, 1, 0), 0)</f>
        <v>0</v>
      </c>
      <c r="V146" s="43">
        <f t="shared" si="31"/>
        <v>0</v>
      </c>
      <c r="W146" s="43">
        <f t="shared" si="38"/>
        <v>0</v>
      </c>
      <c r="X146" s="43">
        <f t="shared" si="40"/>
        <v>0</v>
      </c>
      <c r="Y146" s="43">
        <f t="shared" si="41"/>
        <v>0</v>
      </c>
    </row>
    <row r="147" spans="1:25" ht="15" customHeight="1">
      <c r="A147" s="43">
        <v>137</v>
      </c>
      <c r="B147" s="176">
        <v>0.4</v>
      </c>
      <c r="C147" s="126">
        <f>'Studio Rain System'!J159</f>
        <v>0</v>
      </c>
      <c r="D147" s="104">
        <f>'Studio Rain System'!K159</f>
        <v>0</v>
      </c>
      <c r="E147" s="104">
        <f>'Studio Rain System'!L159</f>
        <v>13.835000000000001</v>
      </c>
      <c r="F147" s="104">
        <f>'Studio Rain System'!M159</f>
        <v>0.745</v>
      </c>
      <c r="G147" s="177">
        <v>125600</v>
      </c>
      <c r="H147" s="178">
        <f t="shared" si="28"/>
        <v>0</v>
      </c>
      <c r="I147" s="128">
        <f t="shared" si="32"/>
        <v>0</v>
      </c>
      <c r="J147" s="193">
        <f>IF( 'Organized Input Output'!$AD$5= "y", $K$4*(D147*1000)/$K$3, 0)</f>
        <v>0</v>
      </c>
      <c r="K147" s="43">
        <f t="shared" si="33"/>
        <v>0</v>
      </c>
      <c r="L147" s="43">
        <f t="shared" si="34"/>
        <v>0</v>
      </c>
      <c r="M147" s="180">
        <f t="shared" si="29"/>
        <v>0</v>
      </c>
      <c r="N147" s="43">
        <f t="shared" si="35"/>
        <v>1200</v>
      </c>
      <c r="O147" s="128">
        <f t="shared" si="30"/>
        <v>4.32</v>
      </c>
      <c r="P147" s="181">
        <f t="shared" si="36"/>
        <v>4.32</v>
      </c>
      <c r="Q147" s="209">
        <f>IF( 'Organized Input Output'!$AF$9 = "y", P147 / ($Q$3 * $Q$4), 0)</f>
        <v>0</v>
      </c>
      <c r="R147" s="209">
        <f t="shared" si="37"/>
        <v>0</v>
      </c>
      <c r="S147" s="43">
        <f>IF( 'Organized Input Output'!$AF$9 = "y", IF(R147= 0, 1, 0), 0)</f>
        <v>0</v>
      </c>
      <c r="T147" s="209">
        <f t="shared" si="39"/>
        <v>0</v>
      </c>
      <c r="U147" s="43">
        <f>IF( 'Organized Input Output'!$AF$9 = "y", IF(T147= 0, 1, 0), 0)</f>
        <v>0</v>
      </c>
      <c r="V147" s="43">
        <f t="shared" si="31"/>
        <v>0</v>
      </c>
      <c r="W147" s="43">
        <f t="shared" si="38"/>
        <v>0</v>
      </c>
      <c r="X147" s="43">
        <f t="shared" si="40"/>
        <v>0</v>
      </c>
      <c r="Y147" s="43">
        <f t="shared" si="41"/>
        <v>0</v>
      </c>
    </row>
    <row r="148" spans="1:25" ht="15" customHeight="1">
      <c r="A148" s="43">
        <v>138</v>
      </c>
      <c r="B148" s="176">
        <v>1.6</v>
      </c>
      <c r="C148" s="126">
        <f>'Studio Rain System'!J160</f>
        <v>0</v>
      </c>
      <c r="D148" s="104">
        <f>'Studio Rain System'!K160</f>
        <v>0</v>
      </c>
      <c r="E148" s="104">
        <f>'Studio Rain System'!L160</f>
        <v>13.090000000000002</v>
      </c>
      <c r="F148" s="104">
        <f>'Studio Rain System'!M160</f>
        <v>0.745</v>
      </c>
      <c r="G148" s="177">
        <v>125600</v>
      </c>
      <c r="H148" s="178">
        <f t="shared" si="28"/>
        <v>0</v>
      </c>
      <c r="I148" s="128">
        <f t="shared" si="32"/>
        <v>0</v>
      </c>
      <c r="J148" s="193">
        <f>IF( 'Organized Input Output'!$AD$5= "y", $K$4*(D148*1000)/$K$3, 0)</f>
        <v>0</v>
      </c>
      <c r="K148" s="43">
        <f t="shared" si="33"/>
        <v>0</v>
      </c>
      <c r="L148" s="43">
        <f t="shared" si="34"/>
        <v>0</v>
      </c>
      <c r="M148" s="180">
        <f t="shared" si="29"/>
        <v>0</v>
      </c>
      <c r="N148" s="43">
        <f t="shared" si="35"/>
        <v>1200</v>
      </c>
      <c r="O148" s="128">
        <f t="shared" si="30"/>
        <v>4.32</v>
      </c>
      <c r="P148" s="181">
        <f t="shared" si="36"/>
        <v>4.32</v>
      </c>
      <c r="Q148" s="209">
        <f>IF( 'Organized Input Output'!$AF$9 = "y", P148 / ($Q$3 * $Q$4), 0)</f>
        <v>0</v>
      </c>
      <c r="R148" s="209">
        <f t="shared" si="37"/>
        <v>0</v>
      </c>
      <c r="S148" s="43">
        <f>IF( 'Organized Input Output'!$AF$9 = "y", IF(R148= 0, 1, 0), 0)</f>
        <v>0</v>
      </c>
      <c r="T148" s="209">
        <f t="shared" si="39"/>
        <v>0</v>
      </c>
      <c r="U148" s="43">
        <f>IF( 'Organized Input Output'!$AF$9 = "y", IF(T148= 0, 1, 0), 0)</f>
        <v>0</v>
      </c>
      <c r="V148" s="43">
        <f t="shared" si="31"/>
        <v>0</v>
      </c>
      <c r="W148" s="43">
        <f t="shared" si="38"/>
        <v>0</v>
      </c>
      <c r="X148" s="43">
        <f t="shared" si="40"/>
        <v>0</v>
      </c>
      <c r="Y148" s="43">
        <f t="shared" si="41"/>
        <v>0</v>
      </c>
    </row>
    <row r="149" spans="1:25" ht="15" customHeight="1">
      <c r="A149" s="43">
        <v>139</v>
      </c>
      <c r="B149" s="176">
        <v>0</v>
      </c>
      <c r="C149" s="126">
        <f>'Studio Rain System'!J161</f>
        <v>0</v>
      </c>
      <c r="D149" s="104">
        <f>'Studio Rain System'!K161</f>
        <v>0</v>
      </c>
      <c r="E149" s="104">
        <f>'Studio Rain System'!L161</f>
        <v>12.345000000000002</v>
      </c>
      <c r="F149" s="104">
        <f>'Studio Rain System'!M161</f>
        <v>0.745</v>
      </c>
      <c r="G149" s="177">
        <v>125600</v>
      </c>
      <c r="H149" s="178">
        <f t="shared" si="28"/>
        <v>0</v>
      </c>
      <c r="I149" s="128">
        <f t="shared" si="32"/>
        <v>0</v>
      </c>
      <c r="J149" s="193">
        <f>IF( 'Organized Input Output'!$AD$5= "y", $K$4*(D149*1000)/$K$3, 0)</f>
        <v>0</v>
      </c>
      <c r="K149" s="43">
        <f t="shared" si="33"/>
        <v>0</v>
      </c>
      <c r="L149" s="43">
        <f t="shared" si="34"/>
        <v>0</v>
      </c>
      <c r="M149" s="180">
        <f t="shared" si="29"/>
        <v>0</v>
      </c>
      <c r="N149" s="43">
        <f t="shared" si="35"/>
        <v>1200</v>
      </c>
      <c r="O149" s="128">
        <f t="shared" si="30"/>
        <v>4.32</v>
      </c>
      <c r="P149" s="181">
        <f t="shared" si="36"/>
        <v>4.32</v>
      </c>
      <c r="Q149" s="209">
        <f>IF( 'Organized Input Output'!$AF$9 = "y", P149 / ($Q$3 * $Q$4), 0)</f>
        <v>0</v>
      </c>
      <c r="R149" s="209">
        <f t="shared" si="37"/>
        <v>0</v>
      </c>
      <c r="S149" s="43">
        <f>IF( 'Organized Input Output'!$AF$9 = "y", IF(R149= 0, 1, 0), 0)</f>
        <v>0</v>
      </c>
      <c r="T149" s="209">
        <f t="shared" si="39"/>
        <v>0</v>
      </c>
      <c r="U149" s="43">
        <f>IF( 'Organized Input Output'!$AF$9 = "y", IF(T149= 0, 1, 0), 0)</f>
        <v>0</v>
      </c>
      <c r="V149" s="43">
        <f t="shared" si="31"/>
        <v>0</v>
      </c>
      <c r="W149" s="43">
        <f t="shared" si="38"/>
        <v>0</v>
      </c>
      <c r="X149" s="43">
        <f t="shared" si="40"/>
        <v>0</v>
      </c>
      <c r="Y149" s="43">
        <f t="shared" si="41"/>
        <v>0</v>
      </c>
    </row>
    <row r="150" spans="1:25" ht="15" customHeight="1">
      <c r="A150" s="43">
        <v>140</v>
      </c>
      <c r="B150" s="176">
        <v>2.8</v>
      </c>
      <c r="C150" s="126">
        <f>'Studio Rain System'!J162</f>
        <v>0</v>
      </c>
      <c r="D150" s="104">
        <f>'Studio Rain System'!K162</f>
        <v>0</v>
      </c>
      <c r="E150" s="104">
        <f>'Studio Rain System'!L162</f>
        <v>11.600000000000003</v>
      </c>
      <c r="F150" s="104">
        <f>'Studio Rain System'!M162</f>
        <v>0.745</v>
      </c>
      <c r="G150" s="177">
        <v>125600</v>
      </c>
      <c r="H150" s="178">
        <f t="shared" si="28"/>
        <v>0</v>
      </c>
      <c r="I150" s="128">
        <f t="shared" si="32"/>
        <v>0</v>
      </c>
      <c r="J150" s="193">
        <f>IF( 'Organized Input Output'!$AD$5= "y", $K$4*(D150*1000)/$K$3, 0)</f>
        <v>0</v>
      </c>
      <c r="K150" s="43">
        <f t="shared" si="33"/>
        <v>0</v>
      </c>
      <c r="L150" s="43">
        <f t="shared" si="34"/>
        <v>0</v>
      </c>
      <c r="M150" s="180">
        <f t="shared" si="29"/>
        <v>0</v>
      </c>
      <c r="N150" s="43">
        <f t="shared" si="35"/>
        <v>1200</v>
      </c>
      <c r="O150" s="128">
        <f t="shared" si="30"/>
        <v>4.32</v>
      </c>
      <c r="P150" s="181">
        <f t="shared" si="36"/>
        <v>4.32</v>
      </c>
      <c r="Q150" s="209">
        <f>IF( 'Organized Input Output'!$AF$9 = "y", P150 / ($Q$3 * $Q$4), 0)</f>
        <v>0</v>
      </c>
      <c r="R150" s="209">
        <f t="shared" si="37"/>
        <v>0</v>
      </c>
      <c r="S150" s="43">
        <f>IF( 'Organized Input Output'!$AF$9 = "y", IF(R150= 0, 1, 0), 0)</f>
        <v>0</v>
      </c>
      <c r="T150" s="209">
        <f t="shared" si="39"/>
        <v>0</v>
      </c>
      <c r="U150" s="43">
        <f>IF( 'Organized Input Output'!$AF$9 = "y", IF(T150= 0, 1, 0), 0)</f>
        <v>0</v>
      </c>
      <c r="V150" s="43">
        <f t="shared" si="31"/>
        <v>0</v>
      </c>
      <c r="W150" s="43">
        <f t="shared" si="38"/>
        <v>0</v>
      </c>
      <c r="X150" s="43">
        <f t="shared" si="40"/>
        <v>0</v>
      </c>
      <c r="Y150" s="43">
        <f t="shared" si="41"/>
        <v>0</v>
      </c>
    </row>
    <row r="151" spans="1:25" ht="15" customHeight="1">
      <c r="A151" s="43">
        <v>141</v>
      </c>
      <c r="B151" s="176">
        <v>3.6</v>
      </c>
      <c r="C151" s="126">
        <f>'Studio Rain System'!J163</f>
        <v>8.1999999999999993</v>
      </c>
      <c r="D151" s="104">
        <f>'Studio Rain System'!K163</f>
        <v>9.02</v>
      </c>
      <c r="E151" s="104">
        <f>'Studio Rain System'!L163</f>
        <v>19.875000000000004</v>
      </c>
      <c r="F151" s="104">
        <f>'Studio Rain System'!M163</f>
        <v>0.745</v>
      </c>
      <c r="G151" s="177">
        <v>125600</v>
      </c>
      <c r="H151" s="178">
        <f t="shared" si="28"/>
        <v>1618445.7142857143</v>
      </c>
      <c r="I151" s="128">
        <f t="shared" si="32"/>
        <v>1.6184457142857143</v>
      </c>
      <c r="J151" s="193">
        <f>IF( 'Organized Input Output'!$AD$5= "y", $K$4*(D151*1000)/$K$3, 0)</f>
        <v>45100</v>
      </c>
      <c r="K151" s="43">
        <f t="shared" si="33"/>
        <v>45.1</v>
      </c>
      <c r="L151" s="43">
        <f t="shared" si="34"/>
        <v>90200000</v>
      </c>
      <c r="M151" s="180">
        <f t="shared" si="29"/>
        <v>90.2</v>
      </c>
      <c r="N151" s="43">
        <f t="shared" si="35"/>
        <v>1200</v>
      </c>
      <c r="O151" s="128">
        <f t="shared" si="30"/>
        <v>4.32</v>
      </c>
      <c r="P151" s="181">
        <f t="shared" si="36"/>
        <v>96.138445714285723</v>
      </c>
      <c r="Q151" s="209">
        <f>IF( 'Organized Input Output'!$AF$9 = "y", P151 / ($Q$3 * $Q$4), 0)</f>
        <v>0</v>
      </c>
      <c r="R151" s="209">
        <f t="shared" si="37"/>
        <v>0</v>
      </c>
      <c r="S151" s="43">
        <f>IF( 'Organized Input Output'!$AF$9 = "y", IF(R151= 0, 1, 0), 0)</f>
        <v>0</v>
      </c>
      <c r="T151" s="209">
        <f t="shared" si="39"/>
        <v>0</v>
      </c>
      <c r="U151" s="43">
        <f>IF( 'Organized Input Output'!$AF$9 = "y", IF(T151= 0, 1, 0), 0)</f>
        <v>0</v>
      </c>
      <c r="V151" s="43">
        <f t="shared" si="31"/>
        <v>0</v>
      </c>
      <c r="W151" s="43">
        <f t="shared" si="38"/>
        <v>0</v>
      </c>
      <c r="X151" s="43">
        <f t="shared" si="40"/>
        <v>0</v>
      </c>
      <c r="Y151" s="43">
        <f t="shared" si="41"/>
        <v>0</v>
      </c>
    </row>
    <row r="152" spans="1:25" ht="15" customHeight="1">
      <c r="A152" s="43">
        <v>142</v>
      </c>
      <c r="B152" s="176">
        <v>0.4</v>
      </c>
      <c r="C152" s="126">
        <f>'Studio Rain System'!J164</f>
        <v>29.6</v>
      </c>
      <c r="D152" s="104">
        <f>'Studio Rain System'!K164</f>
        <v>32.56</v>
      </c>
      <c r="E152" s="104">
        <f>'Studio Rain System'!L164</f>
        <v>20</v>
      </c>
      <c r="F152" s="104">
        <f>'Studio Rain System'!M164</f>
        <v>0.745</v>
      </c>
      <c r="G152" s="177">
        <v>125600</v>
      </c>
      <c r="H152" s="178">
        <f t="shared" si="28"/>
        <v>5842194.2857142864</v>
      </c>
      <c r="I152" s="128">
        <f t="shared" si="32"/>
        <v>5.8421942857142861</v>
      </c>
      <c r="J152" s="193">
        <f>IF( 'Organized Input Output'!$AD$5= "y", $K$4*(D152*1000)/$K$3, 0)</f>
        <v>162800.00000000003</v>
      </c>
      <c r="K152" s="43">
        <f t="shared" si="33"/>
        <v>162.80000000000004</v>
      </c>
      <c r="L152" s="43">
        <f t="shared" si="34"/>
        <v>325600000.00000006</v>
      </c>
      <c r="M152" s="180">
        <f t="shared" si="29"/>
        <v>325.60000000000008</v>
      </c>
      <c r="N152" s="43">
        <f t="shared" si="35"/>
        <v>1200</v>
      </c>
      <c r="O152" s="128">
        <f t="shared" si="30"/>
        <v>4.32</v>
      </c>
      <c r="P152" s="181">
        <f t="shared" si="36"/>
        <v>335.76219428571437</v>
      </c>
      <c r="Q152" s="209">
        <f>IF( 'Organized Input Output'!$AF$9 = "y", P152 / ($Q$3 * $Q$4), 0)</f>
        <v>0</v>
      </c>
      <c r="R152" s="209">
        <f t="shared" si="37"/>
        <v>0</v>
      </c>
      <c r="S152" s="43">
        <f>IF( 'Organized Input Output'!$AF$9 = "y", IF(R152= 0, 1, 0), 0)</f>
        <v>0</v>
      </c>
      <c r="T152" s="209">
        <f t="shared" si="39"/>
        <v>0</v>
      </c>
      <c r="U152" s="43">
        <f>IF( 'Organized Input Output'!$AF$9 = "y", IF(T152= 0, 1, 0), 0)</f>
        <v>0</v>
      </c>
      <c r="V152" s="43">
        <f t="shared" si="31"/>
        <v>0</v>
      </c>
      <c r="W152" s="43">
        <f t="shared" si="38"/>
        <v>0</v>
      </c>
      <c r="X152" s="43">
        <f t="shared" si="40"/>
        <v>0</v>
      </c>
      <c r="Y152" s="43">
        <f t="shared" si="41"/>
        <v>0</v>
      </c>
    </row>
    <row r="153" spans="1:25" ht="15" customHeight="1">
      <c r="A153" s="43">
        <v>143</v>
      </c>
      <c r="B153" s="176">
        <v>9.4</v>
      </c>
      <c r="C153" s="126">
        <f>'Studio Rain System'!J165</f>
        <v>0.8</v>
      </c>
      <c r="D153" s="104">
        <f>'Studio Rain System'!K165</f>
        <v>0.88</v>
      </c>
      <c r="E153" s="104">
        <f>'Studio Rain System'!L165</f>
        <v>20</v>
      </c>
      <c r="F153" s="104">
        <f>'Studio Rain System'!M165</f>
        <v>0.745</v>
      </c>
      <c r="G153" s="177">
        <v>125600</v>
      </c>
      <c r="H153" s="178">
        <f t="shared" si="28"/>
        <v>157897.14285714287</v>
      </c>
      <c r="I153" s="128">
        <f t="shared" si="32"/>
        <v>0.15789714285714287</v>
      </c>
      <c r="J153" s="193">
        <f>IF( 'Organized Input Output'!$AD$5= "y", $K$4*(D153*1000)/$K$3, 0)</f>
        <v>4400</v>
      </c>
      <c r="K153" s="43">
        <f t="shared" si="33"/>
        <v>4.4000000000000004</v>
      </c>
      <c r="L153" s="43">
        <f t="shared" si="34"/>
        <v>8800000</v>
      </c>
      <c r="M153" s="180">
        <f t="shared" si="29"/>
        <v>8.8000000000000007</v>
      </c>
      <c r="N153" s="43">
        <f t="shared" si="35"/>
        <v>1200</v>
      </c>
      <c r="O153" s="128">
        <f t="shared" si="30"/>
        <v>4.32</v>
      </c>
      <c r="P153" s="181">
        <f t="shared" si="36"/>
        <v>13.277897142857144</v>
      </c>
      <c r="Q153" s="209">
        <f>IF( 'Organized Input Output'!$AF$9 = "y", P153 / ($Q$3 * $Q$4), 0)</f>
        <v>0</v>
      </c>
      <c r="R153" s="209">
        <f t="shared" si="37"/>
        <v>0</v>
      </c>
      <c r="S153" s="43">
        <f>IF( 'Organized Input Output'!$AF$9 = "y", IF(R153= 0, 1, 0), 0)</f>
        <v>0</v>
      </c>
      <c r="T153" s="209">
        <f t="shared" si="39"/>
        <v>0</v>
      </c>
      <c r="U153" s="43">
        <f>IF( 'Organized Input Output'!$AF$9 = "y", IF(T153= 0, 1, 0), 0)</f>
        <v>0</v>
      </c>
      <c r="V153" s="43">
        <f t="shared" si="31"/>
        <v>0</v>
      </c>
      <c r="W153" s="43">
        <f t="shared" si="38"/>
        <v>0</v>
      </c>
      <c r="X153" s="43">
        <f t="shared" si="40"/>
        <v>0</v>
      </c>
      <c r="Y153" s="43">
        <f t="shared" si="41"/>
        <v>0</v>
      </c>
    </row>
    <row r="154" spans="1:25" ht="15" customHeight="1">
      <c r="A154" s="43">
        <v>144</v>
      </c>
      <c r="B154" s="176">
        <v>1.4</v>
      </c>
      <c r="C154" s="126">
        <f>'Studio Rain System'!J166</f>
        <v>5.2</v>
      </c>
      <c r="D154" s="104">
        <f>'Studio Rain System'!K166</f>
        <v>5.72</v>
      </c>
      <c r="E154" s="104">
        <f>'Studio Rain System'!L166</f>
        <v>20</v>
      </c>
      <c r="F154" s="104">
        <f>'Studio Rain System'!M166</f>
        <v>0.745</v>
      </c>
      <c r="G154" s="177">
        <v>125600</v>
      </c>
      <c r="H154" s="178">
        <f t="shared" si="28"/>
        <v>1026331.4285714286</v>
      </c>
      <c r="I154" s="128">
        <f t="shared" si="32"/>
        <v>1.0263314285714287</v>
      </c>
      <c r="J154" s="193">
        <f>IF( 'Organized Input Output'!$AD$5= "y", $K$4*(D154*1000)/$K$3, 0)</f>
        <v>28600</v>
      </c>
      <c r="K154" s="43">
        <f t="shared" si="33"/>
        <v>28.6</v>
      </c>
      <c r="L154" s="43">
        <f t="shared" si="34"/>
        <v>57200000</v>
      </c>
      <c r="M154" s="180">
        <f t="shared" si="29"/>
        <v>57.2</v>
      </c>
      <c r="N154" s="43">
        <f t="shared" si="35"/>
        <v>1200</v>
      </c>
      <c r="O154" s="128">
        <f t="shared" si="30"/>
        <v>4.32</v>
      </c>
      <c r="P154" s="181">
        <f t="shared" si="36"/>
        <v>62.546331428571435</v>
      </c>
      <c r="Q154" s="209">
        <f>IF( 'Organized Input Output'!$AF$9 = "y", P154 / ($Q$3 * $Q$4), 0)</f>
        <v>0</v>
      </c>
      <c r="R154" s="209">
        <f t="shared" si="37"/>
        <v>0</v>
      </c>
      <c r="S154" s="43">
        <f>IF( 'Organized Input Output'!$AF$9 = "y", IF(R154= 0, 1, 0), 0)</f>
        <v>0</v>
      </c>
      <c r="T154" s="209">
        <f t="shared" si="39"/>
        <v>0</v>
      </c>
      <c r="U154" s="43">
        <f>IF( 'Organized Input Output'!$AF$9 = "y", IF(T154= 0, 1, 0), 0)</f>
        <v>0</v>
      </c>
      <c r="V154" s="43">
        <f t="shared" si="31"/>
        <v>0</v>
      </c>
      <c r="W154" s="43">
        <f t="shared" si="38"/>
        <v>0</v>
      </c>
      <c r="X154" s="43">
        <f t="shared" si="40"/>
        <v>0</v>
      </c>
      <c r="Y154" s="43">
        <f t="shared" si="41"/>
        <v>0</v>
      </c>
    </row>
    <row r="155" spans="1:25" ht="15" customHeight="1">
      <c r="A155" s="43">
        <v>145</v>
      </c>
      <c r="B155" s="176">
        <v>1.2</v>
      </c>
      <c r="C155" s="126">
        <f>'Studio Rain System'!J167</f>
        <v>23.4</v>
      </c>
      <c r="D155" s="104">
        <f>'Studio Rain System'!K167</f>
        <v>25.74</v>
      </c>
      <c r="E155" s="104">
        <f>'Studio Rain System'!L167</f>
        <v>20</v>
      </c>
      <c r="F155" s="104">
        <f>'Studio Rain System'!M167</f>
        <v>0.745</v>
      </c>
      <c r="G155" s="177">
        <v>125600</v>
      </c>
      <c r="H155" s="178">
        <f t="shared" si="28"/>
        <v>4618491.4285714291</v>
      </c>
      <c r="I155" s="128">
        <f t="shared" si="32"/>
        <v>4.6184914285714287</v>
      </c>
      <c r="J155" s="193">
        <f>IF( 'Organized Input Output'!$AD$5= "y", $K$4*(D155*1000)/$K$3, 0)</f>
        <v>128700</v>
      </c>
      <c r="K155" s="43">
        <f t="shared" si="33"/>
        <v>128.69999999999999</v>
      </c>
      <c r="L155" s="43">
        <f t="shared" si="34"/>
        <v>257399999.99999997</v>
      </c>
      <c r="M155" s="180">
        <f t="shared" si="29"/>
        <v>257.39999999999998</v>
      </c>
      <c r="N155" s="43">
        <f t="shared" si="35"/>
        <v>1200</v>
      </c>
      <c r="O155" s="128">
        <f t="shared" si="30"/>
        <v>4.32</v>
      </c>
      <c r="P155" s="181">
        <f t="shared" si="36"/>
        <v>266.33849142857139</v>
      </c>
      <c r="Q155" s="209">
        <f>IF( 'Organized Input Output'!$AF$9 = "y", P155 / ($Q$3 * $Q$4), 0)</f>
        <v>0</v>
      </c>
      <c r="R155" s="209">
        <f t="shared" si="37"/>
        <v>0</v>
      </c>
      <c r="S155" s="43">
        <f>IF( 'Organized Input Output'!$AF$9 = "y", IF(R155= 0, 1, 0), 0)</f>
        <v>0</v>
      </c>
      <c r="T155" s="209">
        <f t="shared" si="39"/>
        <v>0</v>
      </c>
      <c r="U155" s="43">
        <f>IF( 'Organized Input Output'!$AF$9 = "y", IF(T155= 0, 1, 0), 0)</f>
        <v>0</v>
      </c>
      <c r="V155" s="43">
        <f t="shared" si="31"/>
        <v>0</v>
      </c>
      <c r="W155" s="43">
        <f t="shared" si="38"/>
        <v>0</v>
      </c>
      <c r="X155" s="43">
        <f t="shared" si="40"/>
        <v>0</v>
      </c>
      <c r="Y155" s="43">
        <f t="shared" si="41"/>
        <v>0</v>
      </c>
    </row>
    <row r="156" spans="1:25" ht="15" customHeight="1">
      <c r="A156" s="43">
        <v>146</v>
      </c>
      <c r="B156" s="176">
        <v>2.2000000000000002</v>
      </c>
      <c r="C156" s="126">
        <f>'Studio Rain System'!J168</f>
        <v>0</v>
      </c>
      <c r="D156" s="104">
        <f>'Studio Rain System'!K168</f>
        <v>0</v>
      </c>
      <c r="E156" s="104">
        <f>'Studio Rain System'!L168</f>
        <v>19.254999999999999</v>
      </c>
      <c r="F156" s="104">
        <f>'Studio Rain System'!M168</f>
        <v>0.745</v>
      </c>
      <c r="G156" s="177">
        <v>125600</v>
      </c>
      <c r="H156" s="178">
        <f t="shared" si="28"/>
        <v>0</v>
      </c>
      <c r="I156" s="128">
        <f t="shared" si="32"/>
        <v>0</v>
      </c>
      <c r="J156" s="193">
        <f>IF( 'Organized Input Output'!$AD$5= "y", $K$4*(D156*1000)/$K$3, 0)</f>
        <v>0</v>
      </c>
      <c r="K156" s="43">
        <f t="shared" si="33"/>
        <v>0</v>
      </c>
      <c r="L156" s="43">
        <f t="shared" si="34"/>
        <v>0</v>
      </c>
      <c r="M156" s="180">
        <f t="shared" si="29"/>
        <v>0</v>
      </c>
      <c r="N156" s="43">
        <f t="shared" si="35"/>
        <v>1200</v>
      </c>
      <c r="O156" s="128">
        <f t="shared" si="30"/>
        <v>4.32</v>
      </c>
      <c r="P156" s="181">
        <f t="shared" si="36"/>
        <v>4.32</v>
      </c>
      <c r="Q156" s="209">
        <f>IF( 'Organized Input Output'!$AF$9 = "y", P156 / ($Q$3 * $Q$4), 0)</f>
        <v>0</v>
      </c>
      <c r="R156" s="209">
        <f t="shared" si="37"/>
        <v>0</v>
      </c>
      <c r="S156" s="43">
        <f>IF( 'Organized Input Output'!$AF$9 = "y", IF(R156= 0, 1, 0), 0)</f>
        <v>0</v>
      </c>
      <c r="T156" s="209">
        <f t="shared" si="39"/>
        <v>0</v>
      </c>
      <c r="U156" s="43">
        <f>IF( 'Organized Input Output'!$AF$9 = "y", IF(T156= 0, 1, 0), 0)</f>
        <v>0</v>
      </c>
      <c r="V156" s="43">
        <f t="shared" si="31"/>
        <v>0</v>
      </c>
      <c r="W156" s="43">
        <f t="shared" si="38"/>
        <v>0</v>
      </c>
      <c r="X156" s="43">
        <f t="shared" si="40"/>
        <v>0</v>
      </c>
      <c r="Y156" s="43">
        <f t="shared" si="41"/>
        <v>0</v>
      </c>
    </row>
    <row r="157" spans="1:25" ht="15" customHeight="1">
      <c r="A157" s="43">
        <v>147</v>
      </c>
      <c r="B157" s="176">
        <v>0.8</v>
      </c>
      <c r="C157" s="126">
        <f>'Studio Rain System'!J169</f>
        <v>4.4000000000000004</v>
      </c>
      <c r="D157" s="104">
        <f>'Studio Rain System'!K169</f>
        <v>4.84</v>
      </c>
      <c r="E157" s="104">
        <f>'Studio Rain System'!L169</f>
        <v>20</v>
      </c>
      <c r="F157" s="104">
        <f>'Studio Rain System'!M169</f>
        <v>0.745</v>
      </c>
      <c r="G157" s="177">
        <v>125600</v>
      </c>
      <c r="H157" s="178">
        <f t="shared" si="28"/>
        <v>868434.2857142858</v>
      </c>
      <c r="I157" s="128">
        <f t="shared" si="32"/>
        <v>0.86843428571428583</v>
      </c>
      <c r="J157" s="193">
        <f>IF( 'Organized Input Output'!$AD$5= "y", $K$4*(D157*1000)/$K$3, 0)</f>
        <v>24200</v>
      </c>
      <c r="K157" s="43">
        <f t="shared" si="33"/>
        <v>24.2</v>
      </c>
      <c r="L157" s="43">
        <f t="shared" si="34"/>
        <v>48400000</v>
      </c>
      <c r="M157" s="180">
        <f t="shared" si="29"/>
        <v>48.4</v>
      </c>
      <c r="N157" s="43">
        <f t="shared" si="35"/>
        <v>1200</v>
      </c>
      <c r="O157" s="128">
        <f t="shared" si="30"/>
        <v>4.32</v>
      </c>
      <c r="P157" s="181">
        <f t="shared" si="36"/>
        <v>53.588434285714285</v>
      </c>
      <c r="Q157" s="209">
        <f>IF( 'Organized Input Output'!$AF$9 = "y", P157 / ($Q$3 * $Q$4), 0)</f>
        <v>0</v>
      </c>
      <c r="R157" s="209">
        <f t="shared" si="37"/>
        <v>0</v>
      </c>
      <c r="S157" s="43">
        <f>IF( 'Organized Input Output'!$AF$9 = "y", IF(R157= 0, 1, 0), 0)</f>
        <v>0</v>
      </c>
      <c r="T157" s="209">
        <f t="shared" si="39"/>
        <v>0</v>
      </c>
      <c r="U157" s="43">
        <f>IF( 'Organized Input Output'!$AF$9 = "y", IF(T157= 0, 1, 0), 0)</f>
        <v>0</v>
      </c>
      <c r="V157" s="43">
        <f t="shared" si="31"/>
        <v>0</v>
      </c>
      <c r="W157" s="43">
        <f t="shared" si="38"/>
        <v>0</v>
      </c>
      <c r="X157" s="43">
        <f t="shared" si="40"/>
        <v>0</v>
      </c>
      <c r="Y157" s="43">
        <f t="shared" si="41"/>
        <v>0</v>
      </c>
    </row>
    <row r="158" spans="1:25" ht="15" customHeight="1">
      <c r="A158" s="43">
        <v>148</v>
      </c>
      <c r="B158" s="176">
        <v>0.4</v>
      </c>
      <c r="C158" s="126">
        <f>'Studio Rain System'!J170</f>
        <v>0</v>
      </c>
      <c r="D158" s="104">
        <f>'Studio Rain System'!K170</f>
        <v>0</v>
      </c>
      <c r="E158" s="104">
        <f>'Studio Rain System'!L170</f>
        <v>19.254999999999999</v>
      </c>
      <c r="F158" s="104">
        <f>'Studio Rain System'!M170</f>
        <v>0.745</v>
      </c>
      <c r="G158" s="177">
        <v>125600</v>
      </c>
      <c r="H158" s="178">
        <f t="shared" si="28"/>
        <v>0</v>
      </c>
      <c r="I158" s="128">
        <f t="shared" si="32"/>
        <v>0</v>
      </c>
      <c r="J158" s="193">
        <f>IF( 'Organized Input Output'!$AD$5= "y", $K$4*(D158*1000)/$K$3, 0)</f>
        <v>0</v>
      </c>
      <c r="K158" s="43">
        <f t="shared" si="33"/>
        <v>0</v>
      </c>
      <c r="L158" s="43">
        <f t="shared" si="34"/>
        <v>0</v>
      </c>
      <c r="M158" s="180">
        <f t="shared" si="29"/>
        <v>0</v>
      </c>
      <c r="N158" s="43">
        <f t="shared" si="35"/>
        <v>1200</v>
      </c>
      <c r="O158" s="128">
        <f t="shared" si="30"/>
        <v>4.32</v>
      </c>
      <c r="P158" s="181">
        <f t="shared" si="36"/>
        <v>4.32</v>
      </c>
      <c r="Q158" s="209">
        <f>IF( 'Organized Input Output'!$AF$9 = "y", P158 / ($Q$3 * $Q$4), 0)</f>
        <v>0</v>
      </c>
      <c r="R158" s="209">
        <f t="shared" si="37"/>
        <v>0</v>
      </c>
      <c r="S158" s="43">
        <f>IF( 'Organized Input Output'!$AF$9 = "y", IF(R158= 0, 1, 0), 0)</f>
        <v>0</v>
      </c>
      <c r="T158" s="209">
        <f t="shared" si="39"/>
        <v>0</v>
      </c>
      <c r="U158" s="43">
        <f>IF( 'Organized Input Output'!$AF$9 = "y", IF(T158= 0, 1, 0), 0)</f>
        <v>0</v>
      </c>
      <c r="V158" s="43">
        <f t="shared" si="31"/>
        <v>0</v>
      </c>
      <c r="W158" s="43">
        <f t="shared" si="38"/>
        <v>0</v>
      </c>
      <c r="X158" s="43">
        <f t="shared" si="40"/>
        <v>0</v>
      </c>
      <c r="Y158" s="43">
        <f t="shared" si="41"/>
        <v>0</v>
      </c>
    </row>
    <row r="159" spans="1:25" ht="15" customHeight="1">
      <c r="A159" s="43">
        <v>149</v>
      </c>
      <c r="B159" s="176">
        <v>2.4</v>
      </c>
      <c r="C159" s="126">
        <f>'Studio Rain System'!J171</f>
        <v>0</v>
      </c>
      <c r="D159" s="104">
        <f>'Studio Rain System'!K171</f>
        <v>0</v>
      </c>
      <c r="E159" s="104">
        <f>'Studio Rain System'!L171</f>
        <v>18.509999999999998</v>
      </c>
      <c r="F159" s="104">
        <f>'Studio Rain System'!M171</f>
        <v>0.745</v>
      </c>
      <c r="G159" s="177">
        <v>125600</v>
      </c>
      <c r="H159" s="178">
        <f t="shared" si="28"/>
        <v>0</v>
      </c>
      <c r="I159" s="128">
        <f t="shared" si="32"/>
        <v>0</v>
      </c>
      <c r="J159" s="193">
        <f>IF( 'Organized Input Output'!$AD$5= "y", $K$4*(D159*1000)/$K$3, 0)</f>
        <v>0</v>
      </c>
      <c r="K159" s="43">
        <f t="shared" si="33"/>
        <v>0</v>
      </c>
      <c r="L159" s="43">
        <f t="shared" si="34"/>
        <v>0</v>
      </c>
      <c r="M159" s="180">
        <f t="shared" si="29"/>
        <v>0</v>
      </c>
      <c r="N159" s="43">
        <f t="shared" si="35"/>
        <v>1200</v>
      </c>
      <c r="O159" s="128">
        <f t="shared" si="30"/>
        <v>4.32</v>
      </c>
      <c r="P159" s="181">
        <f t="shared" si="36"/>
        <v>4.32</v>
      </c>
      <c r="Q159" s="209">
        <f>IF( 'Organized Input Output'!$AF$9 = "y", P159 / ($Q$3 * $Q$4), 0)</f>
        <v>0</v>
      </c>
      <c r="R159" s="209">
        <f t="shared" si="37"/>
        <v>0</v>
      </c>
      <c r="S159" s="43">
        <f>IF( 'Organized Input Output'!$AF$9 = "y", IF(R159= 0, 1, 0), 0)</f>
        <v>0</v>
      </c>
      <c r="T159" s="209">
        <f t="shared" si="39"/>
        <v>0</v>
      </c>
      <c r="U159" s="43">
        <f>IF( 'Organized Input Output'!$AF$9 = "y", IF(T159= 0, 1, 0), 0)</f>
        <v>0</v>
      </c>
      <c r="V159" s="43">
        <f t="shared" si="31"/>
        <v>0</v>
      </c>
      <c r="W159" s="43">
        <f t="shared" si="38"/>
        <v>0</v>
      </c>
      <c r="X159" s="43">
        <f t="shared" si="40"/>
        <v>0</v>
      </c>
      <c r="Y159" s="43">
        <f t="shared" si="41"/>
        <v>0</v>
      </c>
    </row>
    <row r="160" spans="1:25" ht="15" customHeight="1">
      <c r="A160" s="43">
        <v>150</v>
      </c>
      <c r="B160" s="176">
        <v>3.6</v>
      </c>
      <c r="C160" s="126">
        <f>'Studio Rain System'!J172</f>
        <v>0</v>
      </c>
      <c r="D160" s="104">
        <f>'Studio Rain System'!K172</f>
        <v>0</v>
      </c>
      <c r="E160" s="104">
        <f>'Studio Rain System'!L172</f>
        <v>17.764999999999997</v>
      </c>
      <c r="F160" s="104">
        <f>'Studio Rain System'!M172</f>
        <v>0.745</v>
      </c>
      <c r="G160" s="177">
        <v>125600</v>
      </c>
      <c r="H160" s="178">
        <f t="shared" si="28"/>
        <v>0</v>
      </c>
      <c r="I160" s="128">
        <f t="shared" si="32"/>
        <v>0</v>
      </c>
      <c r="J160" s="193">
        <f>IF( 'Organized Input Output'!$AD$5= "y", $K$4*(D160*1000)/$K$3, 0)</f>
        <v>0</v>
      </c>
      <c r="K160" s="43">
        <f t="shared" si="33"/>
        <v>0</v>
      </c>
      <c r="L160" s="43">
        <f t="shared" si="34"/>
        <v>0</v>
      </c>
      <c r="M160" s="180">
        <f t="shared" si="29"/>
        <v>0</v>
      </c>
      <c r="N160" s="43">
        <f t="shared" si="35"/>
        <v>1200</v>
      </c>
      <c r="O160" s="128">
        <f t="shared" si="30"/>
        <v>4.32</v>
      </c>
      <c r="P160" s="181">
        <f t="shared" si="36"/>
        <v>4.32</v>
      </c>
      <c r="Q160" s="209">
        <f>IF( 'Organized Input Output'!$AF$9 = "y", P160 / ($Q$3 * $Q$4), 0)</f>
        <v>0</v>
      </c>
      <c r="R160" s="209">
        <f t="shared" si="37"/>
        <v>0</v>
      </c>
      <c r="S160" s="43">
        <f>IF( 'Organized Input Output'!$AF$9 = "y", IF(R160= 0, 1, 0), 0)</f>
        <v>0</v>
      </c>
      <c r="T160" s="209">
        <f t="shared" si="39"/>
        <v>0</v>
      </c>
      <c r="U160" s="43">
        <f>IF( 'Organized Input Output'!$AF$9 = "y", IF(T160= 0, 1, 0), 0)</f>
        <v>0</v>
      </c>
      <c r="V160" s="43">
        <f t="shared" si="31"/>
        <v>0</v>
      </c>
      <c r="W160" s="43">
        <f t="shared" si="38"/>
        <v>0</v>
      </c>
      <c r="X160" s="43">
        <f t="shared" si="40"/>
        <v>0</v>
      </c>
      <c r="Y160" s="43">
        <f t="shared" si="41"/>
        <v>0</v>
      </c>
    </row>
    <row r="161" spans="1:25" ht="15" customHeight="1">
      <c r="A161" s="43">
        <v>151</v>
      </c>
      <c r="B161" s="176">
        <v>0.2</v>
      </c>
      <c r="C161" s="126">
        <f>'Studio Rain System'!J173</f>
        <v>0</v>
      </c>
      <c r="D161" s="104">
        <f>'Studio Rain System'!K173</f>
        <v>0</v>
      </c>
      <c r="E161" s="104">
        <f>'Studio Rain System'!L173</f>
        <v>17.019999999999996</v>
      </c>
      <c r="F161" s="104">
        <f>'Studio Rain System'!M173</f>
        <v>0.745</v>
      </c>
      <c r="G161" s="177">
        <v>125600</v>
      </c>
      <c r="H161" s="178">
        <f t="shared" si="28"/>
        <v>0</v>
      </c>
      <c r="I161" s="128">
        <f t="shared" si="32"/>
        <v>0</v>
      </c>
      <c r="J161" s="193">
        <f>IF( 'Organized Input Output'!$AD$5= "y", $K$4*(D161*1000)/$K$3, 0)</f>
        <v>0</v>
      </c>
      <c r="K161" s="43">
        <f t="shared" si="33"/>
        <v>0</v>
      </c>
      <c r="L161" s="43">
        <f t="shared" si="34"/>
        <v>0</v>
      </c>
      <c r="M161" s="180">
        <f t="shared" si="29"/>
        <v>0</v>
      </c>
      <c r="N161" s="43">
        <f t="shared" si="35"/>
        <v>1200</v>
      </c>
      <c r="O161" s="128">
        <f t="shared" si="30"/>
        <v>4.32</v>
      </c>
      <c r="P161" s="181">
        <f t="shared" si="36"/>
        <v>4.32</v>
      </c>
      <c r="Q161" s="209">
        <f>IF( 'Organized Input Output'!$AF$9 = "y", P161 / ($Q$3 * $Q$4), 0)</f>
        <v>0</v>
      </c>
      <c r="R161" s="209">
        <f t="shared" si="37"/>
        <v>0</v>
      </c>
      <c r="S161" s="43">
        <f>IF( 'Organized Input Output'!$AF$9 = "y", IF(R161= 0, 1, 0), 0)</f>
        <v>0</v>
      </c>
      <c r="T161" s="209">
        <f t="shared" si="39"/>
        <v>0</v>
      </c>
      <c r="U161" s="43">
        <f>IF( 'Organized Input Output'!$AF$9 = "y", IF(T161= 0, 1, 0), 0)</f>
        <v>0</v>
      </c>
      <c r="V161" s="43">
        <f t="shared" si="31"/>
        <v>0</v>
      </c>
      <c r="W161" s="43">
        <f t="shared" si="38"/>
        <v>0</v>
      </c>
      <c r="X161" s="43">
        <f t="shared" si="40"/>
        <v>0</v>
      </c>
      <c r="Y161" s="43">
        <f t="shared" si="41"/>
        <v>0</v>
      </c>
    </row>
    <row r="162" spans="1:25" ht="15" customHeight="1">
      <c r="A162" s="43">
        <v>152</v>
      </c>
      <c r="B162" s="176">
        <v>0.6</v>
      </c>
      <c r="C162" s="126">
        <f>'Studio Rain System'!J174</f>
        <v>0</v>
      </c>
      <c r="D162" s="104">
        <f>'Studio Rain System'!K174</f>
        <v>0</v>
      </c>
      <c r="E162" s="104">
        <f>'Studio Rain System'!L174</f>
        <v>16.274999999999995</v>
      </c>
      <c r="F162" s="104">
        <f>'Studio Rain System'!M174</f>
        <v>0.745</v>
      </c>
      <c r="G162" s="177">
        <v>125600</v>
      </c>
      <c r="H162" s="178">
        <f t="shared" si="28"/>
        <v>0</v>
      </c>
      <c r="I162" s="128">
        <f t="shared" si="32"/>
        <v>0</v>
      </c>
      <c r="J162" s="193">
        <f>IF( 'Organized Input Output'!$AD$5= "y", $K$4*(D162*1000)/$K$3, 0)</f>
        <v>0</v>
      </c>
      <c r="K162" s="43">
        <f t="shared" si="33"/>
        <v>0</v>
      </c>
      <c r="L162" s="43">
        <f t="shared" si="34"/>
        <v>0</v>
      </c>
      <c r="M162" s="180">
        <f t="shared" si="29"/>
        <v>0</v>
      </c>
      <c r="N162" s="43">
        <f t="shared" si="35"/>
        <v>1200</v>
      </c>
      <c r="O162" s="128">
        <f t="shared" si="30"/>
        <v>4.32</v>
      </c>
      <c r="P162" s="181">
        <f t="shared" si="36"/>
        <v>4.32</v>
      </c>
      <c r="Q162" s="209">
        <f>IF( 'Organized Input Output'!$AF$9 = "y", P162 / ($Q$3 * $Q$4), 0)</f>
        <v>0</v>
      </c>
      <c r="R162" s="209">
        <f t="shared" si="37"/>
        <v>0</v>
      </c>
      <c r="S162" s="43">
        <f>IF( 'Organized Input Output'!$AF$9 = "y", IF(R162= 0, 1, 0), 0)</f>
        <v>0</v>
      </c>
      <c r="T162" s="209">
        <f t="shared" si="39"/>
        <v>0</v>
      </c>
      <c r="U162" s="43">
        <f>IF( 'Organized Input Output'!$AF$9 = "y", IF(T162= 0, 1, 0), 0)</f>
        <v>0</v>
      </c>
      <c r="V162" s="43">
        <f t="shared" si="31"/>
        <v>0</v>
      </c>
      <c r="W162" s="43">
        <f t="shared" si="38"/>
        <v>0</v>
      </c>
      <c r="X162" s="43">
        <f t="shared" si="40"/>
        <v>0</v>
      </c>
      <c r="Y162" s="43">
        <f t="shared" si="41"/>
        <v>0</v>
      </c>
    </row>
    <row r="163" spans="1:25" ht="15" customHeight="1">
      <c r="A163" s="43">
        <v>153</v>
      </c>
      <c r="B163" s="176">
        <v>0</v>
      </c>
      <c r="C163" s="126">
        <f>'Studio Rain System'!J175</f>
        <v>0</v>
      </c>
      <c r="D163" s="104">
        <f>'Studio Rain System'!K175</f>
        <v>0</v>
      </c>
      <c r="E163" s="104">
        <f>'Studio Rain System'!L175</f>
        <v>15.529999999999996</v>
      </c>
      <c r="F163" s="104">
        <f>'Studio Rain System'!M175</f>
        <v>0.745</v>
      </c>
      <c r="G163" s="177">
        <v>125600</v>
      </c>
      <c r="H163" s="178">
        <f t="shared" si="28"/>
        <v>0</v>
      </c>
      <c r="I163" s="128">
        <f t="shared" si="32"/>
        <v>0</v>
      </c>
      <c r="J163" s="193">
        <f>IF( 'Organized Input Output'!$AD$5= "y", $K$4*(D163*1000)/$K$3, 0)</f>
        <v>0</v>
      </c>
      <c r="K163" s="43">
        <f t="shared" si="33"/>
        <v>0</v>
      </c>
      <c r="L163" s="43">
        <f t="shared" si="34"/>
        <v>0</v>
      </c>
      <c r="M163" s="180">
        <f t="shared" si="29"/>
        <v>0</v>
      </c>
      <c r="N163" s="43">
        <f t="shared" si="35"/>
        <v>1200</v>
      </c>
      <c r="O163" s="128">
        <f t="shared" si="30"/>
        <v>4.32</v>
      </c>
      <c r="P163" s="181">
        <f t="shared" si="36"/>
        <v>4.32</v>
      </c>
      <c r="Q163" s="209">
        <f>IF( 'Organized Input Output'!$AF$9 = "y", P163 / ($Q$3 * $Q$4), 0)</f>
        <v>0</v>
      </c>
      <c r="R163" s="209">
        <f t="shared" si="37"/>
        <v>0</v>
      </c>
      <c r="S163" s="43">
        <f>IF( 'Organized Input Output'!$AF$9 = "y", IF(R163= 0, 1, 0), 0)</f>
        <v>0</v>
      </c>
      <c r="T163" s="209">
        <f t="shared" si="39"/>
        <v>0</v>
      </c>
      <c r="U163" s="43">
        <f>IF( 'Organized Input Output'!$AF$9 = "y", IF(T163= 0, 1, 0), 0)</f>
        <v>0</v>
      </c>
      <c r="V163" s="43">
        <f t="shared" si="31"/>
        <v>0</v>
      </c>
      <c r="W163" s="43">
        <f t="shared" si="38"/>
        <v>0</v>
      </c>
      <c r="X163" s="43">
        <f t="shared" si="40"/>
        <v>0</v>
      </c>
      <c r="Y163" s="43">
        <f t="shared" si="41"/>
        <v>0</v>
      </c>
    </row>
    <row r="164" spans="1:25" ht="15" customHeight="1">
      <c r="A164" s="43">
        <v>154</v>
      </c>
      <c r="B164" s="176">
        <v>0</v>
      </c>
      <c r="C164" s="126">
        <f>'Studio Rain System'!J176</f>
        <v>0</v>
      </c>
      <c r="D164" s="104">
        <f>'Studio Rain System'!K176</f>
        <v>0</v>
      </c>
      <c r="E164" s="104">
        <f>'Studio Rain System'!L176</f>
        <v>14.784999999999997</v>
      </c>
      <c r="F164" s="104">
        <f>'Studio Rain System'!M176</f>
        <v>0.745</v>
      </c>
      <c r="G164" s="177">
        <v>125600</v>
      </c>
      <c r="H164" s="178">
        <f t="shared" si="28"/>
        <v>0</v>
      </c>
      <c r="I164" s="128">
        <f t="shared" si="32"/>
        <v>0</v>
      </c>
      <c r="J164" s="193">
        <f>IF( 'Organized Input Output'!$AD$5= "y", $K$4*(D164*1000)/$K$3, 0)</f>
        <v>0</v>
      </c>
      <c r="K164" s="43">
        <f t="shared" si="33"/>
        <v>0</v>
      </c>
      <c r="L164" s="43">
        <f t="shared" si="34"/>
        <v>0</v>
      </c>
      <c r="M164" s="180">
        <f t="shared" si="29"/>
        <v>0</v>
      </c>
      <c r="N164" s="43">
        <f t="shared" si="35"/>
        <v>1200</v>
      </c>
      <c r="O164" s="128">
        <f t="shared" si="30"/>
        <v>4.32</v>
      </c>
      <c r="P164" s="181">
        <f t="shared" si="36"/>
        <v>4.32</v>
      </c>
      <c r="Q164" s="209">
        <f>IF( 'Organized Input Output'!$AF$9 = "y", P164 / ($Q$3 * $Q$4), 0)</f>
        <v>0</v>
      </c>
      <c r="R164" s="209">
        <f t="shared" si="37"/>
        <v>0</v>
      </c>
      <c r="S164" s="43">
        <f>IF( 'Organized Input Output'!$AF$9 = "y", IF(R164= 0, 1, 0), 0)</f>
        <v>0</v>
      </c>
      <c r="T164" s="209">
        <f t="shared" si="39"/>
        <v>0</v>
      </c>
      <c r="U164" s="43">
        <f>IF( 'Organized Input Output'!$AF$9 = "y", IF(T164= 0, 1, 0), 0)</f>
        <v>0</v>
      </c>
      <c r="V164" s="43">
        <f t="shared" si="31"/>
        <v>0</v>
      </c>
      <c r="W164" s="43">
        <f t="shared" si="38"/>
        <v>0</v>
      </c>
      <c r="X164" s="43">
        <f t="shared" si="40"/>
        <v>0</v>
      </c>
      <c r="Y164" s="43">
        <f t="shared" si="41"/>
        <v>0</v>
      </c>
    </row>
    <row r="165" spans="1:25" ht="15" customHeight="1">
      <c r="A165" s="43">
        <v>155</v>
      </c>
      <c r="B165" s="176">
        <v>0.4</v>
      </c>
      <c r="C165" s="126">
        <f>'Studio Rain System'!J177</f>
        <v>0</v>
      </c>
      <c r="D165" s="104">
        <f>'Studio Rain System'!K177</f>
        <v>0</v>
      </c>
      <c r="E165" s="104">
        <f>'Studio Rain System'!L177</f>
        <v>14.039999999999997</v>
      </c>
      <c r="F165" s="104">
        <f>'Studio Rain System'!M177</f>
        <v>0.745</v>
      </c>
      <c r="G165" s="177">
        <v>125600</v>
      </c>
      <c r="H165" s="178">
        <f t="shared" si="28"/>
        <v>0</v>
      </c>
      <c r="I165" s="128">
        <f t="shared" si="32"/>
        <v>0</v>
      </c>
      <c r="J165" s="193">
        <f>IF( 'Organized Input Output'!$AD$5= "y", $K$4*(D165*1000)/$K$3, 0)</f>
        <v>0</v>
      </c>
      <c r="K165" s="43">
        <f t="shared" si="33"/>
        <v>0</v>
      </c>
      <c r="L165" s="43">
        <f t="shared" si="34"/>
        <v>0</v>
      </c>
      <c r="M165" s="180">
        <f t="shared" si="29"/>
        <v>0</v>
      </c>
      <c r="N165" s="43">
        <f t="shared" si="35"/>
        <v>1200</v>
      </c>
      <c r="O165" s="128">
        <f t="shared" si="30"/>
        <v>4.32</v>
      </c>
      <c r="P165" s="181">
        <f t="shared" si="36"/>
        <v>4.32</v>
      </c>
      <c r="Q165" s="209">
        <f>IF( 'Organized Input Output'!$AF$9 = "y", P165 / ($Q$3 * $Q$4), 0)</f>
        <v>0</v>
      </c>
      <c r="R165" s="209">
        <f t="shared" si="37"/>
        <v>0</v>
      </c>
      <c r="S165" s="43">
        <f>IF( 'Organized Input Output'!$AF$9 = "y", IF(R165= 0, 1, 0), 0)</f>
        <v>0</v>
      </c>
      <c r="T165" s="209">
        <f t="shared" si="39"/>
        <v>0</v>
      </c>
      <c r="U165" s="43">
        <f>IF( 'Organized Input Output'!$AF$9 = "y", IF(T165= 0, 1, 0), 0)</f>
        <v>0</v>
      </c>
      <c r="V165" s="43">
        <f t="shared" si="31"/>
        <v>0</v>
      </c>
      <c r="W165" s="43">
        <f t="shared" si="38"/>
        <v>0</v>
      </c>
      <c r="X165" s="43">
        <f t="shared" si="40"/>
        <v>0</v>
      </c>
      <c r="Y165" s="43">
        <f t="shared" si="41"/>
        <v>0</v>
      </c>
    </row>
    <row r="166" spans="1:25" ht="15" customHeight="1">
      <c r="A166" s="43">
        <v>156</v>
      </c>
      <c r="B166" s="176">
        <v>0</v>
      </c>
      <c r="C166" s="126">
        <f>'Studio Rain System'!J178</f>
        <v>0</v>
      </c>
      <c r="D166" s="104">
        <f>'Studio Rain System'!K178</f>
        <v>0</v>
      </c>
      <c r="E166" s="104">
        <f>'Studio Rain System'!L178</f>
        <v>13.294999999999998</v>
      </c>
      <c r="F166" s="104">
        <f>'Studio Rain System'!M178</f>
        <v>0.745</v>
      </c>
      <c r="G166" s="177">
        <v>125600</v>
      </c>
      <c r="H166" s="178">
        <f t="shared" si="28"/>
        <v>0</v>
      </c>
      <c r="I166" s="128">
        <f t="shared" si="32"/>
        <v>0</v>
      </c>
      <c r="J166" s="193">
        <f>IF( 'Organized Input Output'!$AD$5= "y", $K$4*(D166*1000)/$K$3, 0)</f>
        <v>0</v>
      </c>
      <c r="K166" s="43">
        <f t="shared" si="33"/>
        <v>0</v>
      </c>
      <c r="L166" s="43">
        <f t="shared" si="34"/>
        <v>0</v>
      </c>
      <c r="M166" s="180">
        <f t="shared" si="29"/>
        <v>0</v>
      </c>
      <c r="N166" s="43">
        <f t="shared" si="35"/>
        <v>1200</v>
      </c>
      <c r="O166" s="128">
        <f t="shared" si="30"/>
        <v>4.32</v>
      </c>
      <c r="P166" s="181">
        <f t="shared" si="36"/>
        <v>4.32</v>
      </c>
      <c r="Q166" s="209">
        <f>IF( 'Organized Input Output'!$AF$9 = "y", P166 / ($Q$3 * $Q$4), 0)</f>
        <v>0</v>
      </c>
      <c r="R166" s="209">
        <f t="shared" si="37"/>
        <v>0</v>
      </c>
      <c r="S166" s="43">
        <f>IF( 'Organized Input Output'!$AF$9 = "y", IF(R166= 0, 1, 0), 0)</f>
        <v>0</v>
      </c>
      <c r="T166" s="209">
        <f t="shared" si="39"/>
        <v>0</v>
      </c>
      <c r="U166" s="43">
        <f>IF( 'Organized Input Output'!$AF$9 = "y", IF(T166= 0, 1, 0), 0)</f>
        <v>0</v>
      </c>
      <c r="V166" s="43">
        <f t="shared" si="31"/>
        <v>0</v>
      </c>
      <c r="W166" s="43">
        <f t="shared" si="38"/>
        <v>0</v>
      </c>
      <c r="X166" s="43">
        <f t="shared" si="40"/>
        <v>0</v>
      </c>
      <c r="Y166" s="43">
        <f t="shared" si="41"/>
        <v>0</v>
      </c>
    </row>
    <row r="167" spans="1:25" ht="15" customHeight="1">
      <c r="A167" s="43">
        <v>157</v>
      </c>
      <c r="B167" s="176">
        <v>11.4</v>
      </c>
      <c r="C167" s="126">
        <f>'Studio Rain System'!J179</f>
        <v>0</v>
      </c>
      <c r="D167" s="104">
        <f>'Studio Rain System'!K179</f>
        <v>0</v>
      </c>
      <c r="E167" s="104">
        <f>'Studio Rain System'!L179</f>
        <v>12.549999999999999</v>
      </c>
      <c r="F167" s="104">
        <f>'Studio Rain System'!M179</f>
        <v>0.745</v>
      </c>
      <c r="G167" s="177">
        <v>125600</v>
      </c>
      <c r="H167" s="178">
        <f t="shared" si="28"/>
        <v>0</v>
      </c>
      <c r="I167" s="128">
        <f t="shared" si="32"/>
        <v>0</v>
      </c>
      <c r="J167" s="193">
        <f>IF( 'Organized Input Output'!$AD$5= "y", $K$4*(D167*1000)/$K$3, 0)</f>
        <v>0</v>
      </c>
      <c r="K167" s="43">
        <f t="shared" si="33"/>
        <v>0</v>
      </c>
      <c r="L167" s="43">
        <f t="shared" si="34"/>
        <v>0</v>
      </c>
      <c r="M167" s="180">
        <f t="shared" si="29"/>
        <v>0</v>
      </c>
      <c r="N167" s="43">
        <f t="shared" si="35"/>
        <v>1200</v>
      </c>
      <c r="O167" s="128">
        <f t="shared" si="30"/>
        <v>4.32</v>
      </c>
      <c r="P167" s="181">
        <f t="shared" si="36"/>
        <v>4.32</v>
      </c>
      <c r="Q167" s="209">
        <f>IF( 'Organized Input Output'!$AF$9 = "y", P167 / ($Q$3 * $Q$4), 0)</f>
        <v>0</v>
      </c>
      <c r="R167" s="209">
        <f t="shared" si="37"/>
        <v>0</v>
      </c>
      <c r="S167" s="43">
        <f>IF( 'Organized Input Output'!$AF$9 = "y", IF(R167= 0, 1, 0), 0)</f>
        <v>0</v>
      </c>
      <c r="T167" s="209">
        <f t="shared" si="39"/>
        <v>0</v>
      </c>
      <c r="U167" s="43">
        <f>IF( 'Organized Input Output'!$AF$9 = "y", IF(T167= 0, 1, 0), 0)</f>
        <v>0</v>
      </c>
      <c r="V167" s="43">
        <f t="shared" si="31"/>
        <v>0</v>
      </c>
      <c r="W167" s="43">
        <f t="shared" si="38"/>
        <v>0</v>
      </c>
      <c r="X167" s="43">
        <f t="shared" si="40"/>
        <v>0</v>
      </c>
      <c r="Y167" s="43">
        <f t="shared" si="41"/>
        <v>0</v>
      </c>
    </row>
    <row r="168" spans="1:25" ht="15" customHeight="1">
      <c r="A168" s="43">
        <v>158</v>
      </c>
      <c r="B168" s="176">
        <v>1.6</v>
      </c>
      <c r="C168" s="126">
        <f>'Studio Rain System'!J180</f>
        <v>0</v>
      </c>
      <c r="D168" s="104">
        <f>'Studio Rain System'!K180</f>
        <v>0</v>
      </c>
      <c r="E168" s="104">
        <f>'Studio Rain System'!L180</f>
        <v>11.805</v>
      </c>
      <c r="F168" s="104">
        <f>'Studio Rain System'!M180</f>
        <v>0.745</v>
      </c>
      <c r="G168" s="177">
        <v>125600</v>
      </c>
      <c r="H168" s="178">
        <f t="shared" si="28"/>
        <v>0</v>
      </c>
      <c r="I168" s="128">
        <f t="shared" si="32"/>
        <v>0</v>
      </c>
      <c r="J168" s="193">
        <f>IF( 'Organized Input Output'!$AD$5= "y", $K$4*(D168*1000)/$K$3, 0)</f>
        <v>0</v>
      </c>
      <c r="K168" s="43">
        <f t="shared" si="33"/>
        <v>0</v>
      </c>
      <c r="L168" s="43">
        <f t="shared" si="34"/>
        <v>0</v>
      </c>
      <c r="M168" s="180">
        <f t="shared" si="29"/>
        <v>0</v>
      </c>
      <c r="N168" s="43">
        <f t="shared" si="35"/>
        <v>1200</v>
      </c>
      <c r="O168" s="128">
        <f t="shared" si="30"/>
        <v>4.32</v>
      </c>
      <c r="P168" s="181">
        <f t="shared" si="36"/>
        <v>4.32</v>
      </c>
      <c r="Q168" s="209">
        <f>IF( 'Organized Input Output'!$AF$9 = "y", P168 / ($Q$3 * $Q$4), 0)</f>
        <v>0</v>
      </c>
      <c r="R168" s="209">
        <f t="shared" si="37"/>
        <v>0</v>
      </c>
      <c r="S168" s="43">
        <f>IF( 'Organized Input Output'!$AF$9 = "y", IF(R168= 0, 1, 0), 0)</f>
        <v>0</v>
      </c>
      <c r="T168" s="209">
        <f t="shared" si="39"/>
        <v>0</v>
      </c>
      <c r="U168" s="43">
        <f>IF( 'Organized Input Output'!$AF$9 = "y", IF(T168= 0, 1, 0), 0)</f>
        <v>0</v>
      </c>
      <c r="V168" s="43">
        <f t="shared" si="31"/>
        <v>0</v>
      </c>
      <c r="W168" s="43">
        <f t="shared" si="38"/>
        <v>0</v>
      </c>
      <c r="X168" s="43">
        <f t="shared" si="40"/>
        <v>0</v>
      </c>
      <c r="Y168" s="43">
        <f t="shared" si="41"/>
        <v>0</v>
      </c>
    </row>
    <row r="169" spans="1:25" ht="15" customHeight="1">
      <c r="A169" s="43">
        <v>159</v>
      </c>
      <c r="B169" s="176">
        <v>2.8</v>
      </c>
      <c r="C169" s="126">
        <f>'Studio Rain System'!J181</f>
        <v>0.2</v>
      </c>
      <c r="D169" s="104">
        <f>'Studio Rain System'!K181</f>
        <v>0.22</v>
      </c>
      <c r="E169" s="104">
        <f>'Studio Rain System'!L181</f>
        <v>11.280000000000001</v>
      </c>
      <c r="F169" s="104">
        <f>'Studio Rain System'!M181</f>
        <v>0.745</v>
      </c>
      <c r="G169" s="177">
        <v>125600</v>
      </c>
      <c r="H169" s="178">
        <f t="shared" si="28"/>
        <v>39474.285714285717</v>
      </c>
      <c r="I169" s="128">
        <f t="shared" si="32"/>
        <v>3.9474285714285719E-2</v>
      </c>
      <c r="J169" s="193">
        <f>IF( 'Organized Input Output'!$AD$5= "y", $K$4*(D169*1000)/$K$3, 0)</f>
        <v>1100</v>
      </c>
      <c r="K169" s="43">
        <f t="shared" si="33"/>
        <v>1.1000000000000001</v>
      </c>
      <c r="L169" s="43">
        <f t="shared" si="34"/>
        <v>2200000</v>
      </c>
      <c r="M169" s="180">
        <f t="shared" si="29"/>
        <v>2.2000000000000002</v>
      </c>
      <c r="N169" s="43">
        <f t="shared" si="35"/>
        <v>1200</v>
      </c>
      <c r="O169" s="128">
        <f t="shared" si="30"/>
        <v>4.32</v>
      </c>
      <c r="P169" s="181">
        <f t="shared" si="36"/>
        <v>6.5594742857142858</v>
      </c>
      <c r="Q169" s="209">
        <f>IF( 'Organized Input Output'!$AF$9 = "y", P169 / ($Q$3 * $Q$4), 0)</f>
        <v>0</v>
      </c>
      <c r="R169" s="209">
        <f t="shared" si="37"/>
        <v>0</v>
      </c>
      <c r="S169" s="43">
        <f>IF( 'Organized Input Output'!$AF$9 = "y", IF(R169= 0, 1, 0), 0)</f>
        <v>0</v>
      </c>
      <c r="T169" s="209">
        <f t="shared" si="39"/>
        <v>0</v>
      </c>
      <c r="U169" s="43">
        <f>IF( 'Organized Input Output'!$AF$9 = "y", IF(T169= 0, 1, 0), 0)</f>
        <v>0</v>
      </c>
      <c r="V169" s="43">
        <f t="shared" si="31"/>
        <v>0</v>
      </c>
      <c r="W169" s="43">
        <f t="shared" si="38"/>
        <v>0</v>
      </c>
      <c r="X169" s="43">
        <f t="shared" si="40"/>
        <v>0</v>
      </c>
      <c r="Y169" s="43">
        <f t="shared" si="41"/>
        <v>0</v>
      </c>
    </row>
    <row r="170" spans="1:25" ht="15" customHeight="1">
      <c r="A170" s="43">
        <v>160</v>
      </c>
      <c r="B170" s="176">
        <v>0.6</v>
      </c>
      <c r="C170" s="126">
        <f>'Studio Rain System'!J182</f>
        <v>0</v>
      </c>
      <c r="D170" s="104">
        <f>'Studio Rain System'!K182</f>
        <v>0</v>
      </c>
      <c r="E170" s="104">
        <f>'Studio Rain System'!L182</f>
        <v>10.535000000000002</v>
      </c>
      <c r="F170" s="104">
        <f>'Studio Rain System'!M182</f>
        <v>0.745</v>
      </c>
      <c r="G170" s="177">
        <v>125600</v>
      </c>
      <c r="H170" s="178">
        <f t="shared" si="28"/>
        <v>0</v>
      </c>
      <c r="I170" s="128">
        <f t="shared" si="32"/>
        <v>0</v>
      </c>
      <c r="J170" s="193">
        <f>IF( 'Organized Input Output'!$AD$5= "y", $K$4*(D170*1000)/$K$3, 0)</f>
        <v>0</v>
      </c>
      <c r="K170" s="43">
        <f t="shared" si="33"/>
        <v>0</v>
      </c>
      <c r="L170" s="43">
        <f t="shared" si="34"/>
        <v>0</v>
      </c>
      <c r="M170" s="180">
        <f t="shared" si="29"/>
        <v>0</v>
      </c>
      <c r="N170" s="43">
        <f t="shared" si="35"/>
        <v>1200</v>
      </c>
      <c r="O170" s="128">
        <f t="shared" si="30"/>
        <v>4.32</v>
      </c>
      <c r="P170" s="181">
        <f t="shared" si="36"/>
        <v>4.32</v>
      </c>
      <c r="Q170" s="209">
        <f>IF( 'Organized Input Output'!$AF$9 = "y", P170 / ($Q$3 * $Q$4), 0)</f>
        <v>0</v>
      </c>
      <c r="R170" s="209">
        <f t="shared" si="37"/>
        <v>0</v>
      </c>
      <c r="S170" s="43">
        <f>IF( 'Organized Input Output'!$AF$9 = "y", IF(R170= 0, 1, 0), 0)</f>
        <v>0</v>
      </c>
      <c r="T170" s="209">
        <f t="shared" si="39"/>
        <v>0</v>
      </c>
      <c r="U170" s="43">
        <f>IF( 'Organized Input Output'!$AF$9 = "y", IF(T170= 0, 1, 0), 0)</f>
        <v>0</v>
      </c>
      <c r="V170" s="43">
        <f t="shared" si="31"/>
        <v>0</v>
      </c>
      <c r="W170" s="43">
        <f t="shared" si="38"/>
        <v>0</v>
      </c>
      <c r="X170" s="43">
        <f t="shared" si="40"/>
        <v>0</v>
      </c>
      <c r="Y170" s="43">
        <f t="shared" si="41"/>
        <v>0</v>
      </c>
    </row>
    <row r="171" spans="1:25" ht="15" customHeight="1">
      <c r="A171" s="43">
        <v>161</v>
      </c>
      <c r="B171" s="176">
        <v>1.2</v>
      </c>
      <c r="C171" s="126">
        <f>'Studio Rain System'!J183</f>
        <v>0</v>
      </c>
      <c r="D171" s="104">
        <f>'Studio Rain System'!K183</f>
        <v>0</v>
      </c>
      <c r="E171" s="104">
        <f>'Studio Rain System'!L183</f>
        <v>9.7900000000000027</v>
      </c>
      <c r="F171" s="104">
        <f>'Studio Rain System'!M183</f>
        <v>0.745</v>
      </c>
      <c r="G171" s="177">
        <v>125600</v>
      </c>
      <c r="H171" s="178">
        <f t="shared" si="28"/>
        <v>0</v>
      </c>
      <c r="I171" s="128">
        <f t="shared" si="32"/>
        <v>0</v>
      </c>
      <c r="J171" s="193">
        <f>IF( 'Organized Input Output'!$AD$5= "y", $K$4*(D171*1000)/$K$3, 0)</f>
        <v>0</v>
      </c>
      <c r="K171" s="43">
        <f t="shared" si="33"/>
        <v>0</v>
      </c>
      <c r="L171" s="43">
        <f t="shared" si="34"/>
        <v>0</v>
      </c>
      <c r="M171" s="180">
        <f t="shared" si="29"/>
        <v>0</v>
      </c>
      <c r="N171" s="43">
        <f t="shared" si="35"/>
        <v>1200</v>
      </c>
      <c r="O171" s="128">
        <f t="shared" si="30"/>
        <v>4.32</v>
      </c>
      <c r="P171" s="181">
        <f t="shared" si="36"/>
        <v>4.32</v>
      </c>
      <c r="Q171" s="209">
        <f>IF( 'Organized Input Output'!$AF$9 = "y", P171 / ($Q$3 * $Q$4), 0)</f>
        <v>0</v>
      </c>
      <c r="R171" s="209">
        <f t="shared" si="37"/>
        <v>0</v>
      </c>
      <c r="S171" s="43">
        <f>IF( 'Organized Input Output'!$AF$9 = "y", IF(R171= 0, 1, 0), 0)</f>
        <v>0</v>
      </c>
      <c r="T171" s="209">
        <f t="shared" si="39"/>
        <v>0</v>
      </c>
      <c r="U171" s="43">
        <f>IF( 'Organized Input Output'!$AF$9 = "y", IF(T171= 0, 1, 0), 0)</f>
        <v>0</v>
      </c>
      <c r="V171" s="43">
        <f t="shared" si="31"/>
        <v>0</v>
      </c>
      <c r="W171" s="43">
        <f t="shared" si="38"/>
        <v>0</v>
      </c>
      <c r="X171" s="43">
        <f t="shared" si="40"/>
        <v>0</v>
      </c>
      <c r="Y171" s="43">
        <f t="shared" si="41"/>
        <v>0</v>
      </c>
    </row>
    <row r="172" spans="1:25" ht="15" customHeight="1">
      <c r="A172" s="43">
        <v>162</v>
      </c>
      <c r="B172" s="176">
        <v>19.600000000000001</v>
      </c>
      <c r="C172" s="126">
        <f>'Studio Rain System'!J184</f>
        <v>0</v>
      </c>
      <c r="D172" s="104">
        <f>'Studio Rain System'!K184</f>
        <v>0</v>
      </c>
      <c r="E172" s="104">
        <f>'Studio Rain System'!L184</f>
        <v>9.0450000000000035</v>
      </c>
      <c r="F172" s="104">
        <f>'Studio Rain System'!M184</f>
        <v>0.745</v>
      </c>
      <c r="G172" s="177">
        <v>125600</v>
      </c>
      <c r="H172" s="178">
        <f t="shared" si="28"/>
        <v>0</v>
      </c>
      <c r="I172" s="128">
        <f t="shared" si="32"/>
        <v>0</v>
      </c>
      <c r="J172" s="193">
        <f>IF( 'Organized Input Output'!$AD$5= "y", $K$4*(D172*1000)/$K$3, 0)</f>
        <v>0</v>
      </c>
      <c r="K172" s="43">
        <f t="shared" si="33"/>
        <v>0</v>
      </c>
      <c r="L172" s="43">
        <f t="shared" si="34"/>
        <v>0</v>
      </c>
      <c r="M172" s="180">
        <f t="shared" si="29"/>
        <v>0</v>
      </c>
      <c r="N172" s="43">
        <f t="shared" si="35"/>
        <v>1200</v>
      </c>
      <c r="O172" s="128">
        <f t="shared" si="30"/>
        <v>4.32</v>
      </c>
      <c r="P172" s="181">
        <f t="shared" si="36"/>
        <v>4.32</v>
      </c>
      <c r="Q172" s="209">
        <f>IF( 'Organized Input Output'!$AF$9 = "y", P172 / ($Q$3 * $Q$4), 0)</f>
        <v>0</v>
      </c>
      <c r="R172" s="209">
        <f t="shared" si="37"/>
        <v>0</v>
      </c>
      <c r="S172" s="43">
        <f>IF( 'Organized Input Output'!$AF$9 = "y", IF(R172= 0, 1, 0), 0)</f>
        <v>0</v>
      </c>
      <c r="T172" s="209">
        <f t="shared" si="39"/>
        <v>0</v>
      </c>
      <c r="U172" s="43">
        <f>IF( 'Organized Input Output'!$AF$9 = "y", IF(T172= 0, 1, 0), 0)</f>
        <v>0</v>
      </c>
      <c r="V172" s="43">
        <f t="shared" si="31"/>
        <v>0</v>
      </c>
      <c r="W172" s="43">
        <f t="shared" si="38"/>
        <v>0</v>
      </c>
      <c r="X172" s="43">
        <f t="shared" si="40"/>
        <v>0</v>
      </c>
      <c r="Y172" s="43">
        <f t="shared" si="41"/>
        <v>0</v>
      </c>
    </row>
    <row r="173" spans="1:25" ht="15" customHeight="1">
      <c r="A173" s="43">
        <v>163</v>
      </c>
      <c r="B173" s="176">
        <v>7.4</v>
      </c>
      <c r="C173" s="126">
        <f>'Studio Rain System'!J185</f>
        <v>0</v>
      </c>
      <c r="D173" s="104">
        <f>'Studio Rain System'!K185</f>
        <v>0</v>
      </c>
      <c r="E173" s="104">
        <f>'Studio Rain System'!L185</f>
        <v>8.3000000000000043</v>
      </c>
      <c r="F173" s="104">
        <f>'Studio Rain System'!M185</f>
        <v>0.745</v>
      </c>
      <c r="G173" s="177">
        <v>125600</v>
      </c>
      <c r="H173" s="178">
        <f t="shared" si="28"/>
        <v>0</v>
      </c>
      <c r="I173" s="128">
        <f t="shared" si="32"/>
        <v>0</v>
      </c>
      <c r="J173" s="193">
        <f>IF( 'Organized Input Output'!$AD$5= "y", $K$4*(D173*1000)/$K$3, 0)</f>
        <v>0</v>
      </c>
      <c r="K173" s="43">
        <f t="shared" si="33"/>
        <v>0</v>
      </c>
      <c r="L173" s="43">
        <f t="shared" si="34"/>
        <v>0</v>
      </c>
      <c r="M173" s="180">
        <f t="shared" si="29"/>
        <v>0</v>
      </c>
      <c r="N173" s="43">
        <f t="shared" si="35"/>
        <v>1200</v>
      </c>
      <c r="O173" s="128">
        <f t="shared" si="30"/>
        <v>4.32</v>
      </c>
      <c r="P173" s="181">
        <f t="shared" si="36"/>
        <v>4.32</v>
      </c>
      <c r="Q173" s="209">
        <f>IF( 'Organized Input Output'!$AF$9 = "y", P173 / ($Q$3 * $Q$4), 0)</f>
        <v>0</v>
      </c>
      <c r="R173" s="209">
        <f t="shared" si="37"/>
        <v>0</v>
      </c>
      <c r="S173" s="43">
        <f>IF( 'Organized Input Output'!$AF$9 = "y", IF(R173= 0, 1, 0), 0)</f>
        <v>0</v>
      </c>
      <c r="T173" s="209">
        <f t="shared" si="39"/>
        <v>0</v>
      </c>
      <c r="U173" s="43">
        <f>IF( 'Organized Input Output'!$AF$9 = "y", IF(T173= 0, 1, 0), 0)</f>
        <v>0</v>
      </c>
      <c r="V173" s="43">
        <f t="shared" si="31"/>
        <v>0</v>
      </c>
      <c r="W173" s="43">
        <f t="shared" si="38"/>
        <v>0</v>
      </c>
      <c r="X173" s="43">
        <f t="shared" si="40"/>
        <v>0</v>
      </c>
      <c r="Y173" s="43">
        <f t="shared" si="41"/>
        <v>0</v>
      </c>
    </row>
    <row r="174" spans="1:25" ht="15" customHeight="1">
      <c r="A174" s="43">
        <v>164</v>
      </c>
      <c r="B174" s="176">
        <v>0.2</v>
      </c>
      <c r="C174" s="126">
        <f>'Studio Rain System'!J186</f>
        <v>0</v>
      </c>
      <c r="D174" s="104">
        <f>'Studio Rain System'!K186</f>
        <v>0</v>
      </c>
      <c r="E174" s="104">
        <f>'Studio Rain System'!L186</f>
        <v>7.5550000000000042</v>
      </c>
      <c r="F174" s="104">
        <f>'Studio Rain System'!M186</f>
        <v>0.745</v>
      </c>
      <c r="G174" s="177">
        <v>125600</v>
      </c>
      <c r="H174" s="178">
        <f t="shared" si="28"/>
        <v>0</v>
      </c>
      <c r="I174" s="128">
        <f t="shared" si="32"/>
        <v>0</v>
      </c>
      <c r="J174" s="193">
        <f>IF( 'Organized Input Output'!$AD$5= "y", $K$4*(D174*1000)/$K$3, 0)</f>
        <v>0</v>
      </c>
      <c r="K174" s="43">
        <f t="shared" si="33"/>
        <v>0</v>
      </c>
      <c r="L174" s="43">
        <f t="shared" si="34"/>
        <v>0</v>
      </c>
      <c r="M174" s="180">
        <f t="shared" si="29"/>
        <v>0</v>
      </c>
      <c r="N174" s="43">
        <f t="shared" si="35"/>
        <v>1200</v>
      </c>
      <c r="O174" s="128">
        <f t="shared" si="30"/>
        <v>4.32</v>
      </c>
      <c r="P174" s="181">
        <f t="shared" si="36"/>
        <v>4.32</v>
      </c>
      <c r="Q174" s="209">
        <f>IF( 'Organized Input Output'!$AF$9 = "y", P174 / ($Q$3 * $Q$4), 0)</f>
        <v>0</v>
      </c>
      <c r="R174" s="209">
        <f t="shared" si="37"/>
        <v>0</v>
      </c>
      <c r="S174" s="43">
        <f>IF( 'Organized Input Output'!$AF$9 = "y", IF(R174= 0, 1, 0), 0)</f>
        <v>0</v>
      </c>
      <c r="T174" s="209">
        <f t="shared" si="39"/>
        <v>0</v>
      </c>
      <c r="U174" s="43">
        <f>IF( 'Organized Input Output'!$AF$9 = "y", IF(T174= 0, 1, 0), 0)</f>
        <v>0</v>
      </c>
      <c r="V174" s="43">
        <f t="shared" si="31"/>
        <v>0</v>
      </c>
      <c r="W174" s="43">
        <f t="shared" si="38"/>
        <v>0</v>
      </c>
      <c r="X174" s="43">
        <f t="shared" si="40"/>
        <v>0</v>
      </c>
      <c r="Y174" s="43">
        <f t="shared" si="41"/>
        <v>0</v>
      </c>
    </row>
    <row r="175" spans="1:25" ht="15" customHeight="1">
      <c r="A175" s="43">
        <v>165</v>
      </c>
      <c r="B175" s="176">
        <v>0</v>
      </c>
      <c r="C175" s="126">
        <f>'Studio Rain System'!J187</f>
        <v>3.6</v>
      </c>
      <c r="D175" s="104">
        <f>'Studio Rain System'!K187</f>
        <v>3.96</v>
      </c>
      <c r="E175" s="104">
        <f>'Studio Rain System'!L187</f>
        <v>10.770000000000005</v>
      </c>
      <c r="F175" s="104">
        <f>'Studio Rain System'!M187</f>
        <v>0.745</v>
      </c>
      <c r="G175" s="177">
        <v>125600</v>
      </c>
      <c r="H175" s="178">
        <f t="shared" si="28"/>
        <v>710537.14285714296</v>
      </c>
      <c r="I175" s="128">
        <f t="shared" si="32"/>
        <v>0.71053714285714298</v>
      </c>
      <c r="J175" s="193">
        <f>IF( 'Organized Input Output'!$AD$5= "y", $K$4*(D175*1000)/$K$3, 0)</f>
        <v>19800</v>
      </c>
      <c r="K175" s="43">
        <f t="shared" si="33"/>
        <v>19.8</v>
      </c>
      <c r="L175" s="43">
        <f t="shared" si="34"/>
        <v>39600000</v>
      </c>
      <c r="M175" s="180">
        <f t="shared" si="29"/>
        <v>39.6</v>
      </c>
      <c r="N175" s="43">
        <f t="shared" si="35"/>
        <v>1200</v>
      </c>
      <c r="O175" s="128">
        <f t="shared" si="30"/>
        <v>4.32</v>
      </c>
      <c r="P175" s="181">
        <f t="shared" si="36"/>
        <v>44.630537142857143</v>
      </c>
      <c r="Q175" s="209">
        <f>IF( 'Organized Input Output'!$AF$9 = "y", P175 / ($Q$3 * $Q$4), 0)</f>
        <v>0</v>
      </c>
      <c r="R175" s="209">
        <f t="shared" si="37"/>
        <v>0</v>
      </c>
      <c r="S175" s="43">
        <f>IF( 'Organized Input Output'!$AF$9 = "y", IF(R175= 0, 1, 0), 0)</f>
        <v>0</v>
      </c>
      <c r="T175" s="209">
        <f t="shared" si="39"/>
        <v>0</v>
      </c>
      <c r="U175" s="43">
        <f>IF( 'Organized Input Output'!$AF$9 = "y", IF(T175= 0, 1, 0), 0)</f>
        <v>0</v>
      </c>
      <c r="V175" s="43">
        <f t="shared" si="31"/>
        <v>0</v>
      </c>
      <c r="W175" s="43">
        <f t="shared" si="38"/>
        <v>0</v>
      </c>
      <c r="X175" s="43">
        <f t="shared" si="40"/>
        <v>0</v>
      </c>
      <c r="Y175" s="43">
        <f t="shared" si="41"/>
        <v>0</v>
      </c>
    </row>
    <row r="176" spans="1:25" ht="15" customHeight="1">
      <c r="A176" s="43">
        <v>166</v>
      </c>
      <c r="B176" s="176">
        <v>1.2</v>
      </c>
      <c r="C176" s="126">
        <f>'Studio Rain System'!J188</f>
        <v>0</v>
      </c>
      <c r="D176" s="104">
        <f>'Studio Rain System'!K188</f>
        <v>0</v>
      </c>
      <c r="E176" s="104">
        <f>'Studio Rain System'!L188</f>
        <v>10.025000000000006</v>
      </c>
      <c r="F176" s="104">
        <f>'Studio Rain System'!M188</f>
        <v>0.745</v>
      </c>
      <c r="G176" s="177">
        <v>125600</v>
      </c>
      <c r="H176" s="178">
        <f t="shared" si="28"/>
        <v>0</v>
      </c>
      <c r="I176" s="128">
        <f t="shared" si="32"/>
        <v>0</v>
      </c>
      <c r="J176" s="193">
        <f>IF( 'Organized Input Output'!$AD$5= "y", $K$4*(D176*1000)/$K$3, 0)</f>
        <v>0</v>
      </c>
      <c r="K176" s="43">
        <f t="shared" si="33"/>
        <v>0</v>
      </c>
      <c r="L176" s="43">
        <f t="shared" si="34"/>
        <v>0</v>
      </c>
      <c r="M176" s="180">
        <f t="shared" si="29"/>
        <v>0</v>
      </c>
      <c r="N176" s="43">
        <f t="shared" si="35"/>
        <v>1200</v>
      </c>
      <c r="O176" s="128">
        <f t="shared" si="30"/>
        <v>4.32</v>
      </c>
      <c r="P176" s="181">
        <f t="shared" si="36"/>
        <v>4.32</v>
      </c>
      <c r="Q176" s="209">
        <f>IF( 'Organized Input Output'!$AF$9 = "y", P176 / ($Q$3 * $Q$4), 0)</f>
        <v>0</v>
      </c>
      <c r="R176" s="209">
        <f t="shared" si="37"/>
        <v>0</v>
      </c>
      <c r="S176" s="43">
        <f>IF( 'Organized Input Output'!$AF$9 = "y", IF(R176= 0, 1, 0), 0)</f>
        <v>0</v>
      </c>
      <c r="T176" s="209">
        <f t="shared" si="39"/>
        <v>0</v>
      </c>
      <c r="U176" s="43">
        <f>IF( 'Organized Input Output'!$AF$9 = "y", IF(T176= 0, 1, 0), 0)</f>
        <v>0</v>
      </c>
      <c r="V176" s="43">
        <f t="shared" si="31"/>
        <v>0</v>
      </c>
      <c r="W176" s="43">
        <f t="shared" si="38"/>
        <v>0</v>
      </c>
      <c r="X176" s="43">
        <f t="shared" si="40"/>
        <v>0</v>
      </c>
      <c r="Y176" s="43">
        <f t="shared" si="41"/>
        <v>0</v>
      </c>
    </row>
    <row r="177" spans="1:25" ht="15" customHeight="1">
      <c r="A177" s="43">
        <v>167</v>
      </c>
      <c r="B177" s="176">
        <v>0.4</v>
      </c>
      <c r="C177" s="126">
        <f>'Studio Rain System'!J189</f>
        <v>0</v>
      </c>
      <c r="D177" s="104">
        <f>'Studio Rain System'!K189</f>
        <v>0</v>
      </c>
      <c r="E177" s="104">
        <f>'Studio Rain System'!L189</f>
        <v>9.2800000000000065</v>
      </c>
      <c r="F177" s="104">
        <f>'Studio Rain System'!M189</f>
        <v>0.745</v>
      </c>
      <c r="G177" s="177">
        <v>125600</v>
      </c>
      <c r="H177" s="178">
        <f t="shared" si="28"/>
        <v>0</v>
      </c>
      <c r="I177" s="128">
        <f t="shared" si="32"/>
        <v>0</v>
      </c>
      <c r="J177" s="193">
        <f>IF( 'Organized Input Output'!$AD$5= "y", $K$4*(D177*1000)/$K$3, 0)</f>
        <v>0</v>
      </c>
      <c r="K177" s="43">
        <f t="shared" si="33"/>
        <v>0</v>
      </c>
      <c r="L177" s="43">
        <f t="shared" si="34"/>
        <v>0</v>
      </c>
      <c r="M177" s="180">
        <f t="shared" si="29"/>
        <v>0</v>
      </c>
      <c r="N177" s="43">
        <f t="shared" si="35"/>
        <v>1200</v>
      </c>
      <c r="O177" s="128">
        <f t="shared" si="30"/>
        <v>4.32</v>
      </c>
      <c r="P177" s="181">
        <f t="shared" si="36"/>
        <v>4.32</v>
      </c>
      <c r="Q177" s="209">
        <f>IF( 'Organized Input Output'!$AF$9 = "y", P177 / ($Q$3 * $Q$4), 0)</f>
        <v>0</v>
      </c>
      <c r="R177" s="209">
        <f t="shared" si="37"/>
        <v>0</v>
      </c>
      <c r="S177" s="43">
        <f>IF( 'Organized Input Output'!$AF$9 = "y", IF(R177= 0, 1, 0), 0)</f>
        <v>0</v>
      </c>
      <c r="T177" s="209">
        <f t="shared" si="39"/>
        <v>0</v>
      </c>
      <c r="U177" s="43">
        <f>IF( 'Organized Input Output'!$AF$9 = "y", IF(T177= 0, 1, 0), 0)</f>
        <v>0</v>
      </c>
      <c r="V177" s="43">
        <f t="shared" si="31"/>
        <v>0</v>
      </c>
      <c r="W177" s="43">
        <f t="shared" si="38"/>
        <v>0</v>
      </c>
      <c r="X177" s="43">
        <f t="shared" si="40"/>
        <v>0</v>
      </c>
      <c r="Y177" s="43">
        <f t="shared" si="41"/>
        <v>0</v>
      </c>
    </row>
    <row r="178" spans="1:25" ht="15" customHeight="1">
      <c r="A178" s="43">
        <v>168</v>
      </c>
      <c r="B178" s="176">
        <v>2.4</v>
      </c>
      <c r="C178" s="126">
        <f>'Studio Rain System'!J190</f>
        <v>0</v>
      </c>
      <c r="D178" s="104">
        <f>'Studio Rain System'!K190</f>
        <v>0</v>
      </c>
      <c r="E178" s="104">
        <f>'Studio Rain System'!L190</f>
        <v>8.5350000000000072</v>
      </c>
      <c r="F178" s="104">
        <f>'Studio Rain System'!M190</f>
        <v>0.745</v>
      </c>
      <c r="G178" s="177">
        <v>125600</v>
      </c>
      <c r="H178" s="178">
        <f t="shared" si="28"/>
        <v>0</v>
      </c>
      <c r="I178" s="128">
        <f t="shared" si="32"/>
        <v>0</v>
      </c>
      <c r="J178" s="193">
        <f>IF( 'Organized Input Output'!$AD$5= "y", $K$4*(D178*1000)/$K$3, 0)</f>
        <v>0</v>
      </c>
      <c r="K178" s="43">
        <f t="shared" si="33"/>
        <v>0</v>
      </c>
      <c r="L178" s="43">
        <f t="shared" si="34"/>
        <v>0</v>
      </c>
      <c r="M178" s="180">
        <f t="shared" si="29"/>
        <v>0</v>
      </c>
      <c r="N178" s="43">
        <f t="shared" si="35"/>
        <v>1200</v>
      </c>
      <c r="O178" s="128">
        <f t="shared" si="30"/>
        <v>4.32</v>
      </c>
      <c r="P178" s="181">
        <f t="shared" si="36"/>
        <v>4.32</v>
      </c>
      <c r="Q178" s="209">
        <f>IF( 'Organized Input Output'!$AF$9 = "y", P178 / ($Q$3 * $Q$4), 0)</f>
        <v>0</v>
      </c>
      <c r="R178" s="209">
        <f t="shared" si="37"/>
        <v>0</v>
      </c>
      <c r="S178" s="43">
        <f>IF( 'Organized Input Output'!$AF$9 = "y", IF(R178= 0, 1, 0), 0)</f>
        <v>0</v>
      </c>
      <c r="T178" s="209">
        <f t="shared" si="39"/>
        <v>0</v>
      </c>
      <c r="U178" s="43">
        <f>IF( 'Organized Input Output'!$AF$9 = "y", IF(T178= 0, 1, 0), 0)</f>
        <v>0</v>
      </c>
      <c r="V178" s="43">
        <f t="shared" si="31"/>
        <v>0</v>
      </c>
      <c r="W178" s="43">
        <f t="shared" si="38"/>
        <v>0</v>
      </c>
      <c r="X178" s="43">
        <f t="shared" si="40"/>
        <v>0</v>
      </c>
      <c r="Y178" s="43">
        <f t="shared" si="41"/>
        <v>0</v>
      </c>
    </row>
    <row r="179" spans="1:25" ht="15" customHeight="1">
      <c r="A179" s="43">
        <v>169</v>
      </c>
      <c r="B179" s="176">
        <v>1.8</v>
      </c>
      <c r="C179" s="126">
        <f>'Studio Rain System'!J191</f>
        <v>1.6</v>
      </c>
      <c r="D179" s="104">
        <f>'Studio Rain System'!K191</f>
        <v>1.76</v>
      </c>
      <c r="E179" s="104">
        <f>'Studio Rain System'!L191</f>
        <v>9.5500000000000078</v>
      </c>
      <c r="F179" s="104">
        <f>'Studio Rain System'!M191</f>
        <v>0.745</v>
      </c>
      <c r="G179" s="177">
        <v>125600</v>
      </c>
      <c r="H179" s="178">
        <f t="shared" si="28"/>
        <v>315794.28571428574</v>
      </c>
      <c r="I179" s="128">
        <f t="shared" si="32"/>
        <v>0.31579428571428575</v>
      </c>
      <c r="J179" s="193">
        <f>IF( 'Organized Input Output'!$AD$5= "y", $K$4*(D179*1000)/$K$3, 0)</f>
        <v>8800</v>
      </c>
      <c r="K179" s="43">
        <f t="shared" si="33"/>
        <v>8.8000000000000007</v>
      </c>
      <c r="L179" s="43">
        <f t="shared" si="34"/>
        <v>17600000</v>
      </c>
      <c r="M179" s="180">
        <f t="shared" si="29"/>
        <v>17.600000000000001</v>
      </c>
      <c r="N179" s="43">
        <f t="shared" si="35"/>
        <v>1200</v>
      </c>
      <c r="O179" s="128">
        <f t="shared" si="30"/>
        <v>4.32</v>
      </c>
      <c r="P179" s="181">
        <f t="shared" si="36"/>
        <v>22.235794285714288</v>
      </c>
      <c r="Q179" s="209">
        <f>IF( 'Organized Input Output'!$AF$9 = "y", P179 / ($Q$3 * $Q$4), 0)</f>
        <v>0</v>
      </c>
      <c r="R179" s="209">
        <f t="shared" si="37"/>
        <v>0</v>
      </c>
      <c r="S179" s="43">
        <f>IF( 'Organized Input Output'!$AF$9 = "y", IF(R179= 0, 1, 0), 0)</f>
        <v>0</v>
      </c>
      <c r="T179" s="209">
        <f t="shared" si="39"/>
        <v>0</v>
      </c>
      <c r="U179" s="43">
        <f>IF( 'Organized Input Output'!$AF$9 = "y", IF(T179= 0, 1, 0), 0)</f>
        <v>0</v>
      </c>
      <c r="V179" s="43">
        <f t="shared" si="31"/>
        <v>0</v>
      </c>
      <c r="W179" s="43">
        <f t="shared" si="38"/>
        <v>0</v>
      </c>
      <c r="X179" s="43">
        <f t="shared" si="40"/>
        <v>0</v>
      </c>
      <c r="Y179" s="43">
        <f t="shared" si="41"/>
        <v>0</v>
      </c>
    </row>
    <row r="180" spans="1:25" ht="15" customHeight="1">
      <c r="A180" s="43">
        <v>170</v>
      </c>
      <c r="B180" s="176">
        <v>6.8</v>
      </c>
      <c r="C180" s="126">
        <f>'Studio Rain System'!J192</f>
        <v>20.8</v>
      </c>
      <c r="D180" s="104">
        <f>'Studio Rain System'!K192</f>
        <v>22.88</v>
      </c>
      <c r="E180" s="104">
        <f>'Studio Rain System'!L192</f>
        <v>20</v>
      </c>
      <c r="F180" s="104">
        <f>'Studio Rain System'!M192</f>
        <v>0.745</v>
      </c>
      <c r="G180" s="177">
        <v>125600</v>
      </c>
      <c r="H180" s="178">
        <f t="shared" si="28"/>
        <v>4105325.7142857146</v>
      </c>
      <c r="I180" s="128">
        <f t="shared" si="32"/>
        <v>4.1053257142857147</v>
      </c>
      <c r="J180" s="193">
        <f>IF( 'Organized Input Output'!$AD$5= "y", $K$4*(D180*1000)/$K$3, 0)</f>
        <v>114400</v>
      </c>
      <c r="K180" s="43">
        <f t="shared" si="33"/>
        <v>114.4</v>
      </c>
      <c r="L180" s="43">
        <f t="shared" si="34"/>
        <v>228800000</v>
      </c>
      <c r="M180" s="180">
        <f t="shared" si="29"/>
        <v>228.8</v>
      </c>
      <c r="N180" s="43">
        <f t="shared" si="35"/>
        <v>1200</v>
      </c>
      <c r="O180" s="128">
        <f t="shared" si="30"/>
        <v>4.32</v>
      </c>
      <c r="P180" s="181">
        <f t="shared" si="36"/>
        <v>237.22532571428573</v>
      </c>
      <c r="Q180" s="209">
        <f>IF( 'Organized Input Output'!$AF$9 = "y", P180 / ($Q$3 * $Q$4), 0)</f>
        <v>0</v>
      </c>
      <c r="R180" s="209">
        <f t="shared" si="37"/>
        <v>0</v>
      </c>
      <c r="S180" s="43">
        <f>IF( 'Organized Input Output'!$AF$9 = "y", IF(R180= 0, 1, 0), 0)</f>
        <v>0</v>
      </c>
      <c r="T180" s="209">
        <f t="shared" si="39"/>
        <v>0</v>
      </c>
      <c r="U180" s="43">
        <f>IF( 'Organized Input Output'!$AF$9 = "y", IF(T180= 0, 1, 0), 0)</f>
        <v>0</v>
      </c>
      <c r="V180" s="43">
        <f t="shared" si="31"/>
        <v>0</v>
      </c>
      <c r="W180" s="43">
        <f t="shared" si="38"/>
        <v>0</v>
      </c>
      <c r="X180" s="43">
        <f t="shared" si="40"/>
        <v>0</v>
      </c>
      <c r="Y180" s="43">
        <f t="shared" si="41"/>
        <v>0</v>
      </c>
    </row>
    <row r="181" spans="1:25" ht="15" customHeight="1">
      <c r="A181" s="43">
        <v>171</v>
      </c>
      <c r="B181" s="176">
        <v>5.4</v>
      </c>
      <c r="C181" s="126">
        <f>'Studio Rain System'!J193</f>
        <v>3.2</v>
      </c>
      <c r="D181" s="104">
        <f>'Studio Rain System'!K193</f>
        <v>3.52</v>
      </c>
      <c r="E181" s="104">
        <f>'Studio Rain System'!L193</f>
        <v>20</v>
      </c>
      <c r="F181" s="104">
        <f>'Studio Rain System'!M193</f>
        <v>0.745</v>
      </c>
      <c r="G181" s="177">
        <v>125600</v>
      </c>
      <c r="H181" s="178">
        <f t="shared" si="28"/>
        <v>631588.57142857148</v>
      </c>
      <c r="I181" s="128">
        <f t="shared" si="32"/>
        <v>0.6315885714285715</v>
      </c>
      <c r="J181" s="193">
        <f>IF( 'Organized Input Output'!$AD$5= "y", $K$4*(D181*1000)/$K$3, 0)</f>
        <v>17600</v>
      </c>
      <c r="K181" s="43">
        <f t="shared" si="33"/>
        <v>17.600000000000001</v>
      </c>
      <c r="L181" s="43">
        <f t="shared" si="34"/>
        <v>35200000</v>
      </c>
      <c r="M181" s="180">
        <f t="shared" si="29"/>
        <v>35.200000000000003</v>
      </c>
      <c r="N181" s="43">
        <f t="shared" si="35"/>
        <v>1200</v>
      </c>
      <c r="O181" s="128">
        <f t="shared" si="30"/>
        <v>4.32</v>
      </c>
      <c r="P181" s="181">
        <f t="shared" si="36"/>
        <v>40.151588571428576</v>
      </c>
      <c r="Q181" s="209">
        <f>IF( 'Organized Input Output'!$AF$9 = "y", P181 / ($Q$3 * $Q$4), 0)</f>
        <v>0</v>
      </c>
      <c r="R181" s="209">
        <f t="shared" si="37"/>
        <v>0</v>
      </c>
      <c r="S181" s="43">
        <f>IF( 'Organized Input Output'!$AF$9 = "y", IF(R181= 0, 1, 0), 0)</f>
        <v>0</v>
      </c>
      <c r="T181" s="209">
        <f t="shared" si="39"/>
        <v>0</v>
      </c>
      <c r="U181" s="43">
        <f>IF( 'Organized Input Output'!$AF$9 = "y", IF(T181= 0, 1, 0), 0)</f>
        <v>0</v>
      </c>
      <c r="V181" s="43">
        <f t="shared" si="31"/>
        <v>0</v>
      </c>
      <c r="W181" s="43">
        <f t="shared" si="38"/>
        <v>0</v>
      </c>
      <c r="X181" s="43">
        <f t="shared" si="40"/>
        <v>0</v>
      </c>
      <c r="Y181" s="43">
        <f t="shared" si="41"/>
        <v>0</v>
      </c>
    </row>
    <row r="182" spans="1:25" ht="15" customHeight="1">
      <c r="A182" s="43">
        <v>172</v>
      </c>
      <c r="B182" s="176">
        <v>0</v>
      </c>
      <c r="C182" s="126">
        <f>'Studio Rain System'!J194</f>
        <v>1.2</v>
      </c>
      <c r="D182" s="104">
        <f>'Studio Rain System'!K194</f>
        <v>1.3199999999999998</v>
      </c>
      <c r="E182" s="104">
        <f>'Studio Rain System'!L194</f>
        <v>20</v>
      </c>
      <c r="F182" s="104">
        <f>'Studio Rain System'!M194</f>
        <v>0.745</v>
      </c>
      <c r="G182" s="177">
        <v>125600</v>
      </c>
      <c r="H182" s="178">
        <f t="shared" si="28"/>
        <v>236845.71428571426</v>
      </c>
      <c r="I182" s="128">
        <f t="shared" si="32"/>
        <v>0.23684571428571427</v>
      </c>
      <c r="J182" s="193">
        <f>IF( 'Organized Input Output'!$AD$5= "y", $K$4*(D182*1000)/$K$3, 0)</f>
        <v>6599.9999999999982</v>
      </c>
      <c r="K182" s="43">
        <f t="shared" si="33"/>
        <v>6.5999999999999979</v>
      </c>
      <c r="L182" s="43">
        <f t="shared" si="34"/>
        <v>13199999.999999996</v>
      </c>
      <c r="M182" s="180">
        <f t="shared" si="29"/>
        <v>13.199999999999996</v>
      </c>
      <c r="N182" s="43">
        <f t="shared" si="35"/>
        <v>1200</v>
      </c>
      <c r="O182" s="128">
        <f t="shared" si="30"/>
        <v>4.32</v>
      </c>
      <c r="P182" s="181">
        <f t="shared" si="36"/>
        <v>17.75684571428571</v>
      </c>
      <c r="Q182" s="209">
        <f>IF( 'Organized Input Output'!$AF$9 = "y", P182 / ($Q$3 * $Q$4), 0)</f>
        <v>0</v>
      </c>
      <c r="R182" s="209">
        <f t="shared" si="37"/>
        <v>0</v>
      </c>
      <c r="S182" s="43">
        <f>IF( 'Organized Input Output'!$AF$9 = "y", IF(R182= 0, 1, 0), 0)</f>
        <v>0</v>
      </c>
      <c r="T182" s="209">
        <f t="shared" si="39"/>
        <v>0</v>
      </c>
      <c r="U182" s="43">
        <f>IF( 'Organized Input Output'!$AF$9 = "y", IF(T182= 0, 1, 0), 0)</f>
        <v>0</v>
      </c>
      <c r="V182" s="43">
        <f t="shared" si="31"/>
        <v>0</v>
      </c>
      <c r="W182" s="43">
        <f t="shared" si="38"/>
        <v>0</v>
      </c>
      <c r="X182" s="43">
        <f t="shared" si="40"/>
        <v>0</v>
      </c>
      <c r="Y182" s="43">
        <f t="shared" si="41"/>
        <v>0</v>
      </c>
    </row>
    <row r="183" spans="1:25" ht="15" customHeight="1">
      <c r="A183" s="43">
        <v>173</v>
      </c>
      <c r="B183" s="176">
        <v>0</v>
      </c>
      <c r="C183" s="126">
        <f>'Studio Rain System'!J195</f>
        <v>0</v>
      </c>
      <c r="D183" s="104">
        <f>'Studio Rain System'!K195</f>
        <v>0</v>
      </c>
      <c r="E183" s="104">
        <f>'Studio Rain System'!L195</f>
        <v>19.254999999999999</v>
      </c>
      <c r="F183" s="104">
        <f>'Studio Rain System'!M195</f>
        <v>0.745</v>
      </c>
      <c r="G183" s="177">
        <v>125600</v>
      </c>
      <c r="H183" s="178">
        <f t="shared" si="28"/>
        <v>0</v>
      </c>
      <c r="I183" s="128">
        <f t="shared" si="32"/>
        <v>0</v>
      </c>
      <c r="J183" s="193">
        <f>IF( 'Organized Input Output'!$AD$5= "y", $K$4*(D183*1000)/$K$3, 0)</f>
        <v>0</v>
      </c>
      <c r="K183" s="43">
        <f t="shared" si="33"/>
        <v>0</v>
      </c>
      <c r="L183" s="43">
        <f t="shared" si="34"/>
        <v>0</v>
      </c>
      <c r="M183" s="180">
        <f t="shared" si="29"/>
        <v>0</v>
      </c>
      <c r="N183" s="43">
        <f t="shared" si="35"/>
        <v>1200</v>
      </c>
      <c r="O183" s="128">
        <f t="shared" si="30"/>
        <v>4.32</v>
      </c>
      <c r="P183" s="181">
        <f t="shared" si="36"/>
        <v>4.32</v>
      </c>
      <c r="Q183" s="209">
        <f>IF( 'Organized Input Output'!$AF$9 = "y", P183 / ($Q$3 * $Q$4), 0)</f>
        <v>0</v>
      </c>
      <c r="R183" s="209">
        <f t="shared" si="37"/>
        <v>0</v>
      </c>
      <c r="S183" s="43">
        <f>IF( 'Organized Input Output'!$AF$9 = "y", IF(R183= 0, 1, 0), 0)</f>
        <v>0</v>
      </c>
      <c r="T183" s="209">
        <f t="shared" si="39"/>
        <v>0</v>
      </c>
      <c r="U183" s="43">
        <f>IF( 'Organized Input Output'!$AF$9 = "y", IF(T183= 0, 1, 0), 0)</f>
        <v>0</v>
      </c>
      <c r="V183" s="43">
        <f t="shared" si="31"/>
        <v>0</v>
      </c>
      <c r="W183" s="43">
        <f t="shared" si="38"/>
        <v>0</v>
      </c>
      <c r="X183" s="43">
        <f t="shared" si="40"/>
        <v>0</v>
      </c>
      <c r="Y183" s="43">
        <f t="shared" si="41"/>
        <v>0</v>
      </c>
    </row>
    <row r="184" spans="1:25" ht="15" customHeight="1">
      <c r="A184" s="43">
        <v>174</v>
      </c>
      <c r="B184" s="176">
        <v>0.8</v>
      </c>
      <c r="C184" s="126">
        <f>'Studio Rain System'!J196</f>
        <v>15.4</v>
      </c>
      <c r="D184" s="104">
        <f>'Studio Rain System'!K196</f>
        <v>16.940000000000001</v>
      </c>
      <c r="E184" s="104">
        <f>'Studio Rain System'!L196</f>
        <v>20</v>
      </c>
      <c r="F184" s="104">
        <f>'Studio Rain System'!M196</f>
        <v>0.745</v>
      </c>
      <c r="G184" s="177">
        <v>125600</v>
      </c>
      <c r="H184" s="178">
        <f t="shared" si="28"/>
        <v>3039520</v>
      </c>
      <c r="I184" s="128">
        <f t="shared" si="32"/>
        <v>3.03952</v>
      </c>
      <c r="J184" s="193">
        <f>IF( 'Organized Input Output'!$AD$5= "y", $K$4*(D184*1000)/$K$3, 0)</f>
        <v>84700</v>
      </c>
      <c r="K184" s="43">
        <f t="shared" si="33"/>
        <v>84.7</v>
      </c>
      <c r="L184" s="43">
        <f t="shared" si="34"/>
        <v>169400000</v>
      </c>
      <c r="M184" s="180">
        <f t="shared" si="29"/>
        <v>169.4</v>
      </c>
      <c r="N184" s="43">
        <f t="shared" si="35"/>
        <v>1200</v>
      </c>
      <c r="O184" s="128">
        <f t="shared" si="30"/>
        <v>4.32</v>
      </c>
      <c r="P184" s="181">
        <f t="shared" si="36"/>
        <v>176.75952000000001</v>
      </c>
      <c r="Q184" s="209">
        <f>IF( 'Organized Input Output'!$AF$9 = "y", P184 / ($Q$3 * $Q$4), 0)</f>
        <v>0</v>
      </c>
      <c r="R184" s="209">
        <f t="shared" si="37"/>
        <v>0</v>
      </c>
      <c r="S184" s="43">
        <f>IF( 'Organized Input Output'!$AF$9 = "y", IF(R184= 0, 1, 0), 0)</f>
        <v>0</v>
      </c>
      <c r="T184" s="209">
        <f t="shared" si="39"/>
        <v>0</v>
      </c>
      <c r="U184" s="43">
        <f>IF( 'Organized Input Output'!$AF$9 = "y", IF(T184= 0, 1, 0), 0)</f>
        <v>0</v>
      </c>
      <c r="V184" s="43">
        <f t="shared" si="31"/>
        <v>0</v>
      </c>
      <c r="W184" s="43">
        <f t="shared" si="38"/>
        <v>0</v>
      </c>
      <c r="X184" s="43">
        <f t="shared" si="40"/>
        <v>0</v>
      </c>
      <c r="Y184" s="43">
        <f t="shared" si="41"/>
        <v>0</v>
      </c>
    </row>
    <row r="185" spans="1:25" ht="15" customHeight="1">
      <c r="A185" s="43">
        <v>175</v>
      </c>
      <c r="B185" s="176">
        <v>7</v>
      </c>
      <c r="C185" s="126">
        <f>'Studio Rain System'!J197</f>
        <v>1.2</v>
      </c>
      <c r="D185" s="104">
        <f>'Studio Rain System'!K197</f>
        <v>1.3199999999999998</v>
      </c>
      <c r="E185" s="104">
        <f>'Studio Rain System'!L197</f>
        <v>20</v>
      </c>
      <c r="F185" s="104">
        <f>'Studio Rain System'!M197</f>
        <v>0.745</v>
      </c>
      <c r="G185" s="177">
        <v>125600</v>
      </c>
      <c r="H185" s="178">
        <f t="shared" si="28"/>
        <v>236845.71428571426</v>
      </c>
      <c r="I185" s="128">
        <f t="shared" si="32"/>
        <v>0.23684571428571427</v>
      </c>
      <c r="J185" s="193">
        <f>IF( 'Organized Input Output'!$AD$5= "y", $K$4*(D185*1000)/$K$3, 0)</f>
        <v>6599.9999999999982</v>
      </c>
      <c r="K185" s="43">
        <f t="shared" si="33"/>
        <v>6.5999999999999979</v>
      </c>
      <c r="L185" s="43">
        <f t="shared" si="34"/>
        <v>13199999.999999996</v>
      </c>
      <c r="M185" s="180">
        <f t="shared" si="29"/>
        <v>13.199999999999996</v>
      </c>
      <c r="N185" s="43">
        <f t="shared" si="35"/>
        <v>1200</v>
      </c>
      <c r="O185" s="128">
        <f t="shared" si="30"/>
        <v>4.32</v>
      </c>
      <c r="P185" s="181">
        <f t="shared" si="36"/>
        <v>17.75684571428571</v>
      </c>
      <c r="Q185" s="209">
        <f>IF( 'Organized Input Output'!$AF$9 = "y", P185 / ($Q$3 * $Q$4), 0)</f>
        <v>0</v>
      </c>
      <c r="R185" s="209">
        <f t="shared" si="37"/>
        <v>0</v>
      </c>
      <c r="S185" s="43">
        <f>IF( 'Organized Input Output'!$AF$9 = "y", IF(R185= 0, 1, 0), 0)</f>
        <v>0</v>
      </c>
      <c r="T185" s="209">
        <f t="shared" si="39"/>
        <v>0</v>
      </c>
      <c r="U185" s="43">
        <f>IF( 'Organized Input Output'!$AF$9 = "y", IF(T185= 0, 1, 0), 0)</f>
        <v>0</v>
      </c>
      <c r="V185" s="43">
        <f t="shared" si="31"/>
        <v>0</v>
      </c>
      <c r="W185" s="43">
        <f t="shared" si="38"/>
        <v>0</v>
      </c>
      <c r="X185" s="43">
        <f t="shared" si="40"/>
        <v>0</v>
      </c>
      <c r="Y185" s="43">
        <f t="shared" si="41"/>
        <v>0</v>
      </c>
    </row>
    <row r="186" spans="1:25" ht="15" customHeight="1">
      <c r="A186" s="43">
        <v>176</v>
      </c>
      <c r="B186" s="176">
        <v>0</v>
      </c>
      <c r="C186" s="126">
        <f>'Studio Rain System'!J198</f>
        <v>0</v>
      </c>
      <c r="D186" s="104">
        <f>'Studio Rain System'!K198</f>
        <v>0</v>
      </c>
      <c r="E186" s="104">
        <f>'Studio Rain System'!L198</f>
        <v>19.254999999999999</v>
      </c>
      <c r="F186" s="104">
        <f>'Studio Rain System'!M198</f>
        <v>0.745</v>
      </c>
      <c r="G186" s="177">
        <v>125600</v>
      </c>
      <c r="H186" s="178">
        <f t="shared" si="28"/>
        <v>0</v>
      </c>
      <c r="I186" s="128">
        <f t="shared" si="32"/>
        <v>0</v>
      </c>
      <c r="J186" s="193">
        <f>IF( 'Organized Input Output'!$AD$5= "y", $K$4*(D186*1000)/$K$3, 0)</f>
        <v>0</v>
      </c>
      <c r="K186" s="43">
        <f t="shared" si="33"/>
        <v>0</v>
      </c>
      <c r="L186" s="43">
        <f t="shared" si="34"/>
        <v>0</v>
      </c>
      <c r="M186" s="180">
        <f t="shared" si="29"/>
        <v>0</v>
      </c>
      <c r="N186" s="43">
        <f t="shared" si="35"/>
        <v>1200</v>
      </c>
      <c r="O186" s="128">
        <f t="shared" si="30"/>
        <v>4.32</v>
      </c>
      <c r="P186" s="181">
        <f t="shared" si="36"/>
        <v>4.32</v>
      </c>
      <c r="Q186" s="209">
        <f>IF( 'Organized Input Output'!$AF$9 = "y", P186 / ($Q$3 * $Q$4), 0)</f>
        <v>0</v>
      </c>
      <c r="R186" s="209">
        <f t="shared" si="37"/>
        <v>0</v>
      </c>
      <c r="S186" s="43">
        <f>IF( 'Organized Input Output'!$AF$9 = "y", IF(R186= 0, 1, 0), 0)</f>
        <v>0</v>
      </c>
      <c r="T186" s="209">
        <f t="shared" si="39"/>
        <v>0</v>
      </c>
      <c r="U186" s="43">
        <f>IF( 'Organized Input Output'!$AF$9 = "y", IF(T186= 0, 1, 0), 0)</f>
        <v>0</v>
      </c>
      <c r="V186" s="43">
        <f t="shared" si="31"/>
        <v>0</v>
      </c>
      <c r="W186" s="43">
        <f t="shared" si="38"/>
        <v>0</v>
      </c>
      <c r="X186" s="43">
        <f t="shared" si="40"/>
        <v>0</v>
      </c>
      <c r="Y186" s="43">
        <f t="shared" si="41"/>
        <v>0</v>
      </c>
    </row>
    <row r="187" spans="1:25" ht="15" customHeight="1">
      <c r="A187" s="43">
        <v>177</v>
      </c>
      <c r="B187" s="176">
        <v>1.4</v>
      </c>
      <c r="C187" s="126">
        <f>'Studio Rain System'!J199</f>
        <v>5.8</v>
      </c>
      <c r="D187" s="104">
        <f>'Studio Rain System'!K199</f>
        <v>6.38</v>
      </c>
      <c r="E187" s="104">
        <f>'Studio Rain System'!L199</f>
        <v>20</v>
      </c>
      <c r="F187" s="104">
        <f>'Studio Rain System'!M199</f>
        <v>0.745</v>
      </c>
      <c r="G187" s="177">
        <v>125600</v>
      </c>
      <c r="H187" s="178">
        <f t="shared" si="28"/>
        <v>1144754.2857142857</v>
      </c>
      <c r="I187" s="128">
        <f t="shared" si="32"/>
        <v>1.1447542857142856</v>
      </c>
      <c r="J187" s="193">
        <f>IF( 'Organized Input Output'!$AD$5= "y", $K$4*(D187*1000)/$K$3, 0)</f>
        <v>31900</v>
      </c>
      <c r="K187" s="43">
        <f t="shared" si="33"/>
        <v>31.9</v>
      </c>
      <c r="L187" s="43">
        <f t="shared" si="34"/>
        <v>63800000</v>
      </c>
      <c r="M187" s="180">
        <f t="shared" si="29"/>
        <v>63.8</v>
      </c>
      <c r="N187" s="43">
        <f t="shared" si="35"/>
        <v>1200</v>
      </c>
      <c r="O187" s="128">
        <f t="shared" si="30"/>
        <v>4.32</v>
      </c>
      <c r="P187" s="181">
        <f t="shared" si="36"/>
        <v>69.264754285714275</v>
      </c>
      <c r="Q187" s="209">
        <f>IF( 'Organized Input Output'!$AF$9 = "y", P187 / ($Q$3 * $Q$4), 0)</f>
        <v>0</v>
      </c>
      <c r="R187" s="209">
        <f t="shared" si="37"/>
        <v>0</v>
      </c>
      <c r="S187" s="43">
        <f>IF( 'Organized Input Output'!$AF$9 = "y", IF(R187= 0, 1, 0), 0)</f>
        <v>0</v>
      </c>
      <c r="T187" s="209">
        <f t="shared" si="39"/>
        <v>0</v>
      </c>
      <c r="U187" s="43">
        <f>IF( 'Organized Input Output'!$AF$9 = "y", IF(T187= 0, 1, 0), 0)</f>
        <v>0</v>
      </c>
      <c r="V187" s="43">
        <f t="shared" si="31"/>
        <v>0</v>
      </c>
      <c r="W187" s="43">
        <f t="shared" si="38"/>
        <v>0</v>
      </c>
      <c r="X187" s="43">
        <f t="shared" si="40"/>
        <v>0</v>
      </c>
      <c r="Y187" s="43">
        <f t="shared" si="41"/>
        <v>0</v>
      </c>
    </row>
    <row r="188" spans="1:25" ht="15" customHeight="1">
      <c r="A188" s="43">
        <v>178</v>
      </c>
      <c r="B188" s="176">
        <v>2</v>
      </c>
      <c r="C188" s="126">
        <f>'Studio Rain System'!J200</f>
        <v>20.399999999999999</v>
      </c>
      <c r="D188" s="104">
        <f>'Studio Rain System'!K200</f>
        <v>22.439999999999998</v>
      </c>
      <c r="E188" s="104">
        <f>'Studio Rain System'!L200</f>
        <v>20</v>
      </c>
      <c r="F188" s="104">
        <f>'Studio Rain System'!M200</f>
        <v>0.745</v>
      </c>
      <c r="G188" s="177">
        <v>125600</v>
      </c>
      <c r="H188" s="178">
        <f t="shared" si="28"/>
        <v>4026377.1428571423</v>
      </c>
      <c r="I188" s="128">
        <f t="shared" si="32"/>
        <v>4.0263771428571422</v>
      </c>
      <c r="J188" s="193">
        <f>IF( 'Organized Input Output'!$AD$5= "y", $K$4*(D188*1000)/$K$3, 0)</f>
        <v>112199.99999999997</v>
      </c>
      <c r="K188" s="43">
        <f t="shared" si="33"/>
        <v>112.19999999999997</v>
      </c>
      <c r="L188" s="43">
        <f t="shared" si="34"/>
        <v>224399999.99999994</v>
      </c>
      <c r="M188" s="180">
        <f t="shared" si="29"/>
        <v>224.39999999999995</v>
      </c>
      <c r="N188" s="43">
        <f t="shared" si="35"/>
        <v>1200</v>
      </c>
      <c r="O188" s="128">
        <f t="shared" si="30"/>
        <v>4.32</v>
      </c>
      <c r="P188" s="181">
        <f t="shared" si="36"/>
        <v>232.74637714285709</v>
      </c>
      <c r="Q188" s="209">
        <f>IF( 'Organized Input Output'!$AF$9 = "y", P188 / ($Q$3 * $Q$4), 0)</f>
        <v>0</v>
      </c>
      <c r="R188" s="209">
        <f t="shared" si="37"/>
        <v>0</v>
      </c>
      <c r="S188" s="43">
        <f>IF( 'Organized Input Output'!$AF$9 = "y", IF(R188= 0, 1, 0), 0)</f>
        <v>0</v>
      </c>
      <c r="T188" s="209">
        <f t="shared" si="39"/>
        <v>0</v>
      </c>
      <c r="U188" s="43">
        <f>IF( 'Organized Input Output'!$AF$9 = "y", IF(T188= 0, 1, 0), 0)</f>
        <v>0</v>
      </c>
      <c r="V188" s="43">
        <f t="shared" si="31"/>
        <v>0</v>
      </c>
      <c r="W188" s="43">
        <f t="shared" si="38"/>
        <v>0</v>
      </c>
      <c r="X188" s="43">
        <f t="shared" si="40"/>
        <v>0</v>
      </c>
      <c r="Y188" s="43">
        <f t="shared" si="41"/>
        <v>0</v>
      </c>
    </row>
    <row r="189" spans="1:25" ht="15" customHeight="1">
      <c r="A189" s="43">
        <v>179</v>
      </c>
      <c r="B189" s="176">
        <v>3.4</v>
      </c>
      <c r="C189" s="126">
        <f>'Studio Rain System'!J201</f>
        <v>20.399999999999999</v>
      </c>
      <c r="D189" s="104">
        <f>'Studio Rain System'!K201</f>
        <v>22.439999999999998</v>
      </c>
      <c r="E189" s="104">
        <f>'Studio Rain System'!L201</f>
        <v>20</v>
      </c>
      <c r="F189" s="104">
        <f>'Studio Rain System'!M201</f>
        <v>0.745</v>
      </c>
      <c r="G189" s="177">
        <v>125600</v>
      </c>
      <c r="H189" s="178">
        <f t="shared" si="28"/>
        <v>4026377.1428571423</v>
      </c>
      <c r="I189" s="128">
        <f t="shared" si="32"/>
        <v>4.0263771428571422</v>
      </c>
      <c r="J189" s="193">
        <f>IF( 'Organized Input Output'!$AD$5= "y", $K$4*(D189*1000)/$K$3, 0)</f>
        <v>112199.99999999997</v>
      </c>
      <c r="K189" s="43">
        <f t="shared" si="33"/>
        <v>112.19999999999997</v>
      </c>
      <c r="L189" s="43">
        <f t="shared" si="34"/>
        <v>224399999.99999994</v>
      </c>
      <c r="M189" s="180">
        <f t="shared" si="29"/>
        <v>224.39999999999995</v>
      </c>
      <c r="N189" s="43">
        <f t="shared" si="35"/>
        <v>1200</v>
      </c>
      <c r="O189" s="128">
        <f t="shared" si="30"/>
        <v>4.32</v>
      </c>
      <c r="P189" s="181">
        <f t="shared" si="36"/>
        <v>232.74637714285709</v>
      </c>
      <c r="Q189" s="209">
        <f>IF( 'Organized Input Output'!$AF$9 = "y", P189 / ($Q$3 * $Q$4), 0)</f>
        <v>0</v>
      </c>
      <c r="R189" s="209">
        <f t="shared" si="37"/>
        <v>0</v>
      </c>
      <c r="S189" s="43">
        <f>IF( 'Organized Input Output'!$AF$9 = "y", IF(R189= 0, 1, 0), 0)</f>
        <v>0</v>
      </c>
      <c r="T189" s="209">
        <f t="shared" si="39"/>
        <v>0</v>
      </c>
      <c r="U189" s="43">
        <f>IF( 'Organized Input Output'!$AF$9 = "y", IF(T189= 0, 1, 0), 0)</f>
        <v>0</v>
      </c>
      <c r="V189" s="43">
        <f t="shared" si="31"/>
        <v>0</v>
      </c>
      <c r="W189" s="43">
        <f t="shared" si="38"/>
        <v>0</v>
      </c>
      <c r="X189" s="43">
        <f t="shared" si="40"/>
        <v>0</v>
      </c>
      <c r="Y189" s="43">
        <f t="shared" si="41"/>
        <v>0</v>
      </c>
    </row>
    <row r="190" spans="1:25" ht="15" customHeight="1">
      <c r="A190" s="43">
        <v>180</v>
      </c>
      <c r="B190" s="176">
        <v>0</v>
      </c>
      <c r="C190" s="126">
        <f>'Studio Rain System'!J202</f>
        <v>0.6</v>
      </c>
      <c r="D190" s="104">
        <f>'Studio Rain System'!K202</f>
        <v>0.65999999999999992</v>
      </c>
      <c r="E190" s="104">
        <f>'Studio Rain System'!L202</f>
        <v>19.914999999999999</v>
      </c>
      <c r="F190" s="104">
        <f>'Studio Rain System'!M202</f>
        <v>0.745</v>
      </c>
      <c r="G190" s="177">
        <v>125600</v>
      </c>
      <c r="H190" s="178">
        <f t="shared" si="28"/>
        <v>118422.85714285713</v>
      </c>
      <c r="I190" s="128">
        <f t="shared" si="32"/>
        <v>0.11842285714285714</v>
      </c>
      <c r="J190" s="193">
        <f>IF( 'Organized Input Output'!$AD$5= "y", $K$4*(D190*1000)/$K$3, 0)</f>
        <v>3299.9999999999991</v>
      </c>
      <c r="K190" s="43">
        <f t="shared" si="33"/>
        <v>3.2999999999999989</v>
      </c>
      <c r="L190" s="43">
        <f t="shared" si="34"/>
        <v>6599999.9999999981</v>
      </c>
      <c r="M190" s="180">
        <f t="shared" si="29"/>
        <v>6.5999999999999979</v>
      </c>
      <c r="N190" s="43">
        <f t="shared" si="35"/>
        <v>1200</v>
      </c>
      <c r="O190" s="128">
        <f t="shared" si="30"/>
        <v>4.32</v>
      </c>
      <c r="P190" s="181">
        <f t="shared" si="36"/>
        <v>11.038422857142855</v>
      </c>
      <c r="Q190" s="209">
        <f>IF( 'Organized Input Output'!$AF$9 = "y", P190 / ($Q$3 * $Q$4), 0)</f>
        <v>0</v>
      </c>
      <c r="R190" s="209">
        <f t="shared" si="37"/>
        <v>0</v>
      </c>
      <c r="S190" s="43">
        <f>IF( 'Organized Input Output'!$AF$9 = "y", IF(R190= 0, 1, 0), 0)</f>
        <v>0</v>
      </c>
      <c r="T190" s="209">
        <f t="shared" si="39"/>
        <v>0</v>
      </c>
      <c r="U190" s="43">
        <f>IF( 'Organized Input Output'!$AF$9 = "y", IF(T190= 0, 1, 0), 0)</f>
        <v>0</v>
      </c>
      <c r="V190" s="43">
        <f t="shared" si="31"/>
        <v>0</v>
      </c>
      <c r="W190" s="43">
        <f t="shared" si="38"/>
        <v>0</v>
      </c>
      <c r="X190" s="43">
        <f t="shared" si="40"/>
        <v>0</v>
      </c>
      <c r="Y190" s="43">
        <f t="shared" si="41"/>
        <v>0</v>
      </c>
    </row>
    <row r="191" spans="1:25" ht="15" customHeight="1">
      <c r="A191" s="43">
        <v>181</v>
      </c>
      <c r="B191" s="176">
        <v>0</v>
      </c>
      <c r="C191" s="126">
        <f>'Studio Rain System'!J203</f>
        <v>0</v>
      </c>
      <c r="D191" s="104">
        <f>'Studio Rain System'!K203</f>
        <v>0</v>
      </c>
      <c r="E191" s="104">
        <f>'Studio Rain System'!L203</f>
        <v>19.169999999999998</v>
      </c>
      <c r="F191" s="104">
        <f>'Studio Rain System'!M203</f>
        <v>0.745</v>
      </c>
      <c r="G191" s="177">
        <v>125600</v>
      </c>
      <c r="H191" s="178">
        <f t="shared" si="28"/>
        <v>0</v>
      </c>
      <c r="I191" s="128">
        <f t="shared" si="32"/>
        <v>0</v>
      </c>
      <c r="J191" s="193">
        <f>IF( 'Organized Input Output'!$AD$5= "y", $K$4*(D191*1000)/$K$3, 0)</f>
        <v>0</v>
      </c>
      <c r="K191" s="43">
        <f t="shared" si="33"/>
        <v>0</v>
      </c>
      <c r="L191" s="43">
        <f t="shared" si="34"/>
        <v>0</v>
      </c>
      <c r="M191" s="180">
        <f t="shared" si="29"/>
        <v>0</v>
      </c>
      <c r="N191" s="43">
        <f t="shared" si="35"/>
        <v>1200</v>
      </c>
      <c r="O191" s="128">
        <f t="shared" si="30"/>
        <v>4.32</v>
      </c>
      <c r="P191" s="181">
        <f t="shared" si="36"/>
        <v>4.32</v>
      </c>
      <c r="Q191" s="209">
        <f>IF( 'Organized Input Output'!$AF$9 = "y", P191 / ($Q$3 * $Q$4), 0)</f>
        <v>0</v>
      </c>
      <c r="R191" s="209">
        <f t="shared" si="37"/>
        <v>0</v>
      </c>
      <c r="S191" s="43">
        <f>IF( 'Organized Input Output'!$AF$9 = "y", IF(R191= 0, 1, 0), 0)</f>
        <v>0</v>
      </c>
      <c r="T191" s="209">
        <f t="shared" si="39"/>
        <v>0</v>
      </c>
      <c r="U191" s="43">
        <f>IF( 'Organized Input Output'!$AF$9 = "y", IF(T191= 0, 1, 0), 0)</f>
        <v>0</v>
      </c>
      <c r="V191" s="43">
        <f t="shared" si="31"/>
        <v>0</v>
      </c>
      <c r="W191" s="43">
        <f t="shared" si="38"/>
        <v>0</v>
      </c>
      <c r="X191" s="43">
        <f t="shared" si="40"/>
        <v>0</v>
      </c>
      <c r="Y191" s="43">
        <f t="shared" si="41"/>
        <v>0</v>
      </c>
    </row>
    <row r="192" spans="1:25" ht="15" customHeight="1">
      <c r="A192" s="43">
        <v>182</v>
      </c>
      <c r="B192" s="176">
        <v>1.6</v>
      </c>
      <c r="C192" s="126">
        <f>'Studio Rain System'!J204</f>
        <v>0</v>
      </c>
      <c r="D192" s="104">
        <f>'Studio Rain System'!K204</f>
        <v>0</v>
      </c>
      <c r="E192" s="104">
        <f>'Studio Rain System'!L204</f>
        <v>18.424999999999997</v>
      </c>
      <c r="F192" s="104">
        <f>'Studio Rain System'!M204</f>
        <v>0.745</v>
      </c>
      <c r="G192" s="177">
        <v>125600</v>
      </c>
      <c r="H192" s="178">
        <f t="shared" si="28"/>
        <v>0</v>
      </c>
      <c r="I192" s="128">
        <f t="shared" si="32"/>
        <v>0</v>
      </c>
      <c r="J192" s="193">
        <f>IF( 'Organized Input Output'!$AD$5= "y", $K$4*(D192*1000)/$K$3, 0)</f>
        <v>0</v>
      </c>
      <c r="K192" s="43">
        <f t="shared" si="33"/>
        <v>0</v>
      </c>
      <c r="L192" s="43">
        <f t="shared" si="34"/>
        <v>0</v>
      </c>
      <c r="M192" s="180">
        <f t="shared" si="29"/>
        <v>0</v>
      </c>
      <c r="N192" s="43">
        <f t="shared" si="35"/>
        <v>1200</v>
      </c>
      <c r="O192" s="128">
        <f t="shared" si="30"/>
        <v>4.32</v>
      </c>
      <c r="P192" s="181">
        <f t="shared" si="36"/>
        <v>4.32</v>
      </c>
      <c r="Q192" s="209">
        <f>IF( 'Organized Input Output'!$AF$9 = "y", P192 / ($Q$3 * $Q$4), 0)</f>
        <v>0</v>
      </c>
      <c r="R192" s="209">
        <f t="shared" si="37"/>
        <v>0</v>
      </c>
      <c r="S192" s="43">
        <f>IF( 'Organized Input Output'!$AF$9 = "y", IF(R192= 0, 1, 0), 0)</f>
        <v>0</v>
      </c>
      <c r="T192" s="209">
        <f t="shared" si="39"/>
        <v>0</v>
      </c>
      <c r="U192" s="43">
        <f>IF( 'Organized Input Output'!$AF$9 = "y", IF(T192= 0, 1, 0), 0)</f>
        <v>0</v>
      </c>
      <c r="V192" s="43">
        <f t="shared" si="31"/>
        <v>0</v>
      </c>
      <c r="W192" s="43">
        <f t="shared" si="38"/>
        <v>0</v>
      </c>
      <c r="X192" s="43">
        <f t="shared" si="40"/>
        <v>0</v>
      </c>
      <c r="Y192" s="43">
        <f t="shared" si="41"/>
        <v>0</v>
      </c>
    </row>
    <row r="193" spans="1:25" ht="15" customHeight="1">
      <c r="A193" s="43">
        <v>183</v>
      </c>
      <c r="B193" s="176">
        <v>0.2</v>
      </c>
      <c r="C193" s="126">
        <f>'Studio Rain System'!J205</f>
        <v>1.8</v>
      </c>
      <c r="D193" s="104">
        <f>'Studio Rain System'!K205</f>
        <v>1.98</v>
      </c>
      <c r="E193" s="104">
        <f>'Studio Rain System'!L205</f>
        <v>19.659999999999997</v>
      </c>
      <c r="F193" s="104">
        <f>'Studio Rain System'!M205</f>
        <v>0.745</v>
      </c>
      <c r="G193" s="177">
        <v>125600</v>
      </c>
      <c r="H193" s="178">
        <f t="shared" si="28"/>
        <v>355268.57142857148</v>
      </c>
      <c r="I193" s="128">
        <f t="shared" si="32"/>
        <v>0.35526857142857149</v>
      </c>
      <c r="J193" s="193">
        <f>IF( 'Organized Input Output'!$AD$5= "y", $K$4*(D193*1000)/$K$3, 0)</f>
        <v>9900</v>
      </c>
      <c r="K193" s="43">
        <f t="shared" si="33"/>
        <v>9.9</v>
      </c>
      <c r="L193" s="43">
        <f t="shared" si="34"/>
        <v>19800000</v>
      </c>
      <c r="M193" s="180">
        <f t="shared" si="29"/>
        <v>19.8</v>
      </c>
      <c r="N193" s="43">
        <f t="shared" si="35"/>
        <v>1200</v>
      </c>
      <c r="O193" s="128">
        <f t="shared" si="30"/>
        <v>4.32</v>
      </c>
      <c r="P193" s="181">
        <f t="shared" si="36"/>
        <v>24.475268571428572</v>
      </c>
      <c r="Q193" s="209">
        <f>IF( 'Organized Input Output'!$AF$9 = "y", P193 / ($Q$3 * $Q$4), 0)</f>
        <v>0</v>
      </c>
      <c r="R193" s="209">
        <f t="shared" si="37"/>
        <v>0</v>
      </c>
      <c r="S193" s="43">
        <f>IF( 'Organized Input Output'!$AF$9 = "y", IF(R193= 0, 1, 0), 0)</f>
        <v>0</v>
      </c>
      <c r="T193" s="209">
        <f t="shared" si="39"/>
        <v>0</v>
      </c>
      <c r="U193" s="43">
        <f>IF( 'Organized Input Output'!$AF$9 = "y", IF(T193= 0, 1, 0), 0)</f>
        <v>0</v>
      </c>
      <c r="V193" s="43">
        <f t="shared" si="31"/>
        <v>0</v>
      </c>
      <c r="W193" s="43">
        <f t="shared" si="38"/>
        <v>0</v>
      </c>
      <c r="X193" s="43">
        <f t="shared" si="40"/>
        <v>0</v>
      </c>
      <c r="Y193" s="43">
        <f t="shared" si="41"/>
        <v>0</v>
      </c>
    </row>
    <row r="194" spans="1:25" ht="15" customHeight="1">
      <c r="A194" s="43">
        <v>184</v>
      </c>
      <c r="B194" s="176">
        <v>0</v>
      </c>
      <c r="C194" s="126">
        <f>'Studio Rain System'!J206</f>
        <v>6.2</v>
      </c>
      <c r="D194" s="104">
        <f>'Studio Rain System'!K206</f>
        <v>6.8199999999999994</v>
      </c>
      <c r="E194" s="104">
        <f>'Studio Rain System'!L206</f>
        <v>20</v>
      </c>
      <c r="F194" s="104">
        <f>'Studio Rain System'!M206</f>
        <v>0.745</v>
      </c>
      <c r="G194" s="177">
        <v>125600</v>
      </c>
      <c r="H194" s="178">
        <f t="shared" si="28"/>
        <v>1223702.857142857</v>
      </c>
      <c r="I194" s="128">
        <f t="shared" si="32"/>
        <v>1.223702857142857</v>
      </c>
      <c r="J194" s="193">
        <f>IF( 'Organized Input Output'!$AD$5= "y", $K$4*(D194*1000)/$K$3, 0)</f>
        <v>34099.999999999993</v>
      </c>
      <c r="K194" s="43">
        <f t="shared" si="33"/>
        <v>34.099999999999994</v>
      </c>
      <c r="L194" s="43">
        <f t="shared" si="34"/>
        <v>68199999.999999985</v>
      </c>
      <c r="M194" s="180">
        <f t="shared" si="29"/>
        <v>68.199999999999989</v>
      </c>
      <c r="N194" s="43">
        <f t="shared" si="35"/>
        <v>1200</v>
      </c>
      <c r="O194" s="128">
        <f t="shared" si="30"/>
        <v>4.32</v>
      </c>
      <c r="P194" s="181">
        <f t="shared" si="36"/>
        <v>73.743702857142836</v>
      </c>
      <c r="Q194" s="209">
        <f>IF( 'Organized Input Output'!$AF$9 = "y", P194 / ($Q$3 * $Q$4), 0)</f>
        <v>0</v>
      </c>
      <c r="R194" s="209">
        <f t="shared" si="37"/>
        <v>0</v>
      </c>
      <c r="S194" s="43">
        <f>IF( 'Organized Input Output'!$AF$9 = "y", IF(R194= 0, 1, 0), 0)</f>
        <v>0</v>
      </c>
      <c r="T194" s="209">
        <f t="shared" si="39"/>
        <v>0</v>
      </c>
      <c r="U194" s="43">
        <f>IF( 'Organized Input Output'!$AF$9 = "y", IF(T194= 0, 1, 0), 0)</f>
        <v>0</v>
      </c>
      <c r="V194" s="43">
        <f t="shared" si="31"/>
        <v>0</v>
      </c>
      <c r="W194" s="43">
        <f t="shared" si="38"/>
        <v>0</v>
      </c>
      <c r="X194" s="43">
        <f t="shared" si="40"/>
        <v>0</v>
      </c>
      <c r="Y194" s="43">
        <f t="shared" si="41"/>
        <v>0</v>
      </c>
    </row>
    <row r="195" spans="1:25" ht="15" customHeight="1">
      <c r="A195" s="43">
        <v>185</v>
      </c>
      <c r="B195" s="176">
        <v>0</v>
      </c>
      <c r="C195" s="126">
        <f>'Studio Rain System'!J207</f>
        <v>9.4</v>
      </c>
      <c r="D195" s="104">
        <f>'Studio Rain System'!K207</f>
        <v>10.34</v>
      </c>
      <c r="E195" s="104">
        <f>'Studio Rain System'!L207</f>
        <v>20</v>
      </c>
      <c r="F195" s="104">
        <f>'Studio Rain System'!M207</f>
        <v>0.745</v>
      </c>
      <c r="G195" s="177">
        <v>125600</v>
      </c>
      <c r="H195" s="178">
        <f t="shared" si="28"/>
        <v>1855291.4285714286</v>
      </c>
      <c r="I195" s="128">
        <f t="shared" si="32"/>
        <v>1.8552914285714286</v>
      </c>
      <c r="J195" s="193">
        <f>IF( 'Organized Input Output'!$AD$5= "y", $K$4*(D195*1000)/$K$3, 0)</f>
        <v>51700</v>
      </c>
      <c r="K195" s="43">
        <f t="shared" si="33"/>
        <v>51.7</v>
      </c>
      <c r="L195" s="43">
        <f t="shared" si="34"/>
        <v>103400000</v>
      </c>
      <c r="M195" s="180">
        <f t="shared" si="29"/>
        <v>103.4</v>
      </c>
      <c r="N195" s="43">
        <f t="shared" si="35"/>
        <v>1200</v>
      </c>
      <c r="O195" s="128">
        <f t="shared" si="30"/>
        <v>4.32</v>
      </c>
      <c r="P195" s="181">
        <f t="shared" si="36"/>
        <v>109.57529142857143</v>
      </c>
      <c r="Q195" s="209">
        <f>IF( 'Organized Input Output'!$AF$9 = "y", P195 / ($Q$3 * $Q$4), 0)</f>
        <v>0</v>
      </c>
      <c r="R195" s="209">
        <f t="shared" si="37"/>
        <v>0</v>
      </c>
      <c r="S195" s="43">
        <f>IF( 'Organized Input Output'!$AF$9 = "y", IF(R195= 0, 1, 0), 0)</f>
        <v>0</v>
      </c>
      <c r="T195" s="209">
        <f t="shared" si="39"/>
        <v>0</v>
      </c>
      <c r="U195" s="43">
        <f>IF( 'Organized Input Output'!$AF$9 = "y", IF(T195= 0, 1, 0), 0)</f>
        <v>0</v>
      </c>
      <c r="V195" s="43">
        <f t="shared" si="31"/>
        <v>0</v>
      </c>
      <c r="W195" s="43">
        <f t="shared" si="38"/>
        <v>0</v>
      </c>
      <c r="X195" s="43">
        <f t="shared" si="40"/>
        <v>0</v>
      </c>
      <c r="Y195" s="43">
        <f t="shared" si="41"/>
        <v>0</v>
      </c>
    </row>
    <row r="196" spans="1:25" ht="15" customHeight="1">
      <c r="A196" s="43">
        <v>186</v>
      </c>
      <c r="B196" s="176">
        <v>0</v>
      </c>
      <c r="C196" s="126">
        <f>'Studio Rain System'!J208</f>
        <v>26.6</v>
      </c>
      <c r="D196" s="104">
        <f>'Studio Rain System'!K208</f>
        <v>29.26</v>
      </c>
      <c r="E196" s="104">
        <f>'Studio Rain System'!L208</f>
        <v>20</v>
      </c>
      <c r="F196" s="104">
        <f>'Studio Rain System'!M208</f>
        <v>0.745</v>
      </c>
      <c r="G196" s="177">
        <v>125600</v>
      </c>
      <c r="H196" s="178">
        <f t="shared" si="28"/>
        <v>5250080</v>
      </c>
      <c r="I196" s="128">
        <f t="shared" si="32"/>
        <v>5.2500799999999996</v>
      </c>
      <c r="J196" s="193">
        <f>IF( 'Organized Input Output'!$AD$5= "y", $K$4*(D196*1000)/$K$3, 0)</f>
        <v>146300</v>
      </c>
      <c r="K196" s="43">
        <f t="shared" si="33"/>
        <v>146.30000000000001</v>
      </c>
      <c r="L196" s="43">
        <f t="shared" si="34"/>
        <v>292600000</v>
      </c>
      <c r="M196" s="180">
        <f t="shared" si="29"/>
        <v>292.60000000000002</v>
      </c>
      <c r="N196" s="43">
        <f t="shared" si="35"/>
        <v>1200</v>
      </c>
      <c r="O196" s="128">
        <f t="shared" si="30"/>
        <v>4.32</v>
      </c>
      <c r="P196" s="181">
        <f t="shared" si="36"/>
        <v>302.17008000000004</v>
      </c>
      <c r="Q196" s="209">
        <f>IF( 'Organized Input Output'!$AF$9 = "y", P196 / ($Q$3 * $Q$4), 0)</f>
        <v>0</v>
      </c>
      <c r="R196" s="209">
        <f t="shared" si="37"/>
        <v>0</v>
      </c>
      <c r="S196" s="43">
        <f>IF( 'Organized Input Output'!$AF$9 = "y", IF(R196= 0, 1, 0), 0)</f>
        <v>0</v>
      </c>
      <c r="T196" s="209">
        <f t="shared" si="39"/>
        <v>0</v>
      </c>
      <c r="U196" s="43">
        <f>IF( 'Organized Input Output'!$AF$9 = "y", IF(T196= 0, 1, 0), 0)</f>
        <v>0</v>
      </c>
      <c r="V196" s="43">
        <f t="shared" si="31"/>
        <v>0</v>
      </c>
      <c r="W196" s="43">
        <f t="shared" si="38"/>
        <v>0</v>
      </c>
      <c r="X196" s="43">
        <f t="shared" si="40"/>
        <v>0</v>
      </c>
      <c r="Y196" s="43">
        <f t="shared" si="41"/>
        <v>0</v>
      </c>
    </row>
    <row r="197" spans="1:25" ht="15" customHeight="1">
      <c r="A197" s="43">
        <v>187</v>
      </c>
      <c r="B197" s="176">
        <v>0</v>
      </c>
      <c r="C197" s="126">
        <f>'Studio Rain System'!J209</f>
        <v>13.6</v>
      </c>
      <c r="D197" s="104">
        <f>'Studio Rain System'!K209</f>
        <v>14.959999999999999</v>
      </c>
      <c r="E197" s="104">
        <f>'Studio Rain System'!L209</f>
        <v>20</v>
      </c>
      <c r="F197" s="104">
        <f>'Studio Rain System'!M209</f>
        <v>0.745</v>
      </c>
      <c r="G197" s="177">
        <v>125600</v>
      </c>
      <c r="H197" s="178">
        <f t="shared" si="28"/>
        <v>2684251.4285714286</v>
      </c>
      <c r="I197" s="128">
        <f t="shared" si="32"/>
        <v>2.6842514285714287</v>
      </c>
      <c r="J197" s="193">
        <f>IF( 'Organized Input Output'!$AD$5= "y", $K$4*(D197*1000)/$K$3, 0)</f>
        <v>74799.999999999985</v>
      </c>
      <c r="K197" s="43">
        <f t="shared" si="33"/>
        <v>74.799999999999983</v>
      </c>
      <c r="L197" s="43">
        <f t="shared" si="34"/>
        <v>149599999.99999997</v>
      </c>
      <c r="M197" s="180">
        <f t="shared" si="29"/>
        <v>149.59999999999997</v>
      </c>
      <c r="N197" s="43">
        <f t="shared" si="35"/>
        <v>1200</v>
      </c>
      <c r="O197" s="128">
        <f t="shared" si="30"/>
        <v>4.32</v>
      </c>
      <c r="P197" s="181">
        <f t="shared" si="36"/>
        <v>156.60425142857139</v>
      </c>
      <c r="Q197" s="209">
        <f>IF( 'Organized Input Output'!$AF$9 = "y", P197 / ($Q$3 * $Q$4), 0)</f>
        <v>0</v>
      </c>
      <c r="R197" s="209">
        <f t="shared" si="37"/>
        <v>0</v>
      </c>
      <c r="S197" s="43">
        <f>IF( 'Organized Input Output'!$AF$9 = "y", IF(R197= 0, 1, 0), 0)</f>
        <v>0</v>
      </c>
      <c r="T197" s="209">
        <f t="shared" si="39"/>
        <v>0</v>
      </c>
      <c r="U197" s="43">
        <f>IF( 'Organized Input Output'!$AF$9 = "y", IF(T197= 0, 1, 0), 0)</f>
        <v>0</v>
      </c>
      <c r="V197" s="43">
        <f t="shared" si="31"/>
        <v>0</v>
      </c>
      <c r="W197" s="43">
        <f t="shared" si="38"/>
        <v>0</v>
      </c>
      <c r="X197" s="43">
        <f t="shared" si="40"/>
        <v>0</v>
      </c>
      <c r="Y197" s="43">
        <f t="shared" si="41"/>
        <v>0</v>
      </c>
    </row>
    <row r="198" spans="1:25" ht="15" customHeight="1">
      <c r="A198" s="43">
        <v>188</v>
      </c>
      <c r="B198" s="176">
        <v>0</v>
      </c>
      <c r="C198" s="126">
        <f>'Studio Rain System'!J210</f>
        <v>0</v>
      </c>
      <c r="D198" s="104">
        <f>'Studio Rain System'!K210</f>
        <v>0</v>
      </c>
      <c r="E198" s="104">
        <f>'Studio Rain System'!L210</f>
        <v>19.254999999999999</v>
      </c>
      <c r="F198" s="104">
        <f>'Studio Rain System'!M210</f>
        <v>0.745</v>
      </c>
      <c r="G198" s="177">
        <v>125600</v>
      </c>
      <c r="H198" s="178">
        <f t="shared" si="28"/>
        <v>0</v>
      </c>
      <c r="I198" s="128">
        <f t="shared" si="32"/>
        <v>0</v>
      </c>
      <c r="J198" s="193">
        <f>IF( 'Organized Input Output'!$AD$5= "y", $K$4*(D198*1000)/$K$3, 0)</f>
        <v>0</v>
      </c>
      <c r="K198" s="43">
        <f t="shared" si="33"/>
        <v>0</v>
      </c>
      <c r="L198" s="43">
        <f t="shared" si="34"/>
        <v>0</v>
      </c>
      <c r="M198" s="180">
        <f t="shared" si="29"/>
        <v>0</v>
      </c>
      <c r="N198" s="43">
        <f t="shared" si="35"/>
        <v>1200</v>
      </c>
      <c r="O198" s="128">
        <f t="shared" si="30"/>
        <v>4.32</v>
      </c>
      <c r="P198" s="181">
        <f t="shared" si="36"/>
        <v>4.32</v>
      </c>
      <c r="Q198" s="209">
        <f>IF( 'Organized Input Output'!$AF$9 = "y", P198 / ($Q$3 * $Q$4), 0)</f>
        <v>0</v>
      </c>
      <c r="R198" s="209">
        <f t="shared" si="37"/>
        <v>0</v>
      </c>
      <c r="S198" s="43">
        <f>IF( 'Organized Input Output'!$AF$9 = "y", IF(R198= 0, 1, 0), 0)</f>
        <v>0</v>
      </c>
      <c r="T198" s="209">
        <f t="shared" si="39"/>
        <v>0</v>
      </c>
      <c r="U198" s="43">
        <f>IF( 'Organized Input Output'!$AF$9 = "y", IF(T198= 0, 1, 0), 0)</f>
        <v>0</v>
      </c>
      <c r="V198" s="43">
        <f t="shared" si="31"/>
        <v>0</v>
      </c>
      <c r="W198" s="43">
        <f t="shared" si="38"/>
        <v>0</v>
      </c>
      <c r="X198" s="43">
        <f t="shared" si="40"/>
        <v>0</v>
      </c>
      <c r="Y198" s="43">
        <f t="shared" si="41"/>
        <v>0</v>
      </c>
    </row>
    <row r="199" spans="1:25" ht="15" customHeight="1">
      <c r="A199" s="43">
        <v>189</v>
      </c>
      <c r="B199" s="176">
        <v>0.6</v>
      </c>
      <c r="C199" s="126">
        <f>'Studio Rain System'!J211</f>
        <v>0</v>
      </c>
      <c r="D199" s="104">
        <f>'Studio Rain System'!K211</f>
        <v>0</v>
      </c>
      <c r="E199" s="104">
        <f>'Studio Rain System'!L211</f>
        <v>18.509999999999998</v>
      </c>
      <c r="F199" s="104">
        <f>'Studio Rain System'!M211</f>
        <v>0.745</v>
      </c>
      <c r="G199" s="177">
        <v>125600</v>
      </c>
      <c r="H199" s="178">
        <f t="shared" si="28"/>
        <v>0</v>
      </c>
      <c r="I199" s="128">
        <f t="shared" si="32"/>
        <v>0</v>
      </c>
      <c r="J199" s="193">
        <f>IF( 'Organized Input Output'!$AD$5= "y", $K$4*(D199*1000)/$K$3, 0)</f>
        <v>0</v>
      </c>
      <c r="K199" s="43">
        <f t="shared" si="33"/>
        <v>0</v>
      </c>
      <c r="L199" s="43">
        <f t="shared" si="34"/>
        <v>0</v>
      </c>
      <c r="M199" s="180">
        <f t="shared" si="29"/>
        <v>0</v>
      </c>
      <c r="N199" s="43">
        <f t="shared" si="35"/>
        <v>1200</v>
      </c>
      <c r="O199" s="128">
        <f t="shared" si="30"/>
        <v>4.32</v>
      </c>
      <c r="P199" s="181">
        <f t="shared" si="36"/>
        <v>4.32</v>
      </c>
      <c r="Q199" s="209">
        <f>IF( 'Organized Input Output'!$AF$9 = "y", P199 / ($Q$3 * $Q$4), 0)</f>
        <v>0</v>
      </c>
      <c r="R199" s="209">
        <f t="shared" si="37"/>
        <v>0</v>
      </c>
      <c r="S199" s="43">
        <f>IF( 'Organized Input Output'!$AF$9 = "y", IF(R199= 0, 1, 0), 0)</f>
        <v>0</v>
      </c>
      <c r="T199" s="209">
        <f t="shared" si="39"/>
        <v>0</v>
      </c>
      <c r="U199" s="43">
        <f>IF( 'Organized Input Output'!$AF$9 = "y", IF(T199= 0, 1, 0), 0)</f>
        <v>0</v>
      </c>
      <c r="V199" s="43">
        <f t="shared" si="31"/>
        <v>0</v>
      </c>
      <c r="W199" s="43">
        <f t="shared" si="38"/>
        <v>0</v>
      </c>
      <c r="X199" s="43">
        <f t="shared" si="40"/>
        <v>0</v>
      </c>
      <c r="Y199" s="43">
        <f t="shared" si="41"/>
        <v>0</v>
      </c>
    </row>
    <row r="200" spans="1:25" ht="15" customHeight="1">
      <c r="A200" s="43">
        <v>190</v>
      </c>
      <c r="B200" s="176">
        <v>0.2</v>
      </c>
      <c r="C200" s="126">
        <f>'Studio Rain System'!J212</f>
        <v>0</v>
      </c>
      <c r="D200" s="104">
        <f>'Studio Rain System'!K212</f>
        <v>0</v>
      </c>
      <c r="E200" s="104">
        <f>'Studio Rain System'!L212</f>
        <v>17.764999999999997</v>
      </c>
      <c r="F200" s="104">
        <f>'Studio Rain System'!M212</f>
        <v>0.745</v>
      </c>
      <c r="G200" s="177">
        <v>125600</v>
      </c>
      <c r="H200" s="178">
        <f t="shared" si="28"/>
        <v>0</v>
      </c>
      <c r="I200" s="128">
        <f t="shared" si="32"/>
        <v>0</v>
      </c>
      <c r="J200" s="193">
        <f>IF( 'Organized Input Output'!$AD$5= "y", $K$4*(D200*1000)/$K$3, 0)</f>
        <v>0</v>
      </c>
      <c r="K200" s="43">
        <f t="shared" si="33"/>
        <v>0</v>
      </c>
      <c r="L200" s="43">
        <f t="shared" si="34"/>
        <v>0</v>
      </c>
      <c r="M200" s="180">
        <f t="shared" si="29"/>
        <v>0</v>
      </c>
      <c r="N200" s="43">
        <f t="shared" si="35"/>
        <v>1200</v>
      </c>
      <c r="O200" s="128">
        <f t="shared" si="30"/>
        <v>4.32</v>
      </c>
      <c r="P200" s="181">
        <f t="shared" si="36"/>
        <v>4.32</v>
      </c>
      <c r="Q200" s="209">
        <f>IF( 'Organized Input Output'!$AF$9 = "y", P200 / ($Q$3 * $Q$4), 0)</f>
        <v>0</v>
      </c>
      <c r="R200" s="209">
        <f t="shared" si="37"/>
        <v>0</v>
      </c>
      <c r="S200" s="43">
        <f>IF( 'Organized Input Output'!$AF$9 = "y", IF(R200= 0, 1, 0), 0)</f>
        <v>0</v>
      </c>
      <c r="T200" s="209">
        <f t="shared" si="39"/>
        <v>0</v>
      </c>
      <c r="U200" s="43">
        <f>IF( 'Organized Input Output'!$AF$9 = "y", IF(T200= 0, 1, 0), 0)</f>
        <v>0</v>
      </c>
      <c r="V200" s="43">
        <f t="shared" si="31"/>
        <v>0</v>
      </c>
      <c r="W200" s="43">
        <f t="shared" si="38"/>
        <v>0</v>
      </c>
      <c r="X200" s="43">
        <f t="shared" si="40"/>
        <v>0</v>
      </c>
      <c r="Y200" s="43">
        <f t="shared" si="41"/>
        <v>0</v>
      </c>
    </row>
    <row r="201" spans="1:25" ht="15" customHeight="1">
      <c r="A201" s="43">
        <v>191</v>
      </c>
      <c r="B201" s="176">
        <v>3.4</v>
      </c>
      <c r="C201" s="126">
        <f>'Studio Rain System'!J213</f>
        <v>0</v>
      </c>
      <c r="D201" s="104">
        <f>'Studio Rain System'!K213</f>
        <v>0</v>
      </c>
      <c r="E201" s="104">
        <f>'Studio Rain System'!L213</f>
        <v>17.019999999999996</v>
      </c>
      <c r="F201" s="104">
        <f>'Studio Rain System'!M213</f>
        <v>0.745</v>
      </c>
      <c r="G201" s="177">
        <v>125600</v>
      </c>
      <c r="H201" s="178">
        <f t="shared" si="28"/>
        <v>0</v>
      </c>
      <c r="I201" s="128">
        <f t="shared" si="32"/>
        <v>0</v>
      </c>
      <c r="J201" s="193">
        <f>IF( 'Organized Input Output'!$AD$5= "y", $K$4*(D201*1000)/$K$3, 0)</f>
        <v>0</v>
      </c>
      <c r="K201" s="43">
        <f t="shared" si="33"/>
        <v>0</v>
      </c>
      <c r="L201" s="43">
        <f t="shared" si="34"/>
        <v>0</v>
      </c>
      <c r="M201" s="180">
        <f t="shared" si="29"/>
        <v>0</v>
      </c>
      <c r="N201" s="43">
        <f t="shared" si="35"/>
        <v>1200</v>
      </c>
      <c r="O201" s="128">
        <f t="shared" si="30"/>
        <v>4.32</v>
      </c>
      <c r="P201" s="181">
        <f t="shared" si="36"/>
        <v>4.32</v>
      </c>
      <c r="Q201" s="209">
        <f>IF( 'Organized Input Output'!$AF$9 = "y", P201 / ($Q$3 * $Q$4), 0)</f>
        <v>0</v>
      </c>
      <c r="R201" s="209">
        <f t="shared" si="37"/>
        <v>0</v>
      </c>
      <c r="S201" s="43">
        <f>IF( 'Organized Input Output'!$AF$9 = "y", IF(R201= 0, 1, 0), 0)</f>
        <v>0</v>
      </c>
      <c r="T201" s="209">
        <f t="shared" si="39"/>
        <v>0</v>
      </c>
      <c r="U201" s="43">
        <f>IF( 'Organized Input Output'!$AF$9 = "y", IF(T201= 0, 1, 0), 0)</f>
        <v>0</v>
      </c>
      <c r="V201" s="43">
        <f t="shared" si="31"/>
        <v>0</v>
      </c>
      <c r="W201" s="43">
        <f t="shared" si="38"/>
        <v>0</v>
      </c>
      <c r="X201" s="43">
        <f t="shared" si="40"/>
        <v>0</v>
      </c>
      <c r="Y201" s="43">
        <f t="shared" si="41"/>
        <v>0</v>
      </c>
    </row>
    <row r="202" spans="1:25" ht="15" customHeight="1">
      <c r="A202" s="43">
        <v>192</v>
      </c>
      <c r="B202" s="176">
        <v>2.8</v>
      </c>
      <c r="C202" s="126">
        <f>'Studio Rain System'!J214</f>
        <v>0</v>
      </c>
      <c r="D202" s="104">
        <f>'Studio Rain System'!K214</f>
        <v>0</v>
      </c>
      <c r="E202" s="104">
        <f>'Studio Rain System'!L214</f>
        <v>16.274999999999995</v>
      </c>
      <c r="F202" s="104">
        <f>'Studio Rain System'!M214</f>
        <v>0.745</v>
      </c>
      <c r="G202" s="177">
        <v>125600</v>
      </c>
      <c r="H202" s="178">
        <f t="shared" si="28"/>
        <v>0</v>
      </c>
      <c r="I202" s="128">
        <f t="shared" si="32"/>
        <v>0</v>
      </c>
      <c r="J202" s="193">
        <f>IF( 'Organized Input Output'!$AD$5= "y", $K$4*(D202*1000)/$K$3, 0)</f>
        <v>0</v>
      </c>
      <c r="K202" s="43">
        <f t="shared" si="33"/>
        <v>0</v>
      </c>
      <c r="L202" s="43">
        <f t="shared" si="34"/>
        <v>0</v>
      </c>
      <c r="M202" s="180">
        <f t="shared" si="29"/>
        <v>0</v>
      </c>
      <c r="N202" s="43">
        <f t="shared" si="35"/>
        <v>1200</v>
      </c>
      <c r="O202" s="128">
        <f t="shared" si="30"/>
        <v>4.32</v>
      </c>
      <c r="P202" s="181">
        <f t="shared" si="36"/>
        <v>4.32</v>
      </c>
      <c r="Q202" s="209">
        <f>IF( 'Organized Input Output'!$AF$9 = "y", P202 / ($Q$3 * $Q$4), 0)</f>
        <v>0</v>
      </c>
      <c r="R202" s="209">
        <f t="shared" si="37"/>
        <v>0</v>
      </c>
      <c r="S202" s="43">
        <f>IF( 'Organized Input Output'!$AF$9 = "y", IF(R202= 0, 1, 0), 0)</f>
        <v>0</v>
      </c>
      <c r="T202" s="209">
        <f t="shared" si="39"/>
        <v>0</v>
      </c>
      <c r="U202" s="43">
        <f>IF( 'Organized Input Output'!$AF$9 = "y", IF(T202= 0, 1, 0), 0)</f>
        <v>0</v>
      </c>
      <c r="V202" s="43">
        <f t="shared" si="31"/>
        <v>0</v>
      </c>
      <c r="W202" s="43">
        <f t="shared" si="38"/>
        <v>0</v>
      </c>
      <c r="X202" s="43">
        <f t="shared" si="40"/>
        <v>0</v>
      </c>
      <c r="Y202" s="43">
        <f t="shared" si="41"/>
        <v>0</v>
      </c>
    </row>
    <row r="203" spans="1:25" ht="15" customHeight="1">
      <c r="A203" s="43">
        <v>193</v>
      </c>
      <c r="B203" s="176">
        <v>0.2</v>
      </c>
      <c r="C203" s="126">
        <f>'Studio Rain System'!J215</f>
        <v>0</v>
      </c>
      <c r="D203" s="104">
        <f>'Studio Rain System'!K215</f>
        <v>0</v>
      </c>
      <c r="E203" s="104">
        <f>'Studio Rain System'!L215</f>
        <v>15.529999999999996</v>
      </c>
      <c r="F203" s="104">
        <f>'Studio Rain System'!M215</f>
        <v>0.745</v>
      </c>
      <c r="G203" s="177">
        <v>125600</v>
      </c>
      <c r="H203" s="178">
        <f t="shared" ref="H203:H266" si="42">(G203*D203)/$H$3</f>
        <v>0</v>
      </c>
      <c r="I203" s="128">
        <f t="shared" si="32"/>
        <v>0</v>
      </c>
      <c r="J203" s="193">
        <f>IF( 'Organized Input Output'!$AD$5= "y", $K$4*(D203*1000)/$K$3, 0)</f>
        <v>0</v>
      </c>
      <c r="K203" s="43">
        <f t="shared" si="33"/>
        <v>0</v>
      </c>
      <c r="L203" s="43">
        <f t="shared" si="34"/>
        <v>0</v>
      </c>
      <c r="M203" s="180">
        <f t="shared" ref="M203:M266" si="43">IF(A203 &lt; 32, 0, $K$5*K203)</f>
        <v>0</v>
      </c>
      <c r="N203" s="43">
        <f t="shared" si="35"/>
        <v>1200</v>
      </c>
      <c r="O203" s="128">
        <f t="shared" ref="O203:O266" si="44" xml:space="preserve"> IF(A203 &lt; 31, 0, (N203 * 3600 / 1000000))</f>
        <v>4.32</v>
      </c>
      <c r="P203" s="181">
        <f t="shared" si="36"/>
        <v>4.32</v>
      </c>
      <c r="Q203" s="209">
        <f>IF( 'Organized Input Output'!$AF$9 = "y", P203 / ($Q$3 * $Q$4), 0)</f>
        <v>0</v>
      </c>
      <c r="R203" s="209">
        <f t="shared" si="37"/>
        <v>0</v>
      </c>
      <c r="S203" s="43">
        <f>IF( 'Organized Input Output'!$AF$9 = "y", IF(R203= 0, 1, 0), 0)</f>
        <v>0</v>
      </c>
      <c r="T203" s="209">
        <f t="shared" si="39"/>
        <v>0</v>
      </c>
      <c r="U203" s="43">
        <f>IF( 'Organized Input Output'!$AF$9 = "y", IF(T203= 0, 1, 0), 0)</f>
        <v>0</v>
      </c>
      <c r="V203" s="43">
        <f t="shared" ref="V203:V266" si="45">W$4*(D203*1000)*(1/$W$3)</f>
        <v>0</v>
      </c>
      <c r="W203" s="43">
        <f t="shared" si="38"/>
        <v>0</v>
      </c>
      <c r="X203" s="43">
        <f t="shared" si="40"/>
        <v>0</v>
      </c>
      <c r="Y203" s="43">
        <f t="shared" si="41"/>
        <v>0</v>
      </c>
    </row>
    <row r="204" spans="1:25" ht="15" customHeight="1">
      <c r="A204" s="43">
        <v>194</v>
      </c>
      <c r="B204" s="176">
        <v>2.2000000000000002</v>
      </c>
      <c r="C204" s="126">
        <f>'Studio Rain System'!J216</f>
        <v>0</v>
      </c>
      <c r="D204" s="104">
        <f>'Studio Rain System'!K216</f>
        <v>0</v>
      </c>
      <c r="E204" s="104">
        <f>'Studio Rain System'!L216</f>
        <v>14.784999999999997</v>
      </c>
      <c r="F204" s="104">
        <f>'Studio Rain System'!M216</f>
        <v>0.745</v>
      </c>
      <c r="G204" s="177">
        <v>125600</v>
      </c>
      <c r="H204" s="178">
        <f t="shared" si="42"/>
        <v>0</v>
      </c>
      <c r="I204" s="128">
        <f t="shared" ref="I204:I267" si="46">H204/10^6</f>
        <v>0</v>
      </c>
      <c r="J204" s="193">
        <f>IF( 'Organized Input Output'!$AD$5= "y", $K$4*(D204*1000)/$K$3, 0)</f>
        <v>0</v>
      </c>
      <c r="K204" s="43">
        <f t="shared" ref="K204:K267" si="47">J204/1000</f>
        <v>0</v>
      </c>
      <c r="L204" s="43">
        <f t="shared" ref="L204:L267" si="48">M204*1000000</f>
        <v>0</v>
      </c>
      <c r="M204" s="180">
        <f t="shared" si="43"/>
        <v>0</v>
      </c>
      <c r="N204" s="43">
        <f t="shared" ref="N204:N267" si="49" xml:space="preserve"> $N$3 * 24</f>
        <v>1200</v>
      </c>
      <c r="O204" s="128">
        <f t="shared" si="44"/>
        <v>4.32</v>
      </c>
      <c r="P204" s="181">
        <f t="shared" ref="P204:P267" si="50">I204 + M204 + O204</f>
        <v>4.32</v>
      </c>
      <c r="Q204" s="209">
        <f>IF( 'Organized Input Output'!$AF$9 = "y", P204 / ($Q$3 * $Q$4), 0)</f>
        <v>0</v>
      </c>
      <c r="R204" s="209">
        <f t="shared" ref="R204:R267" si="51">IF(R203+Q204 &gt; 100, 0, R203+Q204 )</f>
        <v>0</v>
      </c>
      <c r="S204" s="43">
        <f>IF( 'Organized Input Output'!$AF$9 = "y", IF(R204= 0, 1, 0), 0)</f>
        <v>0</v>
      </c>
      <c r="T204" s="209">
        <f t="shared" si="39"/>
        <v>0</v>
      </c>
      <c r="U204" s="43">
        <f>IF( 'Organized Input Output'!$AF$9 = "y", IF(T204= 0, 1, 0), 0)</f>
        <v>0</v>
      </c>
      <c r="V204" s="43">
        <f t="shared" si="45"/>
        <v>0</v>
      </c>
      <c r="W204" s="43">
        <f t="shared" ref="W204:W267" si="52">V204/1000000</f>
        <v>0</v>
      </c>
      <c r="X204" s="43">
        <f t="shared" si="40"/>
        <v>0</v>
      </c>
      <c r="Y204" s="43">
        <f t="shared" si="41"/>
        <v>0</v>
      </c>
    </row>
    <row r="205" spans="1:25" ht="15" customHeight="1">
      <c r="A205" s="43">
        <v>195</v>
      </c>
      <c r="B205" s="176">
        <v>1.4</v>
      </c>
      <c r="C205" s="126">
        <f>'Studio Rain System'!J217</f>
        <v>0</v>
      </c>
      <c r="D205" s="104">
        <f>'Studio Rain System'!K217</f>
        <v>0</v>
      </c>
      <c r="E205" s="104">
        <f>'Studio Rain System'!L217</f>
        <v>14.039999999999997</v>
      </c>
      <c r="F205" s="104">
        <f>'Studio Rain System'!M217</f>
        <v>0.745</v>
      </c>
      <c r="G205" s="177">
        <v>125600</v>
      </c>
      <c r="H205" s="178">
        <f t="shared" si="42"/>
        <v>0</v>
      </c>
      <c r="I205" s="128">
        <f t="shared" si="46"/>
        <v>0</v>
      </c>
      <c r="J205" s="193">
        <f>IF( 'Organized Input Output'!$AD$5= "y", $K$4*(D205*1000)/$K$3, 0)</f>
        <v>0</v>
      </c>
      <c r="K205" s="43">
        <f t="shared" si="47"/>
        <v>0</v>
      </c>
      <c r="L205" s="43">
        <f t="shared" si="48"/>
        <v>0</v>
      </c>
      <c r="M205" s="180">
        <f t="shared" si="43"/>
        <v>0</v>
      </c>
      <c r="N205" s="43">
        <f t="shared" si="49"/>
        <v>1200</v>
      </c>
      <c r="O205" s="128">
        <f t="shared" si="44"/>
        <v>4.32</v>
      </c>
      <c r="P205" s="181">
        <f t="shared" si="50"/>
        <v>4.32</v>
      </c>
      <c r="Q205" s="209">
        <f>IF( 'Organized Input Output'!$AF$9 = "y", P205 / ($Q$3 * $Q$4), 0)</f>
        <v>0</v>
      </c>
      <c r="R205" s="209">
        <f t="shared" si="51"/>
        <v>0</v>
      </c>
      <c r="S205" s="43">
        <f>IF( 'Organized Input Output'!$AF$9 = "y", IF(R205= 0, 1, 0), 0)</f>
        <v>0</v>
      </c>
      <c r="T205" s="209">
        <f t="shared" ref="T205:T268" si="53">IF(T204+Q205 &gt; 250, 0, T204+Q205 )</f>
        <v>0</v>
      </c>
      <c r="U205" s="43">
        <f>IF( 'Organized Input Output'!$AF$9 = "y", IF(T205= 0, 1, 0), 0)</f>
        <v>0</v>
      </c>
      <c r="V205" s="43">
        <f t="shared" si="45"/>
        <v>0</v>
      </c>
      <c r="W205" s="43">
        <f t="shared" si="52"/>
        <v>0</v>
      </c>
      <c r="X205" s="43">
        <f t="shared" ref="X205:X268" si="54">IF(X204+W205 &gt;= 4.4, 0, X204+W205 )</f>
        <v>0</v>
      </c>
      <c r="Y205" s="43">
        <f t="shared" ref="Y205:Y268" si="55">IF( V205 +X205+ W205 = 0, 0, IF(X205= 0, 1, 0))</f>
        <v>0</v>
      </c>
    </row>
    <row r="206" spans="1:25" ht="15" customHeight="1">
      <c r="A206" s="43">
        <v>196</v>
      </c>
      <c r="B206" s="176">
        <v>0</v>
      </c>
      <c r="C206" s="126">
        <f>'Studio Rain System'!J218</f>
        <v>0</v>
      </c>
      <c r="D206" s="104">
        <f>'Studio Rain System'!K218</f>
        <v>0</v>
      </c>
      <c r="E206" s="104">
        <f>'Studio Rain System'!L218</f>
        <v>13.294999999999998</v>
      </c>
      <c r="F206" s="104">
        <f>'Studio Rain System'!M218</f>
        <v>0.745</v>
      </c>
      <c r="G206" s="177">
        <v>125600</v>
      </c>
      <c r="H206" s="178">
        <f t="shared" si="42"/>
        <v>0</v>
      </c>
      <c r="I206" s="128">
        <f t="shared" si="46"/>
        <v>0</v>
      </c>
      <c r="J206" s="193">
        <f>IF( 'Organized Input Output'!$AD$5= "y", $K$4*(D206*1000)/$K$3, 0)</f>
        <v>0</v>
      </c>
      <c r="K206" s="43">
        <f t="shared" si="47"/>
        <v>0</v>
      </c>
      <c r="L206" s="43">
        <f t="shared" si="48"/>
        <v>0</v>
      </c>
      <c r="M206" s="180">
        <f t="shared" si="43"/>
        <v>0</v>
      </c>
      <c r="N206" s="43">
        <f t="shared" si="49"/>
        <v>1200</v>
      </c>
      <c r="O206" s="128">
        <f t="shared" si="44"/>
        <v>4.32</v>
      </c>
      <c r="P206" s="181">
        <f t="shared" si="50"/>
        <v>4.32</v>
      </c>
      <c r="Q206" s="209">
        <f>IF( 'Organized Input Output'!$AF$9 = "y", P206 / ($Q$3 * $Q$4), 0)</f>
        <v>0</v>
      </c>
      <c r="R206" s="209">
        <f t="shared" si="51"/>
        <v>0</v>
      </c>
      <c r="S206" s="43">
        <f>IF( 'Organized Input Output'!$AF$9 = "y", IF(R206= 0, 1, 0), 0)</f>
        <v>0</v>
      </c>
      <c r="T206" s="209">
        <f t="shared" si="53"/>
        <v>0</v>
      </c>
      <c r="U206" s="43">
        <f>IF( 'Organized Input Output'!$AF$9 = "y", IF(T206= 0, 1, 0), 0)</f>
        <v>0</v>
      </c>
      <c r="V206" s="43">
        <f t="shared" si="45"/>
        <v>0</v>
      </c>
      <c r="W206" s="43">
        <f t="shared" si="52"/>
        <v>0</v>
      </c>
      <c r="X206" s="43">
        <f t="shared" si="54"/>
        <v>0</v>
      </c>
      <c r="Y206" s="43">
        <f t="shared" si="55"/>
        <v>0</v>
      </c>
    </row>
    <row r="207" spans="1:25" ht="15" customHeight="1">
      <c r="A207" s="43">
        <v>197</v>
      </c>
      <c r="B207" s="176">
        <v>0</v>
      </c>
      <c r="C207" s="126">
        <f>'Studio Rain System'!J219</f>
        <v>0</v>
      </c>
      <c r="D207" s="104">
        <f>'Studio Rain System'!K219</f>
        <v>0</v>
      </c>
      <c r="E207" s="104">
        <f>'Studio Rain System'!L219</f>
        <v>12.549999999999999</v>
      </c>
      <c r="F207" s="104">
        <f>'Studio Rain System'!M219</f>
        <v>0.745</v>
      </c>
      <c r="G207" s="177">
        <v>125600</v>
      </c>
      <c r="H207" s="178">
        <f t="shared" si="42"/>
        <v>0</v>
      </c>
      <c r="I207" s="128">
        <f t="shared" si="46"/>
        <v>0</v>
      </c>
      <c r="J207" s="193">
        <f>IF( 'Organized Input Output'!$AD$5= "y", $K$4*(D207*1000)/$K$3, 0)</f>
        <v>0</v>
      </c>
      <c r="K207" s="43">
        <f t="shared" si="47"/>
        <v>0</v>
      </c>
      <c r="L207" s="43">
        <f t="shared" si="48"/>
        <v>0</v>
      </c>
      <c r="M207" s="180">
        <f t="shared" si="43"/>
        <v>0</v>
      </c>
      <c r="N207" s="43">
        <f t="shared" si="49"/>
        <v>1200</v>
      </c>
      <c r="O207" s="128">
        <f t="shared" si="44"/>
        <v>4.32</v>
      </c>
      <c r="P207" s="181">
        <f t="shared" si="50"/>
        <v>4.32</v>
      </c>
      <c r="Q207" s="209">
        <f>IF( 'Organized Input Output'!$AF$9 = "y", P207 / ($Q$3 * $Q$4), 0)</f>
        <v>0</v>
      </c>
      <c r="R207" s="209">
        <f t="shared" si="51"/>
        <v>0</v>
      </c>
      <c r="S207" s="43">
        <f>IF( 'Organized Input Output'!$AF$9 = "y", IF(R207= 0, 1, 0), 0)</f>
        <v>0</v>
      </c>
      <c r="T207" s="209">
        <f t="shared" si="53"/>
        <v>0</v>
      </c>
      <c r="U207" s="43">
        <f>IF( 'Organized Input Output'!$AF$9 = "y", IF(T207= 0, 1, 0), 0)</f>
        <v>0</v>
      </c>
      <c r="V207" s="43">
        <f t="shared" si="45"/>
        <v>0</v>
      </c>
      <c r="W207" s="43">
        <f t="shared" si="52"/>
        <v>0</v>
      </c>
      <c r="X207" s="43">
        <f t="shared" si="54"/>
        <v>0</v>
      </c>
      <c r="Y207" s="43">
        <f t="shared" si="55"/>
        <v>0</v>
      </c>
    </row>
    <row r="208" spans="1:25" ht="15" customHeight="1">
      <c r="A208" s="43">
        <v>198</v>
      </c>
      <c r="B208" s="176">
        <v>0</v>
      </c>
      <c r="C208" s="126">
        <f>'Studio Rain System'!J220</f>
        <v>0</v>
      </c>
      <c r="D208" s="104">
        <f>'Studio Rain System'!K220</f>
        <v>0</v>
      </c>
      <c r="E208" s="104">
        <f>'Studio Rain System'!L220</f>
        <v>11.805</v>
      </c>
      <c r="F208" s="104">
        <f>'Studio Rain System'!M220</f>
        <v>0.745</v>
      </c>
      <c r="G208" s="177">
        <v>125600</v>
      </c>
      <c r="H208" s="178">
        <f t="shared" si="42"/>
        <v>0</v>
      </c>
      <c r="I208" s="128">
        <f t="shared" si="46"/>
        <v>0</v>
      </c>
      <c r="J208" s="193">
        <f>IF( 'Organized Input Output'!$AD$5= "y", $K$4*(D208*1000)/$K$3, 0)</f>
        <v>0</v>
      </c>
      <c r="K208" s="43">
        <f t="shared" si="47"/>
        <v>0</v>
      </c>
      <c r="L208" s="43">
        <f t="shared" si="48"/>
        <v>0</v>
      </c>
      <c r="M208" s="180">
        <f t="shared" si="43"/>
        <v>0</v>
      </c>
      <c r="N208" s="43">
        <f t="shared" si="49"/>
        <v>1200</v>
      </c>
      <c r="O208" s="128">
        <f t="shared" si="44"/>
        <v>4.32</v>
      </c>
      <c r="P208" s="181">
        <f t="shared" si="50"/>
        <v>4.32</v>
      </c>
      <c r="Q208" s="209">
        <f>IF( 'Organized Input Output'!$AF$9 = "y", P208 / ($Q$3 * $Q$4), 0)</f>
        <v>0</v>
      </c>
      <c r="R208" s="209">
        <f t="shared" si="51"/>
        <v>0</v>
      </c>
      <c r="S208" s="43">
        <f>IF( 'Organized Input Output'!$AF$9 = "y", IF(R208= 0, 1, 0), 0)</f>
        <v>0</v>
      </c>
      <c r="T208" s="209">
        <f t="shared" si="53"/>
        <v>0</v>
      </c>
      <c r="U208" s="43">
        <f>IF( 'Organized Input Output'!$AF$9 = "y", IF(T208= 0, 1, 0), 0)</f>
        <v>0</v>
      </c>
      <c r="V208" s="43">
        <f t="shared" si="45"/>
        <v>0</v>
      </c>
      <c r="W208" s="43">
        <f t="shared" si="52"/>
        <v>0</v>
      </c>
      <c r="X208" s="43">
        <f t="shared" si="54"/>
        <v>0</v>
      </c>
      <c r="Y208" s="43">
        <f t="shared" si="55"/>
        <v>0</v>
      </c>
    </row>
    <row r="209" spans="1:25" ht="15" customHeight="1">
      <c r="A209" s="43">
        <v>199</v>
      </c>
      <c r="B209" s="176">
        <v>0</v>
      </c>
      <c r="C209" s="126">
        <f>'Studio Rain System'!J221</f>
        <v>37</v>
      </c>
      <c r="D209" s="104">
        <f>'Studio Rain System'!K221</f>
        <v>40.699999999999996</v>
      </c>
      <c r="E209" s="104">
        <f>'Studio Rain System'!L221</f>
        <v>20</v>
      </c>
      <c r="F209" s="104">
        <f>'Studio Rain System'!M221</f>
        <v>0.745</v>
      </c>
      <c r="G209" s="177">
        <v>125600</v>
      </c>
      <c r="H209" s="178">
        <f t="shared" si="42"/>
        <v>7302742.8571428563</v>
      </c>
      <c r="I209" s="128">
        <f t="shared" si="46"/>
        <v>7.3027428571428565</v>
      </c>
      <c r="J209" s="193">
        <f>IF( 'Organized Input Output'!$AD$5= "y", $K$4*(D209*1000)/$K$3, 0)</f>
        <v>203499.99999999994</v>
      </c>
      <c r="K209" s="43">
        <f t="shared" si="47"/>
        <v>203.49999999999994</v>
      </c>
      <c r="L209" s="43">
        <f t="shared" si="48"/>
        <v>406999999.99999988</v>
      </c>
      <c r="M209" s="180">
        <f t="shared" si="43"/>
        <v>406.99999999999989</v>
      </c>
      <c r="N209" s="43">
        <f t="shared" si="49"/>
        <v>1200</v>
      </c>
      <c r="O209" s="128">
        <f t="shared" si="44"/>
        <v>4.32</v>
      </c>
      <c r="P209" s="181">
        <f t="shared" si="50"/>
        <v>418.62274285714273</v>
      </c>
      <c r="Q209" s="209">
        <f>IF( 'Organized Input Output'!$AF$9 = "y", P209 / ($Q$3 * $Q$4), 0)</f>
        <v>0</v>
      </c>
      <c r="R209" s="209">
        <f t="shared" si="51"/>
        <v>0</v>
      </c>
      <c r="S209" s="43">
        <f>IF( 'Organized Input Output'!$AF$9 = "y", IF(R209= 0, 1, 0), 0)</f>
        <v>0</v>
      </c>
      <c r="T209" s="209">
        <f t="shared" si="53"/>
        <v>0</v>
      </c>
      <c r="U209" s="43">
        <f>IF( 'Organized Input Output'!$AF$9 = "y", IF(T209= 0, 1, 0), 0)</f>
        <v>0</v>
      </c>
      <c r="V209" s="43">
        <f t="shared" si="45"/>
        <v>0</v>
      </c>
      <c r="W209" s="43">
        <f t="shared" si="52"/>
        <v>0</v>
      </c>
      <c r="X209" s="43">
        <f t="shared" si="54"/>
        <v>0</v>
      </c>
      <c r="Y209" s="43">
        <f t="shared" si="55"/>
        <v>0</v>
      </c>
    </row>
    <row r="210" spans="1:25" ht="15" customHeight="1">
      <c r="A210" s="43">
        <v>200</v>
      </c>
      <c r="B210" s="176">
        <v>0</v>
      </c>
      <c r="C210" s="126">
        <f>'Studio Rain System'!J222</f>
        <v>1.8</v>
      </c>
      <c r="D210" s="104">
        <f>'Studio Rain System'!K222</f>
        <v>1.98</v>
      </c>
      <c r="E210" s="104">
        <f>'Studio Rain System'!L222</f>
        <v>20</v>
      </c>
      <c r="F210" s="104">
        <f>'Studio Rain System'!M222</f>
        <v>0.745</v>
      </c>
      <c r="G210" s="177">
        <v>125600</v>
      </c>
      <c r="H210" s="178">
        <f t="shared" si="42"/>
        <v>355268.57142857148</v>
      </c>
      <c r="I210" s="128">
        <f t="shared" si="46"/>
        <v>0.35526857142857149</v>
      </c>
      <c r="J210" s="193">
        <f>IF( 'Organized Input Output'!$AD$5= "y", $K$4*(D210*1000)/$K$3, 0)</f>
        <v>9900</v>
      </c>
      <c r="K210" s="43">
        <f t="shared" si="47"/>
        <v>9.9</v>
      </c>
      <c r="L210" s="43">
        <f t="shared" si="48"/>
        <v>19800000</v>
      </c>
      <c r="M210" s="180">
        <f t="shared" si="43"/>
        <v>19.8</v>
      </c>
      <c r="N210" s="43">
        <f t="shared" si="49"/>
        <v>1200</v>
      </c>
      <c r="O210" s="128">
        <f t="shared" si="44"/>
        <v>4.32</v>
      </c>
      <c r="P210" s="181">
        <f t="shared" si="50"/>
        <v>24.475268571428572</v>
      </c>
      <c r="Q210" s="209">
        <f>IF( 'Organized Input Output'!$AF$9 = "y", P210 / ($Q$3 * $Q$4), 0)</f>
        <v>0</v>
      </c>
      <c r="R210" s="209">
        <f t="shared" si="51"/>
        <v>0</v>
      </c>
      <c r="S210" s="43">
        <f>IF( 'Organized Input Output'!$AF$9 = "y", IF(R210= 0, 1, 0), 0)</f>
        <v>0</v>
      </c>
      <c r="T210" s="209">
        <f t="shared" si="53"/>
        <v>0</v>
      </c>
      <c r="U210" s="43">
        <f>IF( 'Organized Input Output'!$AF$9 = "y", IF(T210= 0, 1, 0), 0)</f>
        <v>0</v>
      </c>
      <c r="V210" s="43">
        <f t="shared" si="45"/>
        <v>0</v>
      </c>
      <c r="W210" s="43">
        <f t="shared" si="52"/>
        <v>0</v>
      </c>
      <c r="X210" s="43">
        <f t="shared" si="54"/>
        <v>0</v>
      </c>
      <c r="Y210" s="43">
        <f t="shared" si="55"/>
        <v>0</v>
      </c>
    </row>
    <row r="211" spans="1:25" ht="15" customHeight="1">
      <c r="A211" s="43">
        <v>201</v>
      </c>
      <c r="B211" s="176">
        <v>0</v>
      </c>
      <c r="C211" s="126">
        <f>'Studio Rain System'!J223</f>
        <v>0</v>
      </c>
      <c r="D211" s="104">
        <f>'Studio Rain System'!K223</f>
        <v>0</v>
      </c>
      <c r="E211" s="104">
        <f>'Studio Rain System'!L223</f>
        <v>19.254999999999999</v>
      </c>
      <c r="F211" s="104">
        <f>'Studio Rain System'!M223</f>
        <v>0.745</v>
      </c>
      <c r="G211" s="177">
        <v>125600</v>
      </c>
      <c r="H211" s="178">
        <f t="shared" si="42"/>
        <v>0</v>
      </c>
      <c r="I211" s="128">
        <f t="shared" si="46"/>
        <v>0</v>
      </c>
      <c r="J211" s="193">
        <f>IF( 'Organized Input Output'!$AD$5= "y", $K$4*(D211*1000)/$K$3, 0)</f>
        <v>0</v>
      </c>
      <c r="K211" s="43">
        <f t="shared" si="47"/>
        <v>0</v>
      </c>
      <c r="L211" s="43">
        <f t="shared" si="48"/>
        <v>0</v>
      </c>
      <c r="M211" s="180">
        <f t="shared" si="43"/>
        <v>0</v>
      </c>
      <c r="N211" s="43">
        <f t="shared" si="49"/>
        <v>1200</v>
      </c>
      <c r="O211" s="128">
        <f t="shared" si="44"/>
        <v>4.32</v>
      </c>
      <c r="P211" s="181">
        <f t="shared" si="50"/>
        <v>4.32</v>
      </c>
      <c r="Q211" s="209">
        <f>IF( 'Organized Input Output'!$AF$9 = "y", P211 / ($Q$3 * $Q$4), 0)</f>
        <v>0</v>
      </c>
      <c r="R211" s="209">
        <f t="shared" si="51"/>
        <v>0</v>
      </c>
      <c r="S211" s="43">
        <f>IF( 'Organized Input Output'!$AF$9 = "y", IF(R211= 0, 1, 0), 0)</f>
        <v>0</v>
      </c>
      <c r="T211" s="209">
        <f t="shared" si="53"/>
        <v>0</v>
      </c>
      <c r="U211" s="43">
        <f>IF( 'Organized Input Output'!$AF$9 = "y", IF(T211= 0, 1, 0), 0)</f>
        <v>0</v>
      </c>
      <c r="V211" s="43">
        <f t="shared" si="45"/>
        <v>0</v>
      </c>
      <c r="W211" s="43">
        <f t="shared" si="52"/>
        <v>0</v>
      </c>
      <c r="X211" s="43">
        <f t="shared" si="54"/>
        <v>0</v>
      </c>
      <c r="Y211" s="43">
        <f t="shared" si="55"/>
        <v>0</v>
      </c>
    </row>
    <row r="212" spans="1:25" ht="15" customHeight="1">
      <c r="A212" s="43">
        <v>202</v>
      </c>
      <c r="B212" s="176">
        <v>0</v>
      </c>
      <c r="C212" s="126">
        <f>'Studio Rain System'!J224</f>
        <v>0</v>
      </c>
      <c r="D212" s="104">
        <f>'Studio Rain System'!K224</f>
        <v>0</v>
      </c>
      <c r="E212" s="104">
        <f>'Studio Rain System'!L224</f>
        <v>18.509999999999998</v>
      </c>
      <c r="F212" s="104">
        <f>'Studio Rain System'!M224</f>
        <v>0.745</v>
      </c>
      <c r="G212" s="177">
        <v>125600</v>
      </c>
      <c r="H212" s="178">
        <f t="shared" si="42"/>
        <v>0</v>
      </c>
      <c r="I212" s="128">
        <f t="shared" si="46"/>
        <v>0</v>
      </c>
      <c r="J212" s="193">
        <f>IF( 'Organized Input Output'!$AD$5= "y", $K$4*(D212*1000)/$K$3, 0)</f>
        <v>0</v>
      </c>
      <c r="K212" s="43">
        <f t="shared" si="47"/>
        <v>0</v>
      </c>
      <c r="L212" s="43">
        <f t="shared" si="48"/>
        <v>0</v>
      </c>
      <c r="M212" s="180">
        <f t="shared" si="43"/>
        <v>0</v>
      </c>
      <c r="N212" s="43">
        <f t="shared" si="49"/>
        <v>1200</v>
      </c>
      <c r="O212" s="128">
        <f t="shared" si="44"/>
        <v>4.32</v>
      </c>
      <c r="P212" s="181">
        <f t="shared" si="50"/>
        <v>4.32</v>
      </c>
      <c r="Q212" s="209">
        <f>IF( 'Organized Input Output'!$AF$9 = "y", P212 / ($Q$3 * $Q$4), 0)</f>
        <v>0</v>
      </c>
      <c r="R212" s="209">
        <f t="shared" si="51"/>
        <v>0</v>
      </c>
      <c r="S212" s="43">
        <f>IF( 'Organized Input Output'!$AF$9 = "y", IF(R212= 0, 1, 0), 0)</f>
        <v>0</v>
      </c>
      <c r="T212" s="209">
        <f t="shared" si="53"/>
        <v>0</v>
      </c>
      <c r="U212" s="43">
        <f>IF( 'Organized Input Output'!$AF$9 = "y", IF(T212= 0, 1, 0), 0)</f>
        <v>0</v>
      </c>
      <c r="V212" s="43">
        <f t="shared" si="45"/>
        <v>0</v>
      </c>
      <c r="W212" s="43">
        <f t="shared" si="52"/>
        <v>0</v>
      </c>
      <c r="X212" s="43">
        <f t="shared" si="54"/>
        <v>0</v>
      </c>
      <c r="Y212" s="43">
        <f t="shared" si="55"/>
        <v>0</v>
      </c>
    </row>
    <row r="213" spans="1:25" ht="15" customHeight="1">
      <c r="A213" s="43">
        <v>203</v>
      </c>
      <c r="B213" s="176">
        <v>0</v>
      </c>
      <c r="C213" s="126">
        <f>'Studio Rain System'!J225</f>
        <v>8</v>
      </c>
      <c r="D213" s="104">
        <f>'Studio Rain System'!K225</f>
        <v>8.8000000000000007</v>
      </c>
      <c r="E213" s="104">
        <f>'Studio Rain System'!L225</f>
        <v>20</v>
      </c>
      <c r="F213" s="104">
        <f>'Studio Rain System'!M225</f>
        <v>0.745</v>
      </c>
      <c r="G213" s="177">
        <v>125600</v>
      </c>
      <c r="H213" s="178">
        <f t="shared" si="42"/>
        <v>1578971.4285714286</v>
      </c>
      <c r="I213" s="128">
        <f t="shared" si="46"/>
        <v>1.5789714285714287</v>
      </c>
      <c r="J213" s="193">
        <f>IF( 'Organized Input Output'!$AD$5= "y", $K$4*(D213*1000)/$K$3, 0)</f>
        <v>44000</v>
      </c>
      <c r="K213" s="43">
        <f t="shared" si="47"/>
        <v>44</v>
      </c>
      <c r="L213" s="43">
        <f t="shared" si="48"/>
        <v>88000000</v>
      </c>
      <c r="M213" s="180">
        <f t="shared" si="43"/>
        <v>88</v>
      </c>
      <c r="N213" s="43">
        <f t="shared" si="49"/>
        <v>1200</v>
      </c>
      <c r="O213" s="128">
        <f t="shared" si="44"/>
        <v>4.32</v>
      </c>
      <c r="P213" s="181">
        <f t="shared" si="50"/>
        <v>93.898971428571429</v>
      </c>
      <c r="Q213" s="209">
        <f>IF( 'Organized Input Output'!$AF$9 = "y", P213 / ($Q$3 * $Q$4), 0)</f>
        <v>0</v>
      </c>
      <c r="R213" s="209">
        <f t="shared" si="51"/>
        <v>0</v>
      </c>
      <c r="S213" s="43">
        <f>IF( 'Organized Input Output'!$AF$9 = "y", IF(R213= 0, 1, 0), 0)</f>
        <v>0</v>
      </c>
      <c r="T213" s="209">
        <f t="shared" si="53"/>
        <v>0</v>
      </c>
      <c r="U213" s="43">
        <f>IF( 'Organized Input Output'!$AF$9 = "y", IF(T213= 0, 1, 0), 0)</f>
        <v>0</v>
      </c>
      <c r="V213" s="43">
        <f t="shared" si="45"/>
        <v>0</v>
      </c>
      <c r="W213" s="43">
        <f t="shared" si="52"/>
        <v>0</v>
      </c>
      <c r="X213" s="43">
        <f t="shared" si="54"/>
        <v>0</v>
      </c>
      <c r="Y213" s="43">
        <f t="shared" si="55"/>
        <v>0</v>
      </c>
    </row>
    <row r="214" spans="1:25" ht="15" customHeight="1">
      <c r="A214" s="43">
        <v>204</v>
      </c>
      <c r="B214" s="176">
        <v>0</v>
      </c>
      <c r="C214" s="126">
        <f>'Studio Rain System'!J226</f>
        <v>18.2</v>
      </c>
      <c r="D214" s="104">
        <f>'Studio Rain System'!K226</f>
        <v>20.02</v>
      </c>
      <c r="E214" s="104">
        <f>'Studio Rain System'!L226</f>
        <v>20</v>
      </c>
      <c r="F214" s="104">
        <f>'Studio Rain System'!M226</f>
        <v>0.745</v>
      </c>
      <c r="G214" s="177">
        <v>125600</v>
      </c>
      <c r="H214" s="178">
        <f t="shared" si="42"/>
        <v>3592160</v>
      </c>
      <c r="I214" s="128">
        <f t="shared" si="46"/>
        <v>3.5921599999999998</v>
      </c>
      <c r="J214" s="193">
        <f>IF( 'Organized Input Output'!$AD$5= "y", $K$4*(D214*1000)/$K$3, 0)</f>
        <v>100100</v>
      </c>
      <c r="K214" s="43">
        <f t="shared" si="47"/>
        <v>100.1</v>
      </c>
      <c r="L214" s="43">
        <f t="shared" si="48"/>
        <v>200200000</v>
      </c>
      <c r="M214" s="180">
        <f t="shared" si="43"/>
        <v>200.2</v>
      </c>
      <c r="N214" s="43">
        <f t="shared" si="49"/>
        <v>1200</v>
      </c>
      <c r="O214" s="128">
        <f t="shared" si="44"/>
        <v>4.32</v>
      </c>
      <c r="P214" s="181">
        <f t="shared" si="50"/>
        <v>208.11215999999999</v>
      </c>
      <c r="Q214" s="209">
        <f>IF( 'Organized Input Output'!$AF$9 = "y", P214 / ($Q$3 * $Q$4), 0)</f>
        <v>0</v>
      </c>
      <c r="R214" s="209">
        <f t="shared" si="51"/>
        <v>0</v>
      </c>
      <c r="S214" s="43">
        <f>IF( 'Organized Input Output'!$AF$9 = "y", IF(R214= 0, 1, 0), 0)</f>
        <v>0</v>
      </c>
      <c r="T214" s="209">
        <f t="shared" si="53"/>
        <v>0</v>
      </c>
      <c r="U214" s="43">
        <f>IF( 'Organized Input Output'!$AF$9 = "y", IF(T214= 0, 1, 0), 0)</f>
        <v>0</v>
      </c>
      <c r="V214" s="43">
        <f t="shared" si="45"/>
        <v>0</v>
      </c>
      <c r="W214" s="43">
        <f t="shared" si="52"/>
        <v>0</v>
      </c>
      <c r="X214" s="43">
        <f t="shared" si="54"/>
        <v>0</v>
      </c>
      <c r="Y214" s="43">
        <f t="shared" si="55"/>
        <v>0</v>
      </c>
    </row>
    <row r="215" spans="1:25" ht="15" customHeight="1">
      <c r="A215" s="43">
        <v>205</v>
      </c>
      <c r="B215" s="176">
        <v>0</v>
      </c>
      <c r="C215" s="126">
        <f>'Studio Rain System'!J227</f>
        <v>0.6</v>
      </c>
      <c r="D215" s="104">
        <f>'Studio Rain System'!K227</f>
        <v>0.65999999999999992</v>
      </c>
      <c r="E215" s="104">
        <f>'Studio Rain System'!L227</f>
        <v>19.914999999999999</v>
      </c>
      <c r="F215" s="104">
        <f>'Studio Rain System'!M227</f>
        <v>0.745</v>
      </c>
      <c r="G215" s="177">
        <v>125600</v>
      </c>
      <c r="H215" s="178">
        <f t="shared" si="42"/>
        <v>118422.85714285713</v>
      </c>
      <c r="I215" s="128">
        <f t="shared" si="46"/>
        <v>0.11842285714285714</v>
      </c>
      <c r="J215" s="193">
        <f>IF( 'Organized Input Output'!$AD$5= "y", $K$4*(D215*1000)/$K$3, 0)</f>
        <v>3299.9999999999991</v>
      </c>
      <c r="K215" s="43">
        <f t="shared" si="47"/>
        <v>3.2999999999999989</v>
      </c>
      <c r="L215" s="43">
        <f t="shared" si="48"/>
        <v>6599999.9999999981</v>
      </c>
      <c r="M215" s="180">
        <f t="shared" si="43"/>
        <v>6.5999999999999979</v>
      </c>
      <c r="N215" s="43">
        <f t="shared" si="49"/>
        <v>1200</v>
      </c>
      <c r="O215" s="128">
        <f t="shared" si="44"/>
        <v>4.32</v>
      </c>
      <c r="P215" s="181">
        <f t="shared" si="50"/>
        <v>11.038422857142855</v>
      </c>
      <c r="Q215" s="209">
        <f>IF( 'Organized Input Output'!$AF$9 = "y", P215 / ($Q$3 * $Q$4), 0)</f>
        <v>0</v>
      </c>
      <c r="R215" s="209">
        <f t="shared" si="51"/>
        <v>0</v>
      </c>
      <c r="S215" s="43">
        <f>IF( 'Organized Input Output'!$AF$9 = "y", IF(R215= 0, 1, 0), 0)</f>
        <v>0</v>
      </c>
      <c r="T215" s="209">
        <f t="shared" si="53"/>
        <v>0</v>
      </c>
      <c r="U215" s="43">
        <f>IF( 'Organized Input Output'!$AF$9 = "y", IF(T215= 0, 1, 0), 0)</f>
        <v>0</v>
      </c>
      <c r="V215" s="43">
        <f t="shared" si="45"/>
        <v>0</v>
      </c>
      <c r="W215" s="43">
        <f t="shared" si="52"/>
        <v>0</v>
      </c>
      <c r="X215" s="43">
        <f t="shared" si="54"/>
        <v>0</v>
      </c>
      <c r="Y215" s="43">
        <f t="shared" si="55"/>
        <v>0</v>
      </c>
    </row>
    <row r="216" spans="1:25" ht="15" customHeight="1">
      <c r="A216" s="43">
        <v>206</v>
      </c>
      <c r="B216" s="176">
        <v>0</v>
      </c>
      <c r="C216" s="126">
        <f>'Studio Rain System'!J228</f>
        <v>0</v>
      </c>
      <c r="D216" s="104">
        <f>'Studio Rain System'!K228</f>
        <v>0</v>
      </c>
      <c r="E216" s="104">
        <f>'Studio Rain System'!L228</f>
        <v>19.169999999999998</v>
      </c>
      <c r="F216" s="104">
        <f>'Studio Rain System'!M228</f>
        <v>0.745</v>
      </c>
      <c r="G216" s="177">
        <v>125600</v>
      </c>
      <c r="H216" s="178">
        <f t="shared" si="42"/>
        <v>0</v>
      </c>
      <c r="I216" s="128">
        <f t="shared" si="46"/>
        <v>0</v>
      </c>
      <c r="J216" s="193">
        <f>IF( 'Organized Input Output'!$AD$5= "y", $K$4*(D216*1000)/$K$3, 0)</f>
        <v>0</v>
      </c>
      <c r="K216" s="43">
        <f t="shared" si="47"/>
        <v>0</v>
      </c>
      <c r="L216" s="43">
        <f t="shared" si="48"/>
        <v>0</v>
      </c>
      <c r="M216" s="180">
        <f t="shared" si="43"/>
        <v>0</v>
      </c>
      <c r="N216" s="43">
        <f t="shared" si="49"/>
        <v>1200</v>
      </c>
      <c r="O216" s="128">
        <f t="shared" si="44"/>
        <v>4.32</v>
      </c>
      <c r="P216" s="181">
        <f t="shared" si="50"/>
        <v>4.32</v>
      </c>
      <c r="Q216" s="209">
        <f>IF( 'Organized Input Output'!$AF$9 = "y", P216 / ($Q$3 * $Q$4), 0)</f>
        <v>0</v>
      </c>
      <c r="R216" s="209">
        <f t="shared" si="51"/>
        <v>0</v>
      </c>
      <c r="S216" s="43">
        <f>IF( 'Organized Input Output'!$AF$9 = "y", IF(R216= 0, 1, 0), 0)</f>
        <v>0</v>
      </c>
      <c r="T216" s="209">
        <f t="shared" si="53"/>
        <v>0</v>
      </c>
      <c r="U216" s="43">
        <f>IF( 'Organized Input Output'!$AF$9 = "y", IF(T216= 0, 1, 0), 0)</f>
        <v>0</v>
      </c>
      <c r="V216" s="43">
        <f t="shared" si="45"/>
        <v>0</v>
      </c>
      <c r="W216" s="43">
        <f t="shared" si="52"/>
        <v>0</v>
      </c>
      <c r="X216" s="43">
        <f t="shared" si="54"/>
        <v>0</v>
      </c>
      <c r="Y216" s="43">
        <f t="shared" si="55"/>
        <v>0</v>
      </c>
    </row>
    <row r="217" spans="1:25" ht="15" customHeight="1">
      <c r="A217" s="43">
        <v>207</v>
      </c>
      <c r="B217" s="176">
        <v>0</v>
      </c>
      <c r="C217" s="126">
        <f>'Studio Rain System'!J229</f>
        <v>0</v>
      </c>
      <c r="D217" s="104">
        <f>'Studio Rain System'!K229</f>
        <v>0</v>
      </c>
      <c r="E217" s="104">
        <f>'Studio Rain System'!L229</f>
        <v>18.424999999999997</v>
      </c>
      <c r="F217" s="104">
        <f>'Studio Rain System'!M229</f>
        <v>0.745</v>
      </c>
      <c r="G217" s="177">
        <v>125600</v>
      </c>
      <c r="H217" s="178">
        <f t="shared" si="42"/>
        <v>0</v>
      </c>
      <c r="I217" s="128">
        <f t="shared" si="46"/>
        <v>0</v>
      </c>
      <c r="J217" s="193">
        <f>IF( 'Organized Input Output'!$AD$5= "y", $K$4*(D217*1000)/$K$3, 0)</f>
        <v>0</v>
      </c>
      <c r="K217" s="43">
        <f t="shared" si="47"/>
        <v>0</v>
      </c>
      <c r="L217" s="43">
        <f t="shared" si="48"/>
        <v>0</v>
      </c>
      <c r="M217" s="180">
        <f t="shared" si="43"/>
        <v>0</v>
      </c>
      <c r="N217" s="43">
        <f t="shared" si="49"/>
        <v>1200</v>
      </c>
      <c r="O217" s="128">
        <f t="shared" si="44"/>
        <v>4.32</v>
      </c>
      <c r="P217" s="181">
        <f t="shared" si="50"/>
        <v>4.32</v>
      </c>
      <c r="Q217" s="209">
        <f>IF( 'Organized Input Output'!$AF$9 = "y", P217 / ($Q$3 * $Q$4), 0)</f>
        <v>0</v>
      </c>
      <c r="R217" s="209">
        <f t="shared" si="51"/>
        <v>0</v>
      </c>
      <c r="S217" s="43">
        <f>IF( 'Organized Input Output'!$AF$9 = "y", IF(R217= 0, 1, 0), 0)</f>
        <v>0</v>
      </c>
      <c r="T217" s="209">
        <f t="shared" si="53"/>
        <v>0</v>
      </c>
      <c r="U217" s="43">
        <f>IF( 'Organized Input Output'!$AF$9 = "y", IF(T217= 0, 1, 0), 0)</f>
        <v>0</v>
      </c>
      <c r="V217" s="43">
        <f t="shared" si="45"/>
        <v>0</v>
      </c>
      <c r="W217" s="43">
        <f t="shared" si="52"/>
        <v>0</v>
      </c>
      <c r="X217" s="43">
        <f t="shared" si="54"/>
        <v>0</v>
      </c>
      <c r="Y217" s="43">
        <f t="shared" si="55"/>
        <v>0</v>
      </c>
    </row>
    <row r="218" spans="1:25" ht="15" customHeight="1">
      <c r="A218" s="43">
        <v>208</v>
      </c>
      <c r="B218" s="176">
        <v>0</v>
      </c>
      <c r="C218" s="126">
        <f>'Studio Rain System'!J230</f>
        <v>0</v>
      </c>
      <c r="D218" s="104">
        <f>'Studio Rain System'!K230</f>
        <v>0</v>
      </c>
      <c r="E218" s="104">
        <f>'Studio Rain System'!L230</f>
        <v>17.679999999999996</v>
      </c>
      <c r="F218" s="104">
        <f>'Studio Rain System'!M230</f>
        <v>0.745</v>
      </c>
      <c r="G218" s="177">
        <v>125600</v>
      </c>
      <c r="H218" s="178">
        <f t="shared" si="42"/>
        <v>0</v>
      </c>
      <c r="I218" s="128">
        <f t="shared" si="46"/>
        <v>0</v>
      </c>
      <c r="J218" s="193">
        <f>IF( 'Organized Input Output'!$AD$5= "y", $K$4*(D218*1000)/$K$3, 0)</f>
        <v>0</v>
      </c>
      <c r="K218" s="43">
        <f t="shared" si="47"/>
        <v>0</v>
      </c>
      <c r="L218" s="43">
        <f t="shared" si="48"/>
        <v>0</v>
      </c>
      <c r="M218" s="180">
        <f t="shared" si="43"/>
        <v>0</v>
      </c>
      <c r="N218" s="43">
        <f t="shared" si="49"/>
        <v>1200</v>
      </c>
      <c r="O218" s="128">
        <f t="shared" si="44"/>
        <v>4.32</v>
      </c>
      <c r="P218" s="181">
        <f t="shared" si="50"/>
        <v>4.32</v>
      </c>
      <c r="Q218" s="209">
        <f>IF( 'Organized Input Output'!$AF$9 = "y", P218 / ($Q$3 * $Q$4), 0)</f>
        <v>0</v>
      </c>
      <c r="R218" s="209">
        <f t="shared" si="51"/>
        <v>0</v>
      </c>
      <c r="S218" s="43">
        <f>IF( 'Organized Input Output'!$AF$9 = "y", IF(R218= 0, 1, 0), 0)</f>
        <v>0</v>
      </c>
      <c r="T218" s="209">
        <f t="shared" si="53"/>
        <v>0</v>
      </c>
      <c r="U218" s="43">
        <f>IF( 'Organized Input Output'!$AF$9 = "y", IF(T218= 0, 1, 0), 0)</f>
        <v>0</v>
      </c>
      <c r="V218" s="43">
        <f t="shared" si="45"/>
        <v>0</v>
      </c>
      <c r="W218" s="43">
        <f t="shared" si="52"/>
        <v>0</v>
      </c>
      <c r="X218" s="43">
        <f t="shared" si="54"/>
        <v>0</v>
      </c>
      <c r="Y218" s="43">
        <f t="shared" si="55"/>
        <v>0</v>
      </c>
    </row>
    <row r="219" spans="1:25" ht="15" customHeight="1">
      <c r="A219" s="43">
        <v>209</v>
      </c>
      <c r="B219" s="176">
        <v>0</v>
      </c>
      <c r="C219" s="126">
        <f>'Studio Rain System'!J231</f>
        <v>0</v>
      </c>
      <c r="D219" s="104">
        <f>'Studio Rain System'!K231</f>
        <v>0</v>
      </c>
      <c r="E219" s="104">
        <f>'Studio Rain System'!L231</f>
        <v>16.934999999999995</v>
      </c>
      <c r="F219" s="104">
        <f>'Studio Rain System'!M231</f>
        <v>0.745</v>
      </c>
      <c r="G219" s="177">
        <v>125600</v>
      </c>
      <c r="H219" s="178">
        <f t="shared" si="42"/>
        <v>0</v>
      </c>
      <c r="I219" s="128">
        <f t="shared" si="46"/>
        <v>0</v>
      </c>
      <c r="J219" s="193">
        <f>IF( 'Organized Input Output'!$AD$5= "y", $K$4*(D219*1000)/$K$3, 0)</f>
        <v>0</v>
      </c>
      <c r="K219" s="43">
        <f t="shared" si="47"/>
        <v>0</v>
      </c>
      <c r="L219" s="43">
        <f t="shared" si="48"/>
        <v>0</v>
      </c>
      <c r="M219" s="180">
        <f t="shared" si="43"/>
        <v>0</v>
      </c>
      <c r="N219" s="43">
        <f t="shared" si="49"/>
        <v>1200</v>
      </c>
      <c r="O219" s="128">
        <f t="shared" si="44"/>
        <v>4.32</v>
      </c>
      <c r="P219" s="181">
        <f t="shared" si="50"/>
        <v>4.32</v>
      </c>
      <c r="Q219" s="209">
        <f>IF( 'Organized Input Output'!$AF$9 = "y", P219 / ($Q$3 * $Q$4), 0)</f>
        <v>0</v>
      </c>
      <c r="R219" s="209">
        <f t="shared" si="51"/>
        <v>0</v>
      </c>
      <c r="S219" s="43">
        <f>IF( 'Organized Input Output'!$AF$9 = "y", IF(R219= 0, 1, 0), 0)</f>
        <v>0</v>
      </c>
      <c r="T219" s="209">
        <f t="shared" si="53"/>
        <v>0</v>
      </c>
      <c r="U219" s="43">
        <f>IF( 'Organized Input Output'!$AF$9 = "y", IF(T219= 0, 1, 0), 0)</f>
        <v>0</v>
      </c>
      <c r="V219" s="43">
        <f t="shared" si="45"/>
        <v>0</v>
      </c>
      <c r="W219" s="43">
        <f t="shared" si="52"/>
        <v>0</v>
      </c>
      <c r="X219" s="43">
        <f t="shared" si="54"/>
        <v>0</v>
      </c>
      <c r="Y219" s="43">
        <f t="shared" si="55"/>
        <v>0</v>
      </c>
    </row>
    <row r="220" spans="1:25" ht="15" customHeight="1">
      <c r="A220" s="43">
        <v>210</v>
      </c>
      <c r="B220" s="176">
        <v>0</v>
      </c>
      <c r="C220" s="126">
        <f>'Studio Rain System'!J232</f>
        <v>0</v>
      </c>
      <c r="D220" s="104">
        <f>'Studio Rain System'!K232</f>
        <v>0</v>
      </c>
      <c r="E220" s="104">
        <f>'Studio Rain System'!L232</f>
        <v>16.189999999999994</v>
      </c>
      <c r="F220" s="104">
        <f>'Studio Rain System'!M232</f>
        <v>0.745</v>
      </c>
      <c r="G220" s="177">
        <v>125600</v>
      </c>
      <c r="H220" s="178">
        <f t="shared" si="42"/>
        <v>0</v>
      </c>
      <c r="I220" s="128">
        <f t="shared" si="46"/>
        <v>0</v>
      </c>
      <c r="J220" s="193">
        <f>IF( 'Organized Input Output'!$AD$5= "y", $K$4*(D220*1000)/$K$3, 0)</f>
        <v>0</v>
      </c>
      <c r="K220" s="43">
        <f t="shared" si="47"/>
        <v>0</v>
      </c>
      <c r="L220" s="43">
        <f t="shared" si="48"/>
        <v>0</v>
      </c>
      <c r="M220" s="180">
        <f t="shared" si="43"/>
        <v>0</v>
      </c>
      <c r="N220" s="43">
        <f t="shared" si="49"/>
        <v>1200</v>
      </c>
      <c r="O220" s="128">
        <f t="shared" si="44"/>
        <v>4.32</v>
      </c>
      <c r="P220" s="181">
        <f t="shared" si="50"/>
        <v>4.32</v>
      </c>
      <c r="Q220" s="209">
        <f>IF( 'Organized Input Output'!$AF$9 = "y", P220 / ($Q$3 * $Q$4), 0)</f>
        <v>0</v>
      </c>
      <c r="R220" s="209">
        <f t="shared" si="51"/>
        <v>0</v>
      </c>
      <c r="S220" s="43">
        <f>IF( 'Organized Input Output'!$AF$9 = "y", IF(R220= 0, 1, 0), 0)</f>
        <v>0</v>
      </c>
      <c r="T220" s="209">
        <f t="shared" si="53"/>
        <v>0</v>
      </c>
      <c r="U220" s="43">
        <f>IF( 'Organized Input Output'!$AF$9 = "y", IF(T220= 0, 1, 0), 0)</f>
        <v>0</v>
      </c>
      <c r="V220" s="43">
        <f t="shared" si="45"/>
        <v>0</v>
      </c>
      <c r="W220" s="43">
        <f t="shared" si="52"/>
        <v>0</v>
      </c>
      <c r="X220" s="43">
        <f t="shared" si="54"/>
        <v>0</v>
      </c>
      <c r="Y220" s="43">
        <f t="shared" si="55"/>
        <v>0</v>
      </c>
    </row>
    <row r="221" spans="1:25" ht="15" customHeight="1">
      <c r="A221" s="43">
        <v>211</v>
      </c>
      <c r="B221" s="176">
        <v>0</v>
      </c>
      <c r="C221" s="126">
        <f>'Studio Rain System'!J233</f>
        <v>0</v>
      </c>
      <c r="D221" s="104">
        <f>'Studio Rain System'!K233</f>
        <v>0</v>
      </c>
      <c r="E221" s="104">
        <f>'Studio Rain System'!L233</f>
        <v>15.444999999999995</v>
      </c>
      <c r="F221" s="104">
        <f>'Studio Rain System'!M233</f>
        <v>0.745</v>
      </c>
      <c r="G221" s="177">
        <v>125600</v>
      </c>
      <c r="H221" s="178">
        <f t="shared" si="42"/>
        <v>0</v>
      </c>
      <c r="I221" s="128">
        <f t="shared" si="46"/>
        <v>0</v>
      </c>
      <c r="J221" s="193">
        <f>IF( 'Organized Input Output'!$AD$5= "y", $K$4*(D221*1000)/$K$3, 0)</f>
        <v>0</v>
      </c>
      <c r="K221" s="43">
        <f t="shared" si="47"/>
        <v>0</v>
      </c>
      <c r="L221" s="43">
        <f t="shared" si="48"/>
        <v>0</v>
      </c>
      <c r="M221" s="180">
        <f t="shared" si="43"/>
        <v>0</v>
      </c>
      <c r="N221" s="43">
        <f t="shared" si="49"/>
        <v>1200</v>
      </c>
      <c r="O221" s="128">
        <f t="shared" si="44"/>
        <v>4.32</v>
      </c>
      <c r="P221" s="181">
        <f t="shared" si="50"/>
        <v>4.32</v>
      </c>
      <c r="Q221" s="209">
        <f>IF( 'Organized Input Output'!$AF$9 = "y", P221 / ($Q$3 * $Q$4), 0)</f>
        <v>0</v>
      </c>
      <c r="R221" s="209">
        <f t="shared" si="51"/>
        <v>0</v>
      </c>
      <c r="S221" s="43">
        <f>IF( 'Organized Input Output'!$AF$9 = "y", IF(R221= 0, 1, 0), 0)</f>
        <v>0</v>
      </c>
      <c r="T221" s="209">
        <f t="shared" si="53"/>
        <v>0</v>
      </c>
      <c r="U221" s="43">
        <f>IF( 'Organized Input Output'!$AF$9 = "y", IF(T221= 0, 1, 0), 0)</f>
        <v>0</v>
      </c>
      <c r="V221" s="43">
        <f t="shared" si="45"/>
        <v>0</v>
      </c>
      <c r="W221" s="43">
        <f t="shared" si="52"/>
        <v>0</v>
      </c>
      <c r="X221" s="43">
        <f t="shared" si="54"/>
        <v>0</v>
      </c>
      <c r="Y221" s="43">
        <f t="shared" si="55"/>
        <v>0</v>
      </c>
    </row>
    <row r="222" spans="1:25" ht="15" customHeight="1">
      <c r="A222" s="43">
        <v>212</v>
      </c>
      <c r="B222" s="176">
        <v>5.4</v>
      </c>
      <c r="C222" s="126">
        <f>'Studio Rain System'!J234</f>
        <v>0</v>
      </c>
      <c r="D222" s="104">
        <f>'Studio Rain System'!K234</f>
        <v>0</v>
      </c>
      <c r="E222" s="104">
        <f>'Studio Rain System'!L234</f>
        <v>14.699999999999996</v>
      </c>
      <c r="F222" s="104">
        <f>'Studio Rain System'!M234</f>
        <v>0.745</v>
      </c>
      <c r="G222" s="177">
        <v>125600</v>
      </c>
      <c r="H222" s="178">
        <f t="shared" si="42"/>
        <v>0</v>
      </c>
      <c r="I222" s="128">
        <f t="shared" si="46"/>
        <v>0</v>
      </c>
      <c r="J222" s="193">
        <f>IF( 'Organized Input Output'!$AD$5= "y", $K$4*(D222*1000)/$K$3, 0)</f>
        <v>0</v>
      </c>
      <c r="K222" s="43">
        <f t="shared" si="47"/>
        <v>0</v>
      </c>
      <c r="L222" s="43">
        <f t="shared" si="48"/>
        <v>0</v>
      </c>
      <c r="M222" s="180">
        <f t="shared" si="43"/>
        <v>0</v>
      </c>
      <c r="N222" s="43">
        <f t="shared" si="49"/>
        <v>1200</v>
      </c>
      <c r="O222" s="128">
        <f t="shared" si="44"/>
        <v>4.32</v>
      </c>
      <c r="P222" s="181">
        <f t="shared" si="50"/>
        <v>4.32</v>
      </c>
      <c r="Q222" s="209">
        <f>IF( 'Organized Input Output'!$AF$9 = "y", P222 / ($Q$3 * $Q$4), 0)</f>
        <v>0</v>
      </c>
      <c r="R222" s="209">
        <f t="shared" si="51"/>
        <v>0</v>
      </c>
      <c r="S222" s="43">
        <f>IF( 'Organized Input Output'!$AF$9 = "y", IF(R222= 0, 1, 0), 0)</f>
        <v>0</v>
      </c>
      <c r="T222" s="209">
        <f t="shared" si="53"/>
        <v>0</v>
      </c>
      <c r="U222" s="43">
        <f>IF( 'Organized Input Output'!$AF$9 = "y", IF(T222= 0, 1, 0), 0)</f>
        <v>0</v>
      </c>
      <c r="V222" s="43">
        <f t="shared" si="45"/>
        <v>0</v>
      </c>
      <c r="W222" s="43">
        <f t="shared" si="52"/>
        <v>0</v>
      </c>
      <c r="X222" s="43">
        <f t="shared" si="54"/>
        <v>0</v>
      </c>
      <c r="Y222" s="43">
        <f t="shared" si="55"/>
        <v>0</v>
      </c>
    </row>
    <row r="223" spans="1:25" ht="15" customHeight="1">
      <c r="A223" s="43">
        <v>213</v>
      </c>
      <c r="B223" s="176">
        <v>0.4</v>
      </c>
      <c r="C223" s="126">
        <f>'Studio Rain System'!J235</f>
        <v>0</v>
      </c>
      <c r="D223" s="104">
        <f>'Studio Rain System'!K235</f>
        <v>0</v>
      </c>
      <c r="E223" s="104">
        <f>'Studio Rain System'!L235</f>
        <v>13.954999999999997</v>
      </c>
      <c r="F223" s="104">
        <f>'Studio Rain System'!M235</f>
        <v>0.745</v>
      </c>
      <c r="G223" s="177">
        <v>125600</v>
      </c>
      <c r="H223" s="178">
        <f t="shared" si="42"/>
        <v>0</v>
      </c>
      <c r="I223" s="128">
        <f t="shared" si="46"/>
        <v>0</v>
      </c>
      <c r="J223" s="193">
        <f>IF( 'Organized Input Output'!$AD$5= "y", $K$4*(D223*1000)/$K$3, 0)</f>
        <v>0</v>
      </c>
      <c r="K223" s="43">
        <f t="shared" si="47"/>
        <v>0</v>
      </c>
      <c r="L223" s="43">
        <f t="shared" si="48"/>
        <v>0</v>
      </c>
      <c r="M223" s="180">
        <f t="shared" si="43"/>
        <v>0</v>
      </c>
      <c r="N223" s="43">
        <f t="shared" si="49"/>
        <v>1200</v>
      </c>
      <c r="O223" s="128">
        <f t="shared" si="44"/>
        <v>4.32</v>
      </c>
      <c r="P223" s="181">
        <f t="shared" si="50"/>
        <v>4.32</v>
      </c>
      <c r="Q223" s="209">
        <f>IF( 'Organized Input Output'!$AF$9 = "y", P223 / ($Q$3 * $Q$4), 0)</f>
        <v>0</v>
      </c>
      <c r="R223" s="209">
        <f t="shared" si="51"/>
        <v>0</v>
      </c>
      <c r="S223" s="43">
        <f>IF( 'Organized Input Output'!$AF$9 = "y", IF(R223= 0, 1, 0), 0)</f>
        <v>0</v>
      </c>
      <c r="T223" s="209">
        <f t="shared" si="53"/>
        <v>0</v>
      </c>
      <c r="U223" s="43">
        <f>IF( 'Organized Input Output'!$AF$9 = "y", IF(T223= 0, 1, 0), 0)</f>
        <v>0</v>
      </c>
      <c r="V223" s="43">
        <f t="shared" si="45"/>
        <v>0</v>
      </c>
      <c r="W223" s="43">
        <f t="shared" si="52"/>
        <v>0</v>
      </c>
      <c r="X223" s="43">
        <f t="shared" si="54"/>
        <v>0</v>
      </c>
      <c r="Y223" s="43">
        <f t="shared" si="55"/>
        <v>0</v>
      </c>
    </row>
    <row r="224" spans="1:25" ht="15" customHeight="1">
      <c r="A224" s="43">
        <v>214</v>
      </c>
      <c r="B224" s="176">
        <v>0</v>
      </c>
      <c r="C224" s="126">
        <f>'Studio Rain System'!J236</f>
        <v>0</v>
      </c>
      <c r="D224" s="104">
        <f>'Studio Rain System'!K236</f>
        <v>0</v>
      </c>
      <c r="E224" s="104">
        <f>'Studio Rain System'!L236</f>
        <v>13.209999999999997</v>
      </c>
      <c r="F224" s="104">
        <f>'Studio Rain System'!M236</f>
        <v>0.745</v>
      </c>
      <c r="G224" s="177">
        <v>125600</v>
      </c>
      <c r="H224" s="178">
        <f t="shared" si="42"/>
        <v>0</v>
      </c>
      <c r="I224" s="128">
        <f t="shared" si="46"/>
        <v>0</v>
      </c>
      <c r="J224" s="193">
        <f>IF( 'Organized Input Output'!$AD$5= "y", $K$4*(D224*1000)/$K$3, 0)</f>
        <v>0</v>
      </c>
      <c r="K224" s="43">
        <f t="shared" si="47"/>
        <v>0</v>
      </c>
      <c r="L224" s="43">
        <f t="shared" si="48"/>
        <v>0</v>
      </c>
      <c r="M224" s="180">
        <f t="shared" si="43"/>
        <v>0</v>
      </c>
      <c r="N224" s="43">
        <f t="shared" si="49"/>
        <v>1200</v>
      </c>
      <c r="O224" s="128">
        <f t="shared" si="44"/>
        <v>4.32</v>
      </c>
      <c r="P224" s="181">
        <f t="shared" si="50"/>
        <v>4.32</v>
      </c>
      <c r="Q224" s="209">
        <f>IF( 'Organized Input Output'!$AF$9 = "y", P224 / ($Q$3 * $Q$4), 0)</f>
        <v>0</v>
      </c>
      <c r="R224" s="209">
        <f t="shared" si="51"/>
        <v>0</v>
      </c>
      <c r="S224" s="43">
        <f>IF( 'Organized Input Output'!$AF$9 = "y", IF(R224= 0, 1, 0), 0)</f>
        <v>0</v>
      </c>
      <c r="T224" s="209">
        <f t="shared" si="53"/>
        <v>0</v>
      </c>
      <c r="U224" s="43">
        <f>IF( 'Organized Input Output'!$AF$9 = "y", IF(T224= 0, 1, 0), 0)</f>
        <v>0</v>
      </c>
      <c r="V224" s="43">
        <f t="shared" si="45"/>
        <v>0</v>
      </c>
      <c r="W224" s="43">
        <f t="shared" si="52"/>
        <v>0</v>
      </c>
      <c r="X224" s="43">
        <f t="shared" si="54"/>
        <v>0</v>
      </c>
      <c r="Y224" s="43">
        <f t="shared" si="55"/>
        <v>0</v>
      </c>
    </row>
    <row r="225" spans="1:25" ht="15" customHeight="1">
      <c r="A225" s="43">
        <v>215</v>
      </c>
      <c r="B225" s="176">
        <v>0</v>
      </c>
      <c r="C225" s="126">
        <f>'Studio Rain System'!J237</f>
        <v>0</v>
      </c>
      <c r="D225" s="104">
        <f>'Studio Rain System'!K237</f>
        <v>0</v>
      </c>
      <c r="E225" s="104">
        <f>'Studio Rain System'!L237</f>
        <v>12.464999999999998</v>
      </c>
      <c r="F225" s="104">
        <f>'Studio Rain System'!M237</f>
        <v>0.745</v>
      </c>
      <c r="G225" s="177">
        <v>125600</v>
      </c>
      <c r="H225" s="178">
        <f t="shared" si="42"/>
        <v>0</v>
      </c>
      <c r="I225" s="128">
        <f t="shared" si="46"/>
        <v>0</v>
      </c>
      <c r="J225" s="193">
        <f>IF( 'Organized Input Output'!$AD$5= "y", $K$4*(D225*1000)/$K$3, 0)</f>
        <v>0</v>
      </c>
      <c r="K225" s="43">
        <f t="shared" si="47"/>
        <v>0</v>
      </c>
      <c r="L225" s="43">
        <f t="shared" si="48"/>
        <v>0</v>
      </c>
      <c r="M225" s="180">
        <f t="shared" si="43"/>
        <v>0</v>
      </c>
      <c r="N225" s="43">
        <f t="shared" si="49"/>
        <v>1200</v>
      </c>
      <c r="O225" s="128">
        <f t="shared" si="44"/>
        <v>4.32</v>
      </c>
      <c r="P225" s="181">
        <f t="shared" si="50"/>
        <v>4.32</v>
      </c>
      <c r="Q225" s="209">
        <f>IF( 'Organized Input Output'!$AF$9 = "y", P225 / ($Q$3 * $Q$4), 0)</f>
        <v>0</v>
      </c>
      <c r="R225" s="209">
        <f t="shared" si="51"/>
        <v>0</v>
      </c>
      <c r="S225" s="43">
        <f>IF( 'Organized Input Output'!$AF$9 = "y", IF(R225= 0, 1, 0), 0)</f>
        <v>0</v>
      </c>
      <c r="T225" s="209">
        <f t="shared" si="53"/>
        <v>0</v>
      </c>
      <c r="U225" s="43">
        <f>IF( 'Organized Input Output'!$AF$9 = "y", IF(T225= 0, 1, 0), 0)</f>
        <v>0</v>
      </c>
      <c r="V225" s="43">
        <f t="shared" si="45"/>
        <v>0</v>
      </c>
      <c r="W225" s="43">
        <f t="shared" si="52"/>
        <v>0</v>
      </c>
      <c r="X225" s="43">
        <f t="shared" si="54"/>
        <v>0</v>
      </c>
      <c r="Y225" s="43">
        <f t="shared" si="55"/>
        <v>0</v>
      </c>
    </row>
    <row r="226" spans="1:25" ht="15" customHeight="1">
      <c r="A226" s="43">
        <v>216</v>
      </c>
      <c r="B226" s="176">
        <v>0</v>
      </c>
      <c r="C226" s="126">
        <f>'Studio Rain System'!J238</f>
        <v>0</v>
      </c>
      <c r="D226" s="104">
        <f>'Studio Rain System'!K238</f>
        <v>0</v>
      </c>
      <c r="E226" s="104">
        <f>'Studio Rain System'!L238</f>
        <v>11.719999999999999</v>
      </c>
      <c r="F226" s="104">
        <f>'Studio Rain System'!M238</f>
        <v>0.745</v>
      </c>
      <c r="G226" s="177">
        <v>125600</v>
      </c>
      <c r="H226" s="178">
        <f t="shared" si="42"/>
        <v>0</v>
      </c>
      <c r="I226" s="128">
        <f t="shared" si="46"/>
        <v>0</v>
      </c>
      <c r="J226" s="193">
        <f>IF( 'Organized Input Output'!$AD$5= "y", $K$4*(D226*1000)/$K$3, 0)</f>
        <v>0</v>
      </c>
      <c r="K226" s="43">
        <f t="shared" si="47"/>
        <v>0</v>
      </c>
      <c r="L226" s="43">
        <f t="shared" si="48"/>
        <v>0</v>
      </c>
      <c r="M226" s="180">
        <f t="shared" si="43"/>
        <v>0</v>
      </c>
      <c r="N226" s="43">
        <f t="shared" si="49"/>
        <v>1200</v>
      </c>
      <c r="O226" s="128">
        <f t="shared" si="44"/>
        <v>4.32</v>
      </c>
      <c r="P226" s="181">
        <f t="shared" si="50"/>
        <v>4.32</v>
      </c>
      <c r="Q226" s="209">
        <f>IF( 'Organized Input Output'!$AF$9 = "y", P226 / ($Q$3 * $Q$4), 0)</f>
        <v>0</v>
      </c>
      <c r="R226" s="209">
        <f t="shared" si="51"/>
        <v>0</v>
      </c>
      <c r="S226" s="43">
        <f>IF( 'Organized Input Output'!$AF$9 = "y", IF(R226= 0, 1, 0), 0)</f>
        <v>0</v>
      </c>
      <c r="T226" s="209">
        <f t="shared" si="53"/>
        <v>0</v>
      </c>
      <c r="U226" s="43">
        <f>IF( 'Organized Input Output'!$AF$9 = "y", IF(T226= 0, 1, 0), 0)</f>
        <v>0</v>
      </c>
      <c r="V226" s="43">
        <f t="shared" si="45"/>
        <v>0</v>
      </c>
      <c r="W226" s="43">
        <f t="shared" si="52"/>
        <v>0</v>
      </c>
      <c r="X226" s="43">
        <f t="shared" si="54"/>
        <v>0</v>
      </c>
      <c r="Y226" s="43">
        <f t="shared" si="55"/>
        <v>0</v>
      </c>
    </row>
    <row r="227" spans="1:25" ht="15" customHeight="1">
      <c r="A227" s="43">
        <v>217</v>
      </c>
      <c r="B227" s="176">
        <v>0</v>
      </c>
      <c r="C227" s="126">
        <f>'Studio Rain System'!J239</f>
        <v>0</v>
      </c>
      <c r="D227" s="104">
        <f>'Studio Rain System'!K239</f>
        <v>0</v>
      </c>
      <c r="E227" s="104">
        <f>'Studio Rain System'!L239</f>
        <v>10.975</v>
      </c>
      <c r="F227" s="104">
        <f>'Studio Rain System'!M239</f>
        <v>0.745</v>
      </c>
      <c r="G227" s="177">
        <v>125600</v>
      </c>
      <c r="H227" s="178">
        <f t="shared" si="42"/>
        <v>0</v>
      </c>
      <c r="I227" s="128">
        <f t="shared" si="46"/>
        <v>0</v>
      </c>
      <c r="J227" s="193">
        <f>IF( 'Organized Input Output'!$AD$5= "y", $K$4*(D227*1000)/$K$3, 0)</f>
        <v>0</v>
      </c>
      <c r="K227" s="43">
        <f t="shared" si="47"/>
        <v>0</v>
      </c>
      <c r="L227" s="43">
        <f t="shared" si="48"/>
        <v>0</v>
      </c>
      <c r="M227" s="180">
        <f t="shared" si="43"/>
        <v>0</v>
      </c>
      <c r="N227" s="43">
        <f t="shared" si="49"/>
        <v>1200</v>
      </c>
      <c r="O227" s="128">
        <f t="shared" si="44"/>
        <v>4.32</v>
      </c>
      <c r="P227" s="181">
        <f t="shared" si="50"/>
        <v>4.32</v>
      </c>
      <c r="Q227" s="209">
        <f>IF( 'Organized Input Output'!$AF$9 = "y", P227 / ($Q$3 * $Q$4), 0)</f>
        <v>0</v>
      </c>
      <c r="R227" s="209">
        <f t="shared" si="51"/>
        <v>0</v>
      </c>
      <c r="S227" s="43">
        <f>IF( 'Organized Input Output'!$AF$9 = "y", IF(R227= 0, 1, 0), 0)</f>
        <v>0</v>
      </c>
      <c r="T227" s="209">
        <f t="shared" si="53"/>
        <v>0</v>
      </c>
      <c r="U227" s="43">
        <f>IF( 'Organized Input Output'!$AF$9 = "y", IF(T227= 0, 1, 0), 0)</f>
        <v>0</v>
      </c>
      <c r="V227" s="43">
        <f t="shared" si="45"/>
        <v>0</v>
      </c>
      <c r="W227" s="43">
        <f t="shared" si="52"/>
        <v>0</v>
      </c>
      <c r="X227" s="43">
        <f t="shared" si="54"/>
        <v>0</v>
      </c>
      <c r="Y227" s="43">
        <f t="shared" si="55"/>
        <v>0</v>
      </c>
    </row>
    <row r="228" spans="1:25" ht="15" customHeight="1">
      <c r="A228" s="43">
        <v>218</v>
      </c>
      <c r="B228" s="176">
        <v>0</v>
      </c>
      <c r="C228" s="126">
        <f>'Studio Rain System'!J240</f>
        <v>0</v>
      </c>
      <c r="D228" s="104">
        <f>'Studio Rain System'!K240</f>
        <v>0</v>
      </c>
      <c r="E228" s="104">
        <f>'Studio Rain System'!L240</f>
        <v>10.23</v>
      </c>
      <c r="F228" s="104">
        <f>'Studio Rain System'!M240</f>
        <v>0.745</v>
      </c>
      <c r="G228" s="177">
        <v>125600</v>
      </c>
      <c r="H228" s="178">
        <f t="shared" si="42"/>
        <v>0</v>
      </c>
      <c r="I228" s="128">
        <f t="shared" si="46"/>
        <v>0</v>
      </c>
      <c r="J228" s="193">
        <f>IF( 'Organized Input Output'!$AD$5= "y", $K$4*(D228*1000)/$K$3, 0)</f>
        <v>0</v>
      </c>
      <c r="K228" s="43">
        <f t="shared" si="47"/>
        <v>0</v>
      </c>
      <c r="L228" s="43">
        <f t="shared" si="48"/>
        <v>0</v>
      </c>
      <c r="M228" s="180">
        <f t="shared" si="43"/>
        <v>0</v>
      </c>
      <c r="N228" s="43">
        <f t="shared" si="49"/>
        <v>1200</v>
      </c>
      <c r="O228" s="128">
        <f t="shared" si="44"/>
        <v>4.32</v>
      </c>
      <c r="P228" s="181">
        <f t="shared" si="50"/>
        <v>4.32</v>
      </c>
      <c r="Q228" s="209">
        <f>IF( 'Organized Input Output'!$AF$9 = "y", P228 / ($Q$3 * $Q$4), 0)</f>
        <v>0</v>
      </c>
      <c r="R228" s="209">
        <f t="shared" si="51"/>
        <v>0</v>
      </c>
      <c r="S228" s="43">
        <f>IF( 'Organized Input Output'!$AF$9 = "y", IF(R228= 0, 1, 0), 0)</f>
        <v>0</v>
      </c>
      <c r="T228" s="209">
        <f t="shared" si="53"/>
        <v>0</v>
      </c>
      <c r="U228" s="43">
        <f>IF( 'Organized Input Output'!$AF$9 = "y", IF(T228= 0, 1, 0), 0)</f>
        <v>0</v>
      </c>
      <c r="V228" s="43">
        <f t="shared" si="45"/>
        <v>0</v>
      </c>
      <c r="W228" s="43">
        <f t="shared" si="52"/>
        <v>0</v>
      </c>
      <c r="X228" s="43">
        <f t="shared" si="54"/>
        <v>0</v>
      </c>
      <c r="Y228" s="43">
        <f t="shared" si="55"/>
        <v>0</v>
      </c>
    </row>
    <row r="229" spans="1:25" ht="15" customHeight="1">
      <c r="A229" s="43">
        <v>219</v>
      </c>
      <c r="B229" s="176">
        <v>0</v>
      </c>
      <c r="C229" s="126">
        <f>'Studio Rain System'!J241</f>
        <v>0</v>
      </c>
      <c r="D229" s="104">
        <f>'Studio Rain System'!K241</f>
        <v>0</v>
      </c>
      <c r="E229" s="104">
        <f>'Studio Rain System'!L241</f>
        <v>9.4850000000000012</v>
      </c>
      <c r="F229" s="104">
        <f>'Studio Rain System'!M241</f>
        <v>0.745</v>
      </c>
      <c r="G229" s="177">
        <v>125600</v>
      </c>
      <c r="H229" s="178">
        <f t="shared" si="42"/>
        <v>0</v>
      </c>
      <c r="I229" s="128">
        <f t="shared" si="46"/>
        <v>0</v>
      </c>
      <c r="J229" s="193">
        <f>IF( 'Organized Input Output'!$AD$5= "y", $K$4*(D229*1000)/$K$3, 0)</f>
        <v>0</v>
      </c>
      <c r="K229" s="43">
        <f t="shared" si="47"/>
        <v>0</v>
      </c>
      <c r="L229" s="43">
        <f t="shared" si="48"/>
        <v>0</v>
      </c>
      <c r="M229" s="180">
        <f t="shared" si="43"/>
        <v>0</v>
      </c>
      <c r="N229" s="43">
        <f t="shared" si="49"/>
        <v>1200</v>
      </c>
      <c r="O229" s="128">
        <f t="shared" si="44"/>
        <v>4.32</v>
      </c>
      <c r="P229" s="181">
        <f t="shared" si="50"/>
        <v>4.32</v>
      </c>
      <c r="Q229" s="209">
        <f>IF( 'Organized Input Output'!$AF$9 = "y", P229 / ($Q$3 * $Q$4), 0)</f>
        <v>0</v>
      </c>
      <c r="R229" s="209">
        <f t="shared" si="51"/>
        <v>0</v>
      </c>
      <c r="S229" s="43">
        <f>IF( 'Organized Input Output'!$AF$9 = "y", IF(R229= 0, 1, 0), 0)</f>
        <v>0</v>
      </c>
      <c r="T229" s="209">
        <f t="shared" si="53"/>
        <v>0</v>
      </c>
      <c r="U229" s="43">
        <f>IF( 'Organized Input Output'!$AF$9 = "y", IF(T229= 0, 1, 0), 0)</f>
        <v>0</v>
      </c>
      <c r="V229" s="43">
        <f t="shared" si="45"/>
        <v>0</v>
      </c>
      <c r="W229" s="43">
        <f t="shared" si="52"/>
        <v>0</v>
      </c>
      <c r="X229" s="43">
        <f t="shared" si="54"/>
        <v>0</v>
      </c>
      <c r="Y229" s="43">
        <f t="shared" si="55"/>
        <v>0</v>
      </c>
    </row>
    <row r="230" spans="1:25" ht="15" customHeight="1">
      <c r="A230" s="43">
        <v>220</v>
      </c>
      <c r="B230" s="176">
        <v>0</v>
      </c>
      <c r="C230" s="126">
        <f>'Studio Rain System'!J242</f>
        <v>0</v>
      </c>
      <c r="D230" s="104">
        <f>'Studio Rain System'!K242</f>
        <v>0</v>
      </c>
      <c r="E230" s="104">
        <f>'Studio Rain System'!L242</f>
        <v>8.740000000000002</v>
      </c>
      <c r="F230" s="104">
        <f>'Studio Rain System'!M242</f>
        <v>0.745</v>
      </c>
      <c r="G230" s="177">
        <v>125600</v>
      </c>
      <c r="H230" s="178">
        <f t="shared" si="42"/>
        <v>0</v>
      </c>
      <c r="I230" s="128">
        <f t="shared" si="46"/>
        <v>0</v>
      </c>
      <c r="J230" s="193">
        <f>IF( 'Organized Input Output'!$AD$5= "y", $K$4*(D230*1000)/$K$3, 0)</f>
        <v>0</v>
      </c>
      <c r="K230" s="43">
        <f t="shared" si="47"/>
        <v>0</v>
      </c>
      <c r="L230" s="43">
        <f t="shared" si="48"/>
        <v>0</v>
      </c>
      <c r="M230" s="180">
        <f t="shared" si="43"/>
        <v>0</v>
      </c>
      <c r="N230" s="43">
        <f t="shared" si="49"/>
        <v>1200</v>
      </c>
      <c r="O230" s="128">
        <f t="shared" si="44"/>
        <v>4.32</v>
      </c>
      <c r="P230" s="181">
        <f t="shared" si="50"/>
        <v>4.32</v>
      </c>
      <c r="Q230" s="209">
        <f>IF( 'Organized Input Output'!$AF$9 = "y", P230 / ($Q$3 * $Q$4), 0)</f>
        <v>0</v>
      </c>
      <c r="R230" s="209">
        <f t="shared" si="51"/>
        <v>0</v>
      </c>
      <c r="S230" s="43">
        <f>IF( 'Organized Input Output'!$AF$9 = "y", IF(R230= 0, 1, 0), 0)</f>
        <v>0</v>
      </c>
      <c r="T230" s="209">
        <f t="shared" si="53"/>
        <v>0</v>
      </c>
      <c r="U230" s="43">
        <f>IF( 'Organized Input Output'!$AF$9 = "y", IF(T230= 0, 1, 0), 0)</f>
        <v>0</v>
      </c>
      <c r="V230" s="43">
        <f t="shared" si="45"/>
        <v>0</v>
      </c>
      <c r="W230" s="43">
        <f t="shared" si="52"/>
        <v>0</v>
      </c>
      <c r="X230" s="43">
        <f t="shared" si="54"/>
        <v>0</v>
      </c>
      <c r="Y230" s="43">
        <f t="shared" si="55"/>
        <v>0</v>
      </c>
    </row>
    <row r="231" spans="1:25" ht="15" customHeight="1">
      <c r="A231" s="43">
        <v>221</v>
      </c>
      <c r="B231" s="176">
        <v>0</v>
      </c>
      <c r="C231" s="126">
        <f>'Studio Rain System'!J243</f>
        <v>0</v>
      </c>
      <c r="D231" s="104">
        <f>'Studio Rain System'!K243</f>
        <v>0</v>
      </c>
      <c r="E231" s="104">
        <f>'Studio Rain System'!L243</f>
        <v>7.9950000000000019</v>
      </c>
      <c r="F231" s="104">
        <f>'Studio Rain System'!M243</f>
        <v>0.745</v>
      </c>
      <c r="G231" s="177">
        <v>125600</v>
      </c>
      <c r="H231" s="178">
        <f t="shared" si="42"/>
        <v>0</v>
      </c>
      <c r="I231" s="128">
        <f t="shared" si="46"/>
        <v>0</v>
      </c>
      <c r="J231" s="193">
        <f>IF( 'Organized Input Output'!$AD$5= "y", $K$4*(D231*1000)/$K$3, 0)</f>
        <v>0</v>
      </c>
      <c r="K231" s="43">
        <f t="shared" si="47"/>
        <v>0</v>
      </c>
      <c r="L231" s="43">
        <f t="shared" si="48"/>
        <v>0</v>
      </c>
      <c r="M231" s="180">
        <f t="shared" si="43"/>
        <v>0</v>
      </c>
      <c r="N231" s="43">
        <f t="shared" si="49"/>
        <v>1200</v>
      </c>
      <c r="O231" s="128">
        <f t="shared" si="44"/>
        <v>4.32</v>
      </c>
      <c r="P231" s="181">
        <f t="shared" si="50"/>
        <v>4.32</v>
      </c>
      <c r="Q231" s="209">
        <f>IF( 'Organized Input Output'!$AF$9 = "y", P231 / ($Q$3 * $Q$4), 0)</f>
        <v>0</v>
      </c>
      <c r="R231" s="209">
        <f t="shared" si="51"/>
        <v>0</v>
      </c>
      <c r="S231" s="43">
        <f>IF( 'Organized Input Output'!$AF$9 = "y", IF(R231= 0, 1, 0), 0)</f>
        <v>0</v>
      </c>
      <c r="T231" s="209">
        <f t="shared" si="53"/>
        <v>0</v>
      </c>
      <c r="U231" s="43">
        <f>IF( 'Organized Input Output'!$AF$9 = "y", IF(T231= 0, 1, 0), 0)</f>
        <v>0</v>
      </c>
      <c r="V231" s="43">
        <f t="shared" si="45"/>
        <v>0</v>
      </c>
      <c r="W231" s="43">
        <f t="shared" si="52"/>
        <v>0</v>
      </c>
      <c r="X231" s="43">
        <f t="shared" si="54"/>
        <v>0</v>
      </c>
      <c r="Y231" s="43">
        <f t="shared" si="55"/>
        <v>0</v>
      </c>
    </row>
    <row r="232" spans="1:25" ht="15" customHeight="1">
      <c r="A232" s="43">
        <v>222</v>
      </c>
      <c r="B232" s="176">
        <v>0</v>
      </c>
      <c r="C232" s="126">
        <f>'Studio Rain System'!J244</f>
        <v>0</v>
      </c>
      <c r="D232" s="104">
        <f>'Studio Rain System'!K244</f>
        <v>0</v>
      </c>
      <c r="E232" s="104">
        <f>'Studio Rain System'!L244</f>
        <v>7.2500000000000018</v>
      </c>
      <c r="F232" s="104">
        <f>'Studio Rain System'!M244</f>
        <v>0.745</v>
      </c>
      <c r="G232" s="177">
        <v>125600</v>
      </c>
      <c r="H232" s="178">
        <f t="shared" si="42"/>
        <v>0</v>
      </c>
      <c r="I232" s="128">
        <f t="shared" si="46"/>
        <v>0</v>
      </c>
      <c r="J232" s="193">
        <f>IF( 'Organized Input Output'!$AD$5= "y", $K$4*(D232*1000)/$K$3, 0)</f>
        <v>0</v>
      </c>
      <c r="K232" s="43">
        <f t="shared" si="47"/>
        <v>0</v>
      </c>
      <c r="L232" s="43">
        <f t="shared" si="48"/>
        <v>0</v>
      </c>
      <c r="M232" s="180">
        <f t="shared" si="43"/>
        <v>0</v>
      </c>
      <c r="N232" s="43">
        <f t="shared" si="49"/>
        <v>1200</v>
      </c>
      <c r="O232" s="128">
        <f t="shared" si="44"/>
        <v>4.32</v>
      </c>
      <c r="P232" s="181">
        <f t="shared" si="50"/>
        <v>4.32</v>
      </c>
      <c r="Q232" s="209">
        <f>IF( 'Organized Input Output'!$AF$9 = "y", P232 / ($Q$3 * $Q$4), 0)</f>
        <v>0</v>
      </c>
      <c r="R232" s="209">
        <f t="shared" si="51"/>
        <v>0</v>
      </c>
      <c r="S232" s="43">
        <f>IF( 'Organized Input Output'!$AF$9 = "y", IF(R232= 0, 1, 0), 0)</f>
        <v>0</v>
      </c>
      <c r="T232" s="209">
        <f t="shared" si="53"/>
        <v>0</v>
      </c>
      <c r="U232" s="43">
        <f>IF( 'Organized Input Output'!$AF$9 = "y", IF(T232= 0, 1, 0), 0)</f>
        <v>0</v>
      </c>
      <c r="V232" s="43">
        <f t="shared" si="45"/>
        <v>0</v>
      </c>
      <c r="W232" s="43">
        <f t="shared" si="52"/>
        <v>0</v>
      </c>
      <c r="X232" s="43">
        <f t="shared" si="54"/>
        <v>0</v>
      </c>
      <c r="Y232" s="43">
        <f t="shared" si="55"/>
        <v>0</v>
      </c>
    </row>
    <row r="233" spans="1:25" ht="15" customHeight="1">
      <c r="A233" s="43">
        <v>223</v>
      </c>
      <c r="B233" s="176">
        <v>0.4</v>
      </c>
      <c r="C233" s="126">
        <f>'Studio Rain System'!J245</f>
        <v>0</v>
      </c>
      <c r="D233" s="104">
        <f>'Studio Rain System'!K245</f>
        <v>0</v>
      </c>
      <c r="E233" s="104">
        <f>'Studio Rain System'!L245</f>
        <v>6.5050000000000017</v>
      </c>
      <c r="F233" s="104">
        <f>'Studio Rain System'!M245</f>
        <v>0.745</v>
      </c>
      <c r="G233" s="177">
        <v>125600</v>
      </c>
      <c r="H233" s="178">
        <f t="shared" si="42"/>
        <v>0</v>
      </c>
      <c r="I233" s="128">
        <f t="shared" si="46"/>
        <v>0</v>
      </c>
      <c r="J233" s="193">
        <f>IF( 'Organized Input Output'!$AD$5= "y", $K$4*(D233*1000)/$K$3, 0)</f>
        <v>0</v>
      </c>
      <c r="K233" s="43">
        <f t="shared" si="47"/>
        <v>0</v>
      </c>
      <c r="L233" s="43">
        <f t="shared" si="48"/>
        <v>0</v>
      </c>
      <c r="M233" s="180">
        <f t="shared" si="43"/>
        <v>0</v>
      </c>
      <c r="N233" s="43">
        <f t="shared" si="49"/>
        <v>1200</v>
      </c>
      <c r="O233" s="128">
        <f t="shared" si="44"/>
        <v>4.32</v>
      </c>
      <c r="P233" s="181">
        <f t="shared" si="50"/>
        <v>4.32</v>
      </c>
      <c r="Q233" s="209">
        <f>IF( 'Organized Input Output'!$AF$9 = "y", P233 / ($Q$3 * $Q$4), 0)</f>
        <v>0</v>
      </c>
      <c r="R233" s="209">
        <f t="shared" si="51"/>
        <v>0</v>
      </c>
      <c r="S233" s="43">
        <f>IF( 'Organized Input Output'!$AF$9 = "y", IF(R233= 0, 1, 0), 0)</f>
        <v>0</v>
      </c>
      <c r="T233" s="209">
        <f t="shared" si="53"/>
        <v>0</v>
      </c>
      <c r="U233" s="43">
        <f>IF( 'Organized Input Output'!$AF$9 = "y", IF(T233= 0, 1, 0), 0)</f>
        <v>0</v>
      </c>
      <c r="V233" s="43">
        <f t="shared" si="45"/>
        <v>0</v>
      </c>
      <c r="W233" s="43">
        <f t="shared" si="52"/>
        <v>0</v>
      </c>
      <c r="X233" s="43">
        <f t="shared" si="54"/>
        <v>0</v>
      </c>
      <c r="Y233" s="43">
        <f t="shared" si="55"/>
        <v>0</v>
      </c>
    </row>
    <row r="234" spans="1:25" ht="15" customHeight="1">
      <c r="A234" s="43">
        <v>224</v>
      </c>
      <c r="B234" s="176">
        <v>4.4000000000000004</v>
      </c>
      <c r="C234" s="126">
        <f>'Studio Rain System'!J246</f>
        <v>0</v>
      </c>
      <c r="D234" s="104">
        <f>'Studio Rain System'!K246</f>
        <v>0</v>
      </c>
      <c r="E234" s="104">
        <f>'Studio Rain System'!L246</f>
        <v>5.7600000000000016</v>
      </c>
      <c r="F234" s="104">
        <f>'Studio Rain System'!M246</f>
        <v>0.745</v>
      </c>
      <c r="G234" s="177">
        <v>125600</v>
      </c>
      <c r="H234" s="178">
        <f t="shared" si="42"/>
        <v>0</v>
      </c>
      <c r="I234" s="128">
        <f t="shared" si="46"/>
        <v>0</v>
      </c>
      <c r="J234" s="193">
        <f>IF( 'Organized Input Output'!$AD$5= "y", $K$4*(D234*1000)/$K$3, 0)</f>
        <v>0</v>
      </c>
      <c r="K234" s="43">
        <f t="shared" si="47"/>
        <v>0</v>
      </c>
      <c r="L234" s="43">
        <f t="shared" si="48"/>
        <v>0</v>
      </c>
      <c r="M234" s="180">
        <f t="shared" si="43"/>
        <v>0</v>
      </c>
      <c r="N234" s="43">
        <f t="shared" si="49"/>
        <v>1200</v>
      </c>
      <c r="O234" s="128">
        <f t="shared" si="44"/>
        <v>4.32</v>
      </c>
      <c r="P234" s="181">
        <f t="shared" si="50"/>
        <v>4.32</v>
      </c>
      <c r="Q234" s="209">
        <f>IF( 'Organized Input Output'!$AF$9 = "y", P234 / ($Q$3 * $Q$4), 0)</f>
        <v>0</v>
      </c>
      <c r="R234" s="209">
        <f t="shared" si="51"/>
        <v>0</v>
      </c>
      <c r="S234" s="43">
        <f>IF( 'Organized Input Output'!$AF$9 = "y", IF(R234= 0, 1, 0), 0)</f>
        <v>0</v>
      </c>
      <c r="T234" s="209">
        <f t="shared" si="53"/>
        <v>0</v>
      </c>
      <c r="U234" s="43">
        <f>IF( 'Organized Input Output'!$AF$9 = "y", IF(T234= 0, 1, 0), 0)</f>
        <v>0</v>
      </c>
      <c r="V234" s="43">
        <f t="shared" si="45"/>
        <v>0</v>
      </c>
      <c r="W234" s="43">
        <f t="shared" si="52"/>
        <v>0</v>
      </c>
      <c r="X234" s="43">
        <f t="shared" si="54"/>
        <v>0</v>
      </c>
      <c r="Y234" s="43">
        <f t="shared" si="55"/>
        <v>0</v>
      </c>
    </row>
    <row r="235" spans="1:25" ht="15" customHeight="1">
      <c r="A235" s="43">
        <v>225</v>
      </c>
      <c r="B235" s="176">
        <v>1</v>
      </c>
      <c r="C235" s="126">
        <f>'Studio Rain System'!J247</f>
        <v>0</v>
      </c>
      <c r="D235" s="104">
        <f>'Studio Rain System'!K247</f>
        <v>0</v>
      </c>
      <c r="E235" s="104">
        <f>'Studio Rain System'!L247</f>
        <v>5.0150000000000015</v>
      </c>
      <c r="F235" s="104">
        <f>'Studio Rain System'!M247</f>
        <v>0.745</v>
      </c>
      <c r="G235" s="177">
        <v>125600</v>
      </c>
      <c r="H235" s="178">
        <f t="shared" si="42"/>
        <v>0</v>
      </c>
      <c r="I235" s="128">
        <f t="shared" si="46"/>
        <v>0</v>
      </c>
      <c r="J235" s="193">
        <f>IF( 'Organized Input Output'!$AD$5= "y", $K$4*(D235*1000)/$K$3, 0)</f>
        <v>0</v>
      </c>
      <c r="K235" s="43">
        <f t="shared" si="47"/>
        <v>0</v>
      </c>
      <c r="L235" s="43">
        <f t="shared" si="48"/>
        <v>0</v>
      </c>
      <c r="M235" s="180">
        <f t="shared" si="43"/>
        <v>0</v>
      </c>
      <c r="N235" s="43">
        <f t="shared" si="49"/>
        <v>1200</v>
      </c>
      <c r="O235" s="128">
        <f t="shared" si="44"/>
        <v>4.32</v>
      </c>
      <c r="P235" s="181">
        <f t="shared" si="50"/>
        <v>4.32</v>
      </c>
      <c r="Q235" s="209">
        <f>IF( 'Organized Input Output'!$AF$9 = "y", P235 / ($Q$3 * $Q$4), 0)</f>
        <v>0</v>
      </c>
      <c r="R235" s="209">
        <f t="shared" si="51"/>
        <v>0</v>
      </c>
      <c r="S235" s="43">
        <f>IF( 'Organized Input Output'!$AF$9 = "y", IF(R235= 0, 1, 0), 0)</f>
        <v>0</v>
      </c>
      <c r="T235" s="209">
        <f t="shared" si="53"/>
        <v>0</v>
      </c>
      <c r="U235" s="43">
        <f>IF( 'Organized Input Output'!$AF$9 = "y", IF(T235= 0, 1, 0), 0)</f>
        <v>0</v>
      </c>
      <c r="V235" s="43">
        <f t="shared" si="45"/>
        <v>0</v>
      </c>
      <c r="W235" s="43">
        <f t="shared" si="52"/>
        <v>0</v>
      </c>
      <c r="X235" s="43">
        <f t="shared" si="54"/>
        <v>0</v>
      </c>
      <c r="Y235" s="43">
        <f t="shared" si="55"/>
        <v>0</v>
      </c>
    </row>
    <row r="236" spans="1:25" ht="15" customHeight="1">
      <c r="A236" s="43">
        <v>226</v>
      </c>
      <c r="B236" s="176">
        <v>0.4</v>
      </c>
      <c r="C236" s="126">
        <f>'Studio Rain System'!J248</f>
        <v>0</v>
      </c>
      <c r="D236" s="104">
        <f>'Studio Rain System'!K248</f>
        <v>0</v>
      </c>
      <c r="E236" s="104">
        <f>'Studio Rain System'!L248</f>
        <v>4.2700000000000014</v>
      </c>
      <c r="F236" s="104">
        <f>'Studio Rain System'!M248</f>
        <v>0.745</v>
      </c>
      <c r="G236" s="177">
        <v>125600</v>
      </c>
      <c r="H236" s="178">
        <f t="shared" si="42"/>
        <v>0</v>
      </c>
      <c r="I236" s="128">
        <f t="shared" si="46"/>
        <v>0</v>
      </c>
      <c r="J236" s="193">
        <f>IF( 'Organized Input Output'!$AD$5= "y", $K$4*(D236*1000)/$K$3, 0)</f>
        <v>0</v>
      </c>
      <c r="K236" s="43">
        <f t="shared" si="47"/>
        <v>0</v>
      </c>
      <c r="L236" s="43">
        <f t="shared" si="48"/>
        <v>0</v>
      </c>
      <c r="M236" s="180">
        <f t="shared" si="43"/>
        <v>0</v>
      </c>
      <c r="N236" s="43">
        <f t="shared" si="49"/>
        <v>1200</v>
      </c>
      <c r="O236" s="128">
        <f t="shared" si="44"/>
        <v>4.32</v>
      </c>
      <c r="P236" s="181">
        <f t="shared" si="50"/>
        <v>4.32</v>
      </c>
      <c r="Q236" s="209">
        <f>IF( 'Organized Input Output'!$AF$9 = "y", P236 / ($Q$3 * $Q$4), 0)</f>
        <v>0</v>
      </c>
      <c r="R236" s="209">
        <f t="shared" si="51"/>
        <v>0</v>
      </c>
      <c r="S236" s="43">
        <f>IF( 'Organized Input Output'!$AF$9 = "y", IF(R236= 0, 1, 0), 0)</f>
        <v>0</v>
      </c>
      <c r="T236" s="209">
        <f t="shared" si="53"/>
        <v>0</v>
      </c>
      <c r="U236" s="43">
        <f>IF( 'Organized Input Output'!$AF$9 = "y", IF(T236= 0, 1, 0), 0)</f>
        <v>0</v>
      </c>
      <c r="V236" s="43">
        <f t="shared" si="45"/>
        <v>0</v>
      </c>
      <c r="W236" s="43">
        <f t="shared" si="52"/>
        <v>0</v>
      </c>
      <c r="X236" s="43">
        <f t="shared" si="54"/>
        <v>0</v>
      </c>
      <c r="Y236" s="43">
        <f t="shared" si="55"/>
        <v>0</v>
      </c>
    </row>
    <row r="237" spans="1:25" ht="15" customHeight="1">
      <c r="A237" s="43">
        <v>227</v>
      </c>
      <c r="B237" s="176">
        <v>8.4</v>
      </c>
      <c r="C237" s="126">
        <f>'Studio Rain System'!J249</f>
        <v>0</v>
      </c>
      <c r="D237" s="104">
        <f>'Studio Rain System'!K249</f>
        <v>0</v>
      </c>
      <c r="E237" s="104">
        <f>'Studio Rain System'!L249</f>
        <v>3.5250000000000012</v>
      </c>
      <c r="F237" s="104">
        <f>'Studio Rain System'!M249</f>
        <v>0.745</v>
      </c>
      <c r="G237" s="177">
        <v>125600</v>
      </c>
      <c r="H237" s="178">
        <f t="shared" si="42"/>
        <v>0</v>
      </c>
      <c r="I237" s="128">
        <f t="shared" si="46"/>
        <v>0</v>
      </c>
      <c r="J237" s="193">
        <f>IF( 'Organized Input Output'!$AD$5= "y", $K$4*(D237*1000)/$K$3, 0)</f>
        <v>0</v>
      </c>
      <c r="K237" s="43">
        <f t="shared" si="47"/>
        <v>0</v>
      </c>
      <c r="L237" s="43">
        <f t="shared" si="48"/>
        <v>0</v>
      </c>
      <c r="M237" s="180">
        <f t="shared" si="43"/>
        <v>0</v>
      </c>
      <c r="N237" s="43">
        <f t="shared" si="49"/>
        <v>1200</v>
      </c>
      <c r="O237" s="128">
        <f t="shared" si="44"/>
        <v>4.32</v>
      </c>
      <c r="P237" s="181">
        <f t="shared" si="50"/>
        <v>4.32</v>
      </c>
      <c r="Q237" s="209">
        <f>IF( 'Organized Input Output'!$AF$9 = "y", P237 / ($Q$3 * $Q$4), 0)</f>
        <v>0</v>
      </c>
      <c r="R237" s="209">
        <f t="shared" si="51"/>
        <v>0</v>
      </c>
      <c r="S237" s="43">
        <f>IF( 'Organized Input Output'!$AF$9 = "y", IF(R237= 0, 1, 0), 0)</f>
        <v>0</v>
      </c>
      <c r="T237" s="209">
        <f t="shared" si="53"/>
        <v>0</v>
      </c>
      <c r="U237" s="43">
        <f>IF( 'Organized Input Output'!$AF$9 = "y", IF(T237= 0, 1, 0), 0)</f>
        <v>0</v>
      </c>
      <c r="V237" s="43">
        <f t="shared" si="45"/>
        <v>0</v>
      </c>
      <c r="W237" s="43">
        <f t="shared" si="52"/>
        <v>0</v>
      </c>
      <c r="X237" s="43">
        <f t="shared" si="54"/>
        <v>0</v>
      </c>
      <c r="Y237" s="43">
        <f t="shared" si="55"/>
        <v>0</v>
      </c>
    </row>
    <row r="238" spans="1:25" ht="15" customHeight="1">
      <c r="A238" s="43">
        <v>228</v>
      </c>
      <c r="B238" s="176">
        <v>4.4000000000000004</v>
      </c>
      <c r="C238" s="126">
        <f>'Studio Rain System'!J250</f>
        <v>0</v>
      </c>
      <c r="D238" s="104">
        <f>'Studio Rain System'!K250</f>
        <v>0</v>
      </c>
      <c r="E238" s="104">
        <f>'Studio Rain System'!L250</f>
        <v>2.7800000000000011</v>
      </c>
      <c r="F238" s="104">
        <f>'Studio Rain System'!M250</f>
        <v>0.745</v>
      </c>
      <c r="G238" s="177">
        <v>125600</v>
      </c>
      <c r="H238" s="178">
        <f t="shared" si="42"/>
        <v>0</v>
      </c>
      <c r="I238" s="128">
        <f t="shared" si="46"/>
        <v>0</v>
      </c>
      <c r="J238" s="193">
        <f>IF( 'Organized Input Output'!$AD$5= "y", $K$4*(D238*1000)/$K$3, 0)</f>
        <v>0</v>
      </c>
      <c r="K238" s="43">
        <f t="shared" si="47"/>
        <v>0</v>
      </c>
      <c r="L238" s="43">
        <f t="shared" si="48"/>
        <v>0</v>
      </c>
      <c r="M238" s="180">
        <f t="shared" si="43"/>
        <v>0</v>
      </c>
      <c r="N238" s="43">
        <f t="shared" si="49"/>
        <v>1200</v>
      </c>
      <c r="O238" s="128">
        <f t="shared" si="44"/>
        <v>4.32</v>
      </c>
      <c r="P238" s="181">
        <f t="shared" si="50"/>
        <v>4.32</v>
      </c>
      <c r="Q238" s="209">
        <f>IF( 'Organized Input Output'!$AF$9 = "y", P238 / ($Q$3 * $Q$4), 0)</f>
        <v>0</v>
      </c>
      <c r="R238" s="209">
        <f t="shared" si="51"/>
        <v>0</v>
      </c>
      <c r="S238" s="43">
        <f>IF( 'Organized Input Output'!$AF$9 = "y", IF(R238= 0, 1, 0), 0)</f>
        <v>0</v>
      </c>
      <c r="T238" s="209">
        <f t="shared" si="53"/>
        <v>0</v>
      </c>
      <c r="U238" s="43">
        <f>IF( 'Organized Input Output'!$AF$9 = "y", IF(T238= 0, 1, 0), 0)</f>
        <v>0</v>
      </c>
      <c r="V238" s="43">
        <f t="shared" si="45"/>
        <v>0</v>
      </c>
      <c r="W238" s="43">
        <f t="shared" si="52"/>
        <v>0</v>
      </c>
      <c r="X238" s="43">
        <f t="shared" si="54"/>
        <v>0</v>
      </c>
      <c r="Y238" s="43">
        <f t="shared" si="55"/>
        <v>0</v>
      </c>
    </row>
    <row r="239" spans="1:25" ht="15" customHeight="1">
      <c r="A239" s="43">
        <v>229</v>
      </c>
      <c r="B239" s="176">
        <v>4.4000000000000004</v>
      </c>
      <c r="C239" s="126">
        <f>'Studio Rain System'!J251</f>
        <v>0</v>
      </c>
      <c r="D239" s="104">
        <f>'Studio Rain System'!K251</f>
        <v>0</v>
      </c>
      <c r="E239" s="104">
        <f>'Studio Rain System'!L251</f>
        <v>2.035000000000001</v>
      </c>
      <c r="F239" s="104">
        <f>'Studio Rain System'!M251</f>
        <v>0.745</v>
      </c>
      <c r="G239" s="177">
        <v>125600</v>
      </c>
      <c r="H239" s="178">
        <f t="shared" si="42"/>
        <v>0</v>
      </c>
      <c r="I239" s="128">
        <f t="shared" si="46"/>
        <v>0</v>
      </c>
      <c r="J239" s="193">
        <f>IF( 'Organized Input Output'!$AD$5= "y", $K$4*(D239*1000)/$K$3, 0)</f>
        <v>0</v>
      </c>
      <c r="K239" s="43">
        <f t="shared" si="47"/>
        <v>0</v>
      </c>
      <c r="L239" s="43">
        <f t="shared" si="48"/>
        <v>0</v>
      </c>
      <c r="M239" s="180">
        <f t="shared" si="43"/>
        <v>0</v>
      </c>
      <c r="N239" s="43">
        <f t="shared" si="49"/>
        <v>1200</v>
      </c>
      <c r="O239" s="128">
        <f t="shared" si="44"/>
        <v>4.32</v>
      </c>
      <c r="P239" s="181">
        <f t="shared" si="50"/>
        <v>4.32</v>
      </c>
      <c r="Q239" s="209">
        <f>IF( 'Organized Input Output'!$AF$9 = "y", P239 / ($Q$3 * $Q$4), 0)</f>
        <v>0</v>
      </c>
      <c r="R239" s="209">
        <f t="shared" si="51"/>
        <v>0</v>
      </c>
      <c r="S239" s="43">
        <f>IF( 'Organized Input Output'!$AF$9 = "y", IF(R239= 0, 1, 0), 0)</f>
        <v>0</v>
      </c>
      <c r="T239" s="209">
        <f t="shared" si="53"/>
        <v>0</v>
      </c>
      <c r="U239" s="43">
        <f>IF( 'Organized Input Output'!$AF$9 = "y", IF(T239= 0, 1, 0), 0)</f>
        <v>0</v>
      </c>
      <c r="V239" s="43">
        <f t="shared" si="45"/>
        <v>0</v>
      </c>
      <c r="W239" s="43">
        <f t="shared" si="52"/>
        <v>0</v>
      </c>
      <c r="X239" s="43">
        <f t="shared" si="54"/>
        <v>0</v>
      </c>
      <c r="Y239" s="43">
        <f t="shared" si="55"/>
        <v>0</v>
      </c>
    </row>
    <row r="240" spans="1:25" ht="15" customHeight="1">
      <c r="A240" s="43">
        <v>230</v>
      </c>
      <c r="B240" s="176">
        <v>14.8</v>
      </c>
      <c r="C240" s="126">
        <f>'Studio Rain System'!J252</f>
        <v>0</v>
      </c>
      <c r="D240" s="104">
        <f>'Studio Rain System'!K252</f>
        <v>0</v>
      </c>
      <c r="E240" s="104">
        <f>'Studio Rain System'!L252</f>
        <v>1.2900000000000009</v>
      </c>
      <c r="F240" s="104">
        <f>'Studio Rain System'!M252</f>
        <v>0.745</v>
      </c>
      <c r="G240" s="177">
        <v>125600</v>
      </c>
      <c r="H240" s="178">
        <f t="shared" si="42"/>
        <v>0</v>
      </c>
      <c r="I240" s="128">
        <f t="shared" si="46"/>
        <v>0</v>
      </c>
      <c r="J240" s="193">
        <f>IF( 'Organized Input Output'!$AD$5= "y", $K$4*(D240*1000)/$K$3, 0)</f>
        <v>0</v>
      </c>
      <c r="K240" s="43">
        <f t="shared" si="47"/>
        <v>0</v>
      </c>
      <c r="L240" s="43">
        <f t="shared" si="48"/>
        <v>0</v>
      </c>
      <c r="M240" s="180">
        <f t="shared" si="43"/>
        <v>0</v>
      </c>
      <c r="N240" s="43">
        <f t="shared" si="49"/>
        <v>1200</v>
      </c>
      <c r="O240" s="128">
        <f t="shared" si="44"/>
        <v>4.32</v>
      </c>
      <c r="P240" s="181">
        <f t="shared" si="50"/>
        <v>4.32</v>
      </c>
      <c r="Q240" s="209">
        <f>IF( 'Organized Input Output'!$AF$9 = "y", P240 / ($Q$3 * $Q$4), 0)</f>
        <v>0</v>
      </c>
      <c r="R240" s="209">
        <f t="shared" si="51"/>
        <v>0</v>
      </c>
      <c r="S240" s="43">
        <f>IF( 'Organized Input Output'!$AF$9 = "y", IF(R240= 0, 1, 0), 0)</f>
        <v>0</v>
      </c>
      <c r="T240" s="209">
        <f t="shared" si="53"/>
        <v>0</v>
      </c>
      <c r="U240" s="43">
        <f>IF( 'Organized Input Output'!$AF$9 = "y", IF(T240= 0, 1, 0), 0)</f>
        <v>0</v>
      </c>
      <c r="V240" s="43">
        <f t="shared" si="45"/>
        <v>0</v>
      </c>
      <c r="W240" s="43">
        <f t="shared" si="52"/>
        <v>0</v>
      </c>
      <c r="X240" s="43">
        <f t="shared" si="54"/>
        <v>0</v>
      </c>
      <c r="Y240" s="43">
        <f t="shared" si="55"/>
        <v>0</v>
      </c>
    </row>
    <row r="241" spans="1:25" ht="15" customHeight="1">
      <c r="A241" s="43">
        <v>231</v>
      </c>
      <c r="B241" s="176">
        <v>5.6</v>
      </c>
      <c r="C241" s="126">
        <f>'Studio Rain System'!J253</f>
        <v>0</v>
      </c>
      <c r="D241" s="104">
        <f>'Studio Rain System'!K253</f>
        <v>0</v>
      </c>
      <c r="E241" s="104">
        <f>'Studio Rain System'!L253</f>
        <v>0.54500000000000093</v>
      </c>
      <c r="F241" s="104">
        <f>'Studio Rain System'!M253</f>
        <v>0.745</v>
      </c>
      <c r="G241" s="177">
        <v>125600</v>
      </c>
      <c r="H241" s="178">
        <f t="shared" si="42"/>
        <v>0</v>
      </c>
      <c r="I241" s="128">
        <f t="shared" si="46"/>
        <v>0</v>
      </c>
      <c r="J241" s="193">
        <f>IF( 'Organized Input Output'!$AD$5= "y", $K$4*(D241*1000)/$K$3, 0)</f>
        <v>0</v>
      </c>
      <c r="K241" s="43">
        <f t="shared" si="47"/>
        <v>0</v>
      </c>
      <c r="L241" s="43">
        <f t="shared" si="48"/>
        <v>0</v>
      </c>
      <c r="M241" s="180">
        <f t="shared" si="43"/>
        <v>0</v>
      </c>
      <c r="N241" s="43">
        <f t="shared" si="49"/>
        <v>1200</v>
      </c>
      <c r="O241" s="128">
        <f t="shared" si="44"/>
        <v>4.32</v>
      </c>
      <c r="P241" s="181">
        <f t="shared" si="50"/>
        <v>4.32</v>
      </c>
      <c r="Q241" s="209">
        <f>IF( 'Organized Input Output'!$AF$9 = "y", P241 / ($Q$3 * $Q$4), 0)</f>
        <v>0</v>
      </c>
      <c r="R241" s="209">
        <f t="shared" si="51"/>
        <v>0</v>
      </c>
      <c r="S241" s="43">
        <f>IF( 'Organized Input Output'!$AF$9 = "y", IF(R241= 0, 1, 0), 0)</f>
        <v>0</v>
      </c>
      <c r="T241" s="209">
        <f t="shared" si="53"/>
        <v>0</v>
      </c>
      <c r="U241" s="43">
        <f>IF( 'Organized Input Output'!$AF$9 = "y", IF(T241= 0, 1, 0), 0)</f>
        <v>0</v>
      </c>
      <c r="V241" s="43">
        <f t="shared" si="45"/>
        <v>0</v>
      </c>
      <c r="W241" s="43">
        <f t="shared" si="52"/>
        <v>0</v>
      </c>
      <c r="X241" s="43">
        <f t="shared" si="54"/>
        <v>0</v>
      </c>
      <c r="Y241" s="43">
        <f t="shared" si="55"/>
        <v>0</v>
      </c>
    </row>
    <row r="242" spans="1:25" ht="15" customHeight="1">
      <c r="A242" s="43">
        <v>232</v>
      </c>
      <c r="B242" s="176">
        <v>1.2</v>
      </c>
      <c r="C242" s="126">
        <f>'Studio Rain System'!J254</f>
        <v>0</v>
      </c>
      <c r="D242" s="104">
        <f>'Studio Rain System'!K254</f>
        <v>0</v>
      </c>
      <c r="E242" s="104">
        <f>'Studio Rain System'!L254</f>
        <v>0</v>
      </c>
      <c r="F242" s="104">
        <f>'Studio Rain System'!M254</f>
        <v>0.745</v>
      </c>
      <c r="G242" s="177">
        <v>125600</v>
      </c>
      <c r="H242" s="178">
        <f t="shared" si="42"/>
        <v>0</v>
      </c>
      <c r="I242" s="128">
        <f t="shared" si="46"/>
        <v>0</v>
      </c>
      <c r="J242" s="193">
        <f>IF( 'Organized Input Output'!$AD$5= "y", $K$4*(D242*1000)/$K$3, 0)</f>
        <v>0</v>
      </c>
      <c r="K242" s="43">
        <f t="shared" si="47"/>
        <v>0</v>
      </c>
      <c r="L242" s="43">
        <f t="shared" si="48"/>
        <v>0</v>
      </c>
      <c r="M242" s="180">
        <f t="shared" si="43"/>
        <v>0</v>
      </c>
      <c r="N242" s="43">
        <f t="shared" si="49"/>
        <v>1200</v>
      </c>
      <c r="O242" s="128">
        <f t="shared" si="44"/>
        <v>4.32</v>
      </c>
      <c r="P242" s="181">
        <f t="shared" si="50"/>
        <v>4.32</v>
      </c>
      <c r="Q242" s="209">
        <f>IF( 'Organized Input Output'!$AF$9 = "y", P242 / ($Q$3 * $Q$4), 0)</f>
        <v>0</v>
      </c>
      <c r="R242" s="209">
        <f t="shared" si="51"/>
        <v>0</v>
      </c>
      <c r="S242" s="43">
        <f>IF( 'Organized Input Output'!$AF$9 = "y", IF(R242= 0, 1, 0), 0)</f>
        <v>0</v>
      </c>
      <c r="T242" s="209">
        <f t="shared" si="53"/>
        <v>0</v>
      </c>
      <c r="U242" s="43">
        <f>IF( 'Organized Input Output'!$AF$9 = "y", IF(T242= 0, 1, 0), 0)</f>
        <v>0</v>
      </c>
      <c r="V242" s="43">
        <f t="shared" si="45"/>
        <v>0</v>
      </c>
      <c r="W242" s="43">
        <f t="shared" si="52"/>
        <v>0</v>
      </c>
      <c r="X242" s="43">
        <f t="shared" si="54"/>
        <v>0</v>
      </c>
      <c r="Y242" s="43">
        <f t="shared" si="55"/>
        <v>0</v>
      </c>
    </row>
    <row r="243" spans="1:25" ht="15" customHeight="1">
      <c r="A243" s="43">
        <v>233</v>
      </c>
      <c r="B243" s="176">
        <v>0.4</v>
      </c>
      <c r="C243" s="126">
        <f>'Studio Rain System'!J255</f>
        <v>0</v>
      </c>
      <c r="D243" s="104">
        <f>'Studio Rain System'!K255</f>
        <v>0</v>
      </c>
      <c r="E243" s="104">
        <f>'Studio Rain System'!L255</f>
        <v>0</v>
      </c>
      <c r="F243" s="104">
        <f>'Studio Rain System'!M255</f>
        <v>0.745</v>
      </c>
      <c r="G243" s="177">
        <v>125600</v>
      </c>
      <c r="H243" s="178">
        <f t="shared" si="42"/>
        <v>0</v>
      </c>
      <c r="I243" s="128">
        <f t="shared" si="46"/>
        <v>0</v>
      </c>
      <c r="J243" s="193">
        <f>IF( 'Organized Input Output'!$AD$5= "y", $K$4*(D243*1000)/$K$3, 0)</f>
        <v>0</v>
      </c>
      <c r="K243" s="43">
        <f t="shared" si="47"/>
        <v>0</v>
      </c>
      <c r="L243" s="43">
        <f t="shared" si="48"/>
        <v>0</v>
      </c>
      <c r="M243" s="180">
        <f t="shared" si="43"/>
        <v>0</v>
      </c>
      <c r="N243" s="43">
        <f t="shared" si="49"/>
        <v>1200</v>
      </c>
      <c r="O243" s="128">
        <f t="shared" si="44"/>
        <v>4.32</v>
      </c>
      <c r="P243" s="181">
        <f t="shared" si="50"/>
        <v>4.32</v>
      </c>
      <c r="Q243" s="209">
        <f>IF( 'Organized Input Output'!$AF$9 = "y", P243 / ($Q$3 * $Q$4), 0)</f>
        <v>0</v>
      </c>
      <c r="R243" s="209">
        <f t="shared" si="51"/>
        <v>0</v>
      </c>
      <c r="S243" s="43">
        <f>IF( 'Organized Input Output'!$AF$9 = "y", IF(R243= 0, 1, 0), 0)</f>
        <v>0</v>
      </c>
      <c r="T243" s="209">
        <f t="shared" si="53"/>
        <v>0</v>
      </c>
      <c r="U243" s="43">
        <f>IF( 'Organized Input Output'!$AF$9 = "y", IF(T243= 0, 1, 0), 0)</f>
        <v>0</v>
      </c>
      <c r="V243" s="43">
        <f t="shared" si="45"/>
        <v>0</v>
      </c>
      <c r="W243" s="43">
        <f t="shared" si="52"/>
        <v>0</v>
      </c>
      <c r="X243" s="43">
        <f t="shared" si="54"/>
        <v>0</v>
      </c>
      <c r="Y243" s="43">
        <f t="shared" si="55"/>
        <v>0</v>
      </c>
    </row>
    <row r="244" spans="1:25" ht="15" customHeight="1">
      <c r="A244" s="43">
        <v>234</v>
      </c>
      <c r="B244" s="176">
        <v>0.6</v>
      </c>
      <c r="C244" s="126">
        <f>'Studio Rain System'!J256</f>
        <v>0</v>
      </c>
      <c r="D244" s="104">
        <f>'Studio Rain System'!K256</f>
        <v>0</v>
      </c>
      <c r="E244" s="104">
        <f>'Studio Rain System'!L256</f>
        <v>0</v>
      </c>
      <c r="F244" s="104">
        <f>'Studio Rain System'!M256</f>
        <v>0.745</v>
      </c>
      <c r="G244" s="177">
        <v>125600</v>
      </c>
      <c r="H244" s="178">
        <f t="shared" si="42"/>
        <v>0</v>
      </c>
      <c r="I244" s="128">
        <f t="shared" si="46"/>
        <v>0</v>
      </c>
      <c r="J244" s="193">
        <f>IF( 'Organized Input Output'!$AD$5= "y", $K$4*(D244*1000)/$K$3, 0)</f>
        <v>0</v>
      </c>
      <c r="K244" s="43">
        <f t="shared" si="47"/>
        <v>0</v>
      </c>
      <c r="L244" s="43">
        <f t="shared" si="48"/>
        <v>0</v>
      </c>
      <c r="M244" s="180">
        <f t="shared" si="43"/>
        <v>0</v>
      </c>
      <c r="N244" s="43">
        <f t="shared" si="49"/>
        <v>1200</v>
      </c>
      <c r="O244" s="128">
        <f t="shared" si="44"/>
        <v>4.32</v>
      </c>
      <c r="P244" s="181">
        <f t="shared" si="50"/>
        <v>4.32</v>
      </c>
      <c r="Q244" s="209">
        <f>IF( 'Organized Input Output'!$AF$9 = "y", P244 / ($Q$3 * $Q$4), 0)</f>
        <v>0</v>
      </c>
      <c r="R244" s="209">
        <f t="shared" si="51"/>
        <v>0</v>
      </c>
      <c r="S244" s="43">
        <f>IF( 'Organized Input Output'!$AF$9 = "y", IF(R244= 0, 1, 0), 0)</f>
        <v>0</v>
      </c>
      <c r="T244" s="209">
        <f t="shared" si="53"/>
        <v>0</v>
      </c>
      <c r="U244" s="43">
        <f>IF( 'Organized Input Output'!$AF$9 = "y", IF(T244= 0, 1, 0), 0)</f>
        <v>0</v>
      </c>
      <c r="V244" s="43">
        <f t="shared" si="45"/>
        <v>0</v>
      </c>
      <c r="W244" s="43">
        <f t="shared" si="52"/>
        <v>0</v>
      </c>
      <c r="X244" s="43">
        <f t="shared" si="54"/>
        <v>0</v>
      </c>
      <c r="Y244" s="43">
        <f t="shared" si="55"/>
        <v>0</v>
      </c>
    </row>
    <row r="245" spans="1:25" ht="15" customHeight="1">
      <c r="A245" s="43">
        <v>235</v>
      </c>
      <c r="B245" s="176">
        <v>5.2</v>
      </c>
      <c r="C245" s="126">
        <f>'Studio Rain System'!J257</f>
        <v>0</v>
      </c>
      <c r="D245" s="104">
        <f>'Studio Rain System'!K257</f>
        <v>0</v>
      </c>
      <c r="E245" s="104">
        <f>'Studio Rain System'!L257</f>
        <v>0</v>
      </c>
      <c r="F245" s="104">
        <f>'Studio Rain System'!M257</f>
        <v>0.745</v>
      </c>
      <c r="G245" s="177">
        <v>125600</v>
      </c>
      <c r="H245" s="178">
        <f t="shared" si="42"/>
        <v>0</v>
      </c>
      <c r="I245" s="128">
        <f t="shared" si="46"/>
        <v>0</v>
      </c>
      <c r="J245" s="193">
        <f>IF( 'Organized Input Output'!$AD$5= "y", $K$4*(D245*1000)/$K$3, 0)</f>
        <v>0</v>
      </c>
      <c r="K245" s="43">
        <f t="shared" si="47"/>
        <v>0</v>
      </c>
      <c r="L245" s="43">
        <f t="shared" si="48"/>
        <v>0</v>
      </c>
      <c r="M245" s="180">
        <f t="shared" si="43"/>
        <v>0</v>
      </c>
      <c r="N245" s="43">
        <f t="shared" si="49"/>
        <v>1200</v>
      </c>
      <c r="O245" s="128">
        <f t="shared" si="44"/>
        <v>4.32</v>
      </c>
      <c r="P245" s="181">
        <f t="shared" si="50"/>
        <v>4.32</v>
      </c>
      <c r="Q245" s="209">
        <f>IF( 'Organized Input Output'!$AF$9 = "y", P245 / ($Q$3 * $Q$4), 0)</f>
        <v>0</v>
      </c>
      <c r="R245" s="209">
        <f t="shared" si="51"/>
        <v>0</v>
      </c>
      <c r="S245" s="43">
        <f>IF( 'Organized Input Output'!$AF$9 = "y", IF(R245= 0, 1, 0), 0)</f>
        <v>0</v>
      </c>
      <c r="T245" s="209">
        <f t="shared" si="53"/>
        <v>0</v>
      </c>
      <c r="U245" s="43">
        <f>IF( 'Organized Input Output'!$AF$9 = "y", IF(T245= 0, 1, 0), 0)</f>
        <v>0</v>
      </c>
      <c r="V245" s="43">
        <f t="shared" si="45"/>
        <v>0</v>
      </c>
      <c r="W245" s="43">
        <f t="shared" si="52"/>
        <v>0</v>
      </c>
      <c r="X245" s="43">
        <f t="shared" si="54"/>
        <v>0</v>
      </c>
      <c r="Y245" s="43">
        <f t="shared" si="55"/>
        <v>0</v>
      </c>
    </row>
    <row r="246" spans="1:25" ht="15" customHeight="1">
      <c r="A246" s="43">
        <v>236</v>
      </c>
      <c r="B246" s="176">
        <v>1.4</v>
      </c>
      <c r="C246" s="126">
        <f>'Studio Rain System'!J258</f>
        <v>0</v>
      </c>
      <c r="D246" s="104">
        <f>'Studio Rain System'!K258</f>
        <v>0</v>
      </c>
      <c r="E246" s="104">
        <f>'Studio Rain System'!L258</f>
        <v>0</v>
      </c>
      <c r="F246" s="104">
        <f>'Studio Rain System'!M258</f>
        <v>0.745</v>
      </c>
      <c r="G246" s="177">
        <v>125600</v>
      </c>
      <c r="H246" s="178">
        <f t="shared" si="42"/>
        <v>0</v>
      </c>
      <c r="I246" s="128">
        <f t="shared" si="46"/>
        <v>0</v>
      </c>
      <c r="J246" s="193">
        <f>IF( 'Organized Input Output'!$AD$5= "y", $K$4*(D246*1000)/$K$3, 0)</f>
        <v>0</v>
      </c>
      <c r="K246" s="43">
        <f t="shared" si="47"/>
        <v>0</v>
      </c>
      <c r="L246" s="43">
        <f t="shared" si="48"/>
        <v>0</v>
      </c>
      <c r="M246" s="180">
        <f t="shared" si="43"/>
        <v>0</v>
      </c>
      <c r="N246" s="43">
        <f t="shared" si="49"/>
        <v>1200</v>
      </c>
      <c r="O246" s="128">
        <f t="shared" si="44"/>
        <v>4.32</v>
      </c>
      <c r="P246" s="181">
        <f t="shared" si="50"/>
        <v>4.32</v>
      </c>
      <c r="Q246" s="209">
        <f>IF( 'Organized Input Output'!$AF$9 = "y", P246 / ($Q$3 * $Q$4), 0)</f>
        <v>0</v>
      </c>
      <c r="R246" s="209">
        <f t="shared" si="51"/>
        <v>0</v>
      </c>
      <c r="S246" s="43">
        <f>IF( 'Organized Input Output'!$AF$9 = "y", IF(R246= 0, 1, 0), 0)</f>
        <v>0</v>
      </c>
      <c r="T246" s="209">
        <f t="shared" si="53"/>
        <v>0</v>
      </c>
      <c r="U246" s="43">
        <f>IF( 'Organized Input Output'!$AF$9 = "y", IF(T246= 0, 1, 0), 0)</f>
        <v>0</v>
      </c>
      <c r="V246" s="43">
        <f t="shared" si="45"/>
        <v>0</v>
      </c>
      <c r="W246" s="43">
        <f t="shared" si="52"/>
        <v>0</v>
      </c>
      <c r="X246" s="43">
        <f t="shared" si="54"/>
        <v>0</v>
      </c>
      <c r="Y246" s="43">
        <f t="shared" si="55"/>
        <v>0</v>
      </c>
    </row>
    <row r="247" spans="1:25" ht="15" customHeight="1">
      <c r="A247" s="43">
        <v>237</v>
      </c>
      <c r="B247" s="176">
        <v>0</v>
      </c>
      <c r="C247" s="126">
        <f>'Studio Rain System'!J259</f>
        <v>0</v>
      </c>
      <c r="D247" s="104">
        <f>'Studio Rain System'!K259</f>
        <v>0</v>
      </c>
      <c r="E247" s="104">
        <f>'Studio Rain System'!L259</f>
        <v>0</v>
      </c>
      <c r="F247" s="104">
        <f>'Studio Rain System'!M259</f>
        <v>0.745</v>
      </c>
      <c r="G247" s="177">
        <v>125600</v>
      </c>
      <c r="H247" s="178">
        <f t="shared" si="42"/>
        <v>0</v>
      </c>
      <c r="I247" s="128">
        <f t="shared" si="46"/>
        <v>0</v>
      </c>
      <c r="J247" s="193">
        <f>IF( 'Organized Input Output'!$AD$5= "y", $K$4*(D247*1000)/$K$3, 0)</f>
        <v>0</v>
      </c>
      <c r="K247" s="43">
        <f t="shared" si="47"/>
        <v>0</v>
      </c>
      <c r="L247" s="43">
        <f t="shared" si="48"/>
        <v>0</v>
      </c>
      <c r="M247" s="180">
        <f t="shared" si="43"/>
        <v>0</v>
      </c>
      <c r="N247" s="43">
        <f t="shared" si="49"/>
        <v>1200</v>
      </c>
      <c r="O247" s="128">
        <f t="shared" si="44"/>
        <v>4.32</v>
      </c>
      <c r="P247" s="181">
        <f t="shared" si="50"/>
        <v>4.32</v>
      </c>
      <c r="Q247" s="209">
        <f>IF( 'Organized Input Output'!$AF$9 = "y", P247 / ($Q$3 * $Q$4), 0)</f>
        <v>0</v>
      </c>
      <c r="R247" s="209">
        <f t="shared" si="51"/>
        <v>0</v>
      </c>
      <c r="S247" s="43">
        <f>IF( 'Organized Input Output'!$AF$9 = "y", IF(R247= 0, 1, 0), 0)</f>
        <v>0</v>
      </c>
      <c r="T247" s="209">
        <f t="shared" si="53"/>
        <v>0</v>
      </c>
      <c r="U247" s="43">
        <f>IF( 'Organized Input Output'!$AF$9 = "y", IF(T247= 0, 1, 0), 0)</f>
        <v>0</v>
      </c>
      <c r="V247" s="43">
        <f t="shared" si="45"/>
        <v>0</v>
      </c>
      <c r="W247" s="43">
        <f t="shared" si="52"/>
        <v>0</v>
      </c>
      <c r="X247" s="43">
        <f t="shared" si="54"/>
        <v>0</v>
      </c>
      <c r="Y247" s="43">
        <f t="shared" si="55"/>
        <v>0</v>
      </c>
    </row>
    <row r="248" spans="1:25" ht="15" customHeight="1">
      <c r="A248" s="43">
        <v>238</v>
      </c>
      <c r="B248" s="176">
        <v>0</v>
      </c>
      <c r="C248" s="126">
        <f>'Studio Rain System'!J260</f>
        <v>0</v>
      </c>
      <c r="D248" s="104">
        <f>'Studio Rain System'!K260</f>
        <v>0</v>
      </c>
      <c r="E248" s="104">
        <f>'Studio Rain System'!L260</f>
        <v>0</v>
      </c>
      <c r="F248" s="104">
        <f>'Studio Rain System'!M260</f>
        <v>0.745</v>
      </c>
      <c r="G248" s="177">
        <v>125600</v>
      </c>
      <c r="H248" s="178">
        <f t="shared" si="42"/>
        <v>0</v>
      </c>
      <c r="I248" s="128">
        <f t="shared" si="46"/>
        <v>0</v>
      </c>
      <c r="J248" s="193">
        <f>IF( 'Organized Input Output'!$AD$5= "y", $K$4*(D248*1000)/$K$3, 0)</f>
        <v>0</v>
      </c>
      <c r="K248" s="43">
        <f t="shared" si="47"/>
        <v>0</v>
      </c>
      <c r="L248" s="43">
        <f t="shared" si="48"/>
        <v>0</v>
      </c>
      <c r="M248" s="180">
        <f t="shared" si="43"/>
        <v>0</v>
      </c>
      <c r="N248" s="43">
        <f t="shared" si="49"/>
        <v>1200</v>
      </c>
      <c r="O248" s="128">
        <f t="shared" si="44"/>
        <v>4.32</v>
      </c>
      <c r="P248" s="181">
        <f t="shared" si="50"/>
        <v>4.32</v>
      </c>
      <c r="Q248" s="209">
        <f>IF( 'Organized Input Output'!$AF$9 = "y", P248 / ($Q$3 * $Q$4), 0)</f>
        <v>0</v>
      </c>
      <c r="R248" s="209">
        <f t="shared" si="51"/>
        <v>0</v>
      </c>
      <c r="S248" s="43">
        <f>IF( 'Organized Input Output'!$AF$9 = "y", IF(R248= 0, 1, 0), 0)</f>
        <v>0</v>
      </c>
      <c r="T248" s="209">
        <f t="shared" si="53"/>
        <v>0</v>
      </c>
      <c r="U248" s="43">
        <f>IF( 'Organized Input Output'!$AF$9 = "y", IF(T248= 0, 1, 0), 0)</f>
        <v>0</v>
      </c>
      <c r="V248" s="43">
        <f t="shared" si="45"/>
        <v>0</v>
      </c>
      <c r="W248" s="43">
        <f t="shared" si="52"/>
        <v>0</v>
      </c>
      <c r="X248" s="43">
        <f t="shared" si="54"/>
        <v>0</v>
      </c>
      <c r="Y248" s="43">
        <f t="shared" si="55"/>
        <v>0</v>
      </c>
    </row>
    <row r="249" spans="1:25" ht="15" customHeight="1">
      <c r="A249" s="43">
        <v>239</v>
      </c>
      <c r="B249" s="176">
        <v>0.4</v>
      </c>
      <c r="C249" s="126">
        <f>'Studio Rain System'!J261</f>
        <v>0</v>
      </c>
      <c r="D249" s="104">
        <f>'Studio Rain System'!K261</f>
        <v>0</v>
      </c>
      <c r="E249" s="104">
        <f>'Studio Rain System'!L261</f>
        <v>0</v>
      </c>
      <c r="F249" s="104">
        <f>'Studio Rain System'!M261</f>
        <v>0.745</v>
      </c>
      <c r="G249" s="177">
        <v>125600</v>
      </c>
      <c r="H249" s="178">
        <f t="shared" si="42"/>
        <v>0</v>
      </c>
      <c r="I249" s="128">
        <f t="shared" si="46"/>
        <v>0</v>
      </c>
      <c r="J249" s="193">
        <f>IF( 'Organized Input Output'!$AD$5= "y", $K$4*(D249*1000)/$K$3, 0)</f>
        <v>0</v>
      </c>
      <c r="K249" s="43">
        <f t="shared" si="47"/>
        <v>0</v>
      </c>
      <c r="L249" s="43">
        <f t="shared" si="48"/>
        <v>0</v>
      </c>
      <c r="M249" s="180">
        <f t="shared" si="43"/>
        <v>0</v>
      </c>
      <c r="N249" s="43">
        <f t="shared" si="49"/>
        <v>1200</v>
      </c>
      <c r="O249" s="128">
        <f t="shared" si="44"/>
        <v>4.32</v>
      </c>
      <c r="P249" s="181">
        <f t="shared" si="50"/>
        <v>4.32</v>
      </c>
      <c r="Q249" s="209">
        <f>IF( 'Organized Input Output'!$AF$9 = "y", P249 / ($Q$3 * $Q$4), 0)</f>
        <v>0</v>
      </c>
      <c r="R249" s="209">
        <f t="shared" si="51"/>
        <v>0</v>
      </c>
      <c r="S249" s="43">
        <f>IF( 'Organized Input Output'!$AF$9 = "y", IF(R249= 0, 1, 0), 0)</f>
        <v>0</v>
      </c>
      <c r="T249" s="209">
        <f t="shared" si="53"/>
        <v>0</v>
      </c>
      <c r="U249" s="43">
        <f>IF( 'Organized Input Output'!$AF$9 = "y", IF(T249= 0, 1, 0), 0)</f>
        <v>0</v>
      </c>
      <c r="V249" s="43">
        <f t="shared" si="45"/>
        <v>0</v>
      </c>
      <c r="W249" s="43">
        <f t="shared" si="52"/>
        <v>0</v>
      </c>
      <c r="X249" s="43">
        <f t="shared" si="54"/>
        <v>0</v>
      </c>
      <c r="Y249" s="43">
        <f t="shared" si="55"/>
        <v>0</v>
      </c>
    </row>
    <row r="250" spans="1:25" ht="15" customHeight="1">
      <c r="A250" s="43">
        <v>240</v>
      </c>
      <c r="B250" s="176">
        <v>1.2</v>
      </c>
      <c r="C250" s="126">
        <f>'Studio Rain System'!J262</f>
        <v>0.4</v>
      </c>
      <c r="D250" s="104">
        <f>'Studio Rain System'!K262</f>
        <v>0.44</v>
      </c>
      <c r="E250" s="104">
        <f>'Studio Rain System'!L262</f>
        <v>0</v>
      </c>
      <c r="F250" s="104">
        <f>'Studio Rain System'!M262</f>
        <v>0.745</v>
      </c>
      <c r="G250" s="177">
        <v>125600</v>
      </c>
      <c r="H250" s="178">
        <f t="shared" si="42"/>
        <v>78948.571428571435</v>
      </c>
      <c r="I250" s="128">
        <f t="shared" si="46"/>
        <v>7.8948571428571437E-2</v>
      </c>
      <c r="J250" s="193">
        <f>IF( 'Organized Input Output'!$AD$5= "y", $K$4*(D250*1000)/$K$3, 0)</f>
        <v>2200</v>
      </c>
      <c r="K250" s="43">
        <f t="shared" si="47"/>
        <v>2.2000000000000002</v>
      </c>
      <c r="L250" s="43">
        <f t="shared" si="48"/>
        <v>4400000</v>
      </c>
      <c r="M250" s="180">
        <f t="shared" si="43"/>
        <v>4.4000000000000004</v>
      </c>
      <c r="N250" s="43">
        <f t="shared" si="49"/>
        <v>1200</v>
      </c>
      <c r="O250" s="128">
        <f t="shared" si="44"/>
        <v>4.32</v>
      </c>
      <c r="P250" s="181">
        <f t="shared" si="50"/>
        <v>8.7989485714285713</v>
      </c>
      <c r="Q250" s="209">
        <f>IF( 'Organized Input Output'!$AF$9 = "y", P250 / ($Q$3 * $Q$4), 0)</f>
        <v>0</v>
      </c>
      <c r="R250" s="209">
        <f t="shared" si="51"/>
        <v>0</v>
      </c>
      <c r="S250" s="43">
        <f>IF( 'Organized Input Output'!$AF$9 = "y", IF(R250= 0, 1, 0), 0)</f>
        <v>0</v>
      </c>
      <c r="T250" s="209">
        <f t="shared" si="53"/>
        <v>0</v>
      </c>
      <c r="U250" s="43">
        <f>IF( 'Organized Input Output'!$AF$9 = "y", IF(T250= 0, 1, 0), 0)</f>
        <v>0</v>
      </c>
      <c r="V250" s="43">
        <f t="shared" si="45"/>
        <v>0</v>
      </c>
      <c r="W250" s="43">
        <f t="shared" si="52"/>
        <v>0</v>
      </c>
      <c r="X250" s="43">
        <f t="shared" si="54"/>
        <v>0</v>
      </c>
      <c r="Y250" s="43">
        <f t="shared" si="55"/>
        <v>0</v>
      </c>
    </row>
    <row r="251" spans="1:25" ht="15" customHeight="1">
      <c r="A251" s="43">
        <v>241</v>
      </c>
      <c r="B251" s="176">
        <v>4</v>
      </c>
      <c r="C251" s="126">
        <f>'Studio Rain System'!J263</f>
        <v>7.8</v>
      </c>
      <c r="D251" s="104">
        <f>'Studio Rain System'!K263</f>
        <v>8.58</v>
      </c>
      <c r="E251" s="104">
        <f>'Studio Rain System'!L263</f>
        <v>7.835</v>
      </c>
      <c r="F251" s="104">
        <f>'Studio Rain System'!M263</f>
        <v>0.745</v>
      </c>
      <c r="G251" s="177">
        <v>125600</v>
      </c>
      <c r="H251" s="178">
        <f t="shared" si="42"/>
        <v>1539497.142857143</v>
      </c>
      <c r="I251" s="128">
        <f t="shared" si="46"/>
        <v>1.5394971428571429</v>
      </c>
      <c r="J251" s="193">
        <f>IF( 'Organized Input Output'!$AD$5= "y", $K$4*(D251*1000)/$K$3, 0)</f>
        <v>42900</v>
      </c>
      <c r="K251" s="43">
        <f t="shared" si="47"/>
        <v>42.9</v>
      </c>
      <c r="L251" s="43">
        <f t="shared" si="48"/>
        <v>85800000</v>
      </c>
      <c r="M251" s="180">
        <f t="shared" si="43"/>
        <v>85.8</v>
      </c>
      <c r="N251" s="43">
        <f t="shared" si="49"/>
        <v>1200</v>
      </c>
      <c r="O251" s="128">
        <f t="shared" si="44"/>
        <v>4.32</v>
      </c>
      <c r="P251" s="181">
        <f t="shared" si="50"/>
        <v>91.659497142857134</v>
      </c>
      <c r="Q251" s="209">
        <f>IF( 'Organized Input Output'!$AF$9 = "y", P251 / ($Q$3 * $Q$4), 0)</f>
        <v>0</v>
      </c>
      <c r="R251" s="209">
        <f t="shared" si="51"/>
        <v>0</v>
      </c>
      <c r="S251" s="43">
        <f>IF( 'Organized Input Output'!$AF$9 = "y", IF(R251= 0, 1, 0), 0)</f>
        <v>0</v>
      </c>
      <c r="T251" s="209">
        <f t="shared" si="53"/>
        <v>0</v>
      </c>
      <c r="U251" s="43">
        <f>IF( 'Organized Input Output'!$AF$9 = "y", IF(T251= 0, 1, 0), 0)</f>
        <v>0</v>
      </c>
      <c r="V251" s="43">
        <f t="shared" si="45"/>
        <v>0</v>
      </c>
      <c r="W251" s="43">
        <f t="shared" si="52"/>
        <v>0</v>
      </c>
      <c r="X251" s="43">
        <f t="shared" si="54"/>
        <v>0</v>
      </c>
      <c r="Y251" s="43">
        <f t="shared" si="55"/>
        <v>0</v>
      </c>
    </row>
    <row r="252" spans="1:25" ht="15" customHeight="1">
      <c r="A252" s="43">
        <v>242</v>
      </c>
      <c r="B252" s="176">
        <v>0</v>
      </c>
      <c r="C252" s="126">
        <f>'Studio Rain System'!J264</f>
        <v>3.6</v>
      </c>
      <c r="D252" s="104">
        <f>'Studio Rain System'!K264</f>
        <v>3.96</v>
      </c>
      <c r="E252" s="104">
        <f>'Studio Rain System'!L264</f>
        <v>11.05</v>
      </c>
      <c r="F252" s="104">
        <f>'Studio Rain System'!M264</f>
        <v>0.745</v>
      </c>
      <c r="G252" s="177">
        <v>125600</v>
      </c>
      <c r="H252" s="178">
        <f t="shared" si="42"/>
        <v>710537.14285714296</v>
      </c>
      <c r="I252" s="128">
        <f t="shared" si="46"/>
        <v>0.71053714285714298</v>
      </c>
      <c r="J252" s="193">
        <f>IF( 'Organized Input Output'!$AD$5= "y", $K$4*(D252*1000)/$K$3, 0)</f>
        <v>19800</v>
      </c>
      <c r="K252" s="43">
        <f t="shared" si="47"/>
        <v>19.8</v>
      </c>
      <c r="L252" s="43">
        <f t="shared" si="48"/>
        <v>39600000</v>
      </c>
      <c r="M252" s="180">
        <f t="shared" si="43"/>
        <v>39.6</v>
      </c>
      <c r="N252" s="43">
        <f t="shared" si="49"/>
        <v>1200</v>
      </c>
      <c r="O252" s="128">
        <f t="shared" si="44"/>
        <v>4.32</v>
      </c>
      <c r="P252" s="181">
        <f t="shared" si="50"/>
        <v>44.630537142857143</v>
      </c>
      <c r="Q252" s="209">
        <f>IF( 'Organized Input Output'!$AF$9 = "y", P252 / ($Q$3 * $Q$4), 0)</f>
        <v>0</v>
      </c>
      <c r="R252" s="209">
        <f t="shared" si="51"/>
        <v>0</v>
      </c>
      <c r="S252" s="43">
        <f>IF( 'Organized Input Output'!$AF$9 = "y", IF(R252= 0, 1, 0), 0)</f>
        <v>0</v>
      </c>
      <c r="T252" s="209">
        <f t="shared" si="53"/>
        <v>0</v>
      </c>
      <c r="U252" s="43">
        <f>IF( 'Organized Input Output'!$AF$9 = "y", IF(T252= 0, 1, 0), 0)</f>
        <v>0</v>
      </c>
      <c r="V252" s="43">
        <f t="shared" si="45"/>
        <v>0</v>
      </c>
      <c r="W252" s="43">
        <f t="shared" si="52"/>
        <v>0</v>
      </c>
      <c r="X252" s="43">
        <f t="shared" si="54"/>
        <v>0</v>
      </c>
      <c r="Y252" s="43">
        <f t="shared" si="55"/>
        <v>0</v>
      </c>
    </row>
    <row r="253" spans="1:25" ht="15" customHeight="1">
      <c r="A253" s="43">
        <v>243</v>
      </c>
      <c r="B253" s="176">
        <v>0</v>
      </c>
      <c r="C253" s="126">
        <f>'Studio Rain System'!J265</f>
        <v>10.6</v>
      </c>
      <c r="D253" s="104">
        <f>'Studio Rain System'!K265</f>
        <v>11.66</v>
      </c>
      <c r="E253" s="104">
        <f>'Studio Rain System'!L265</f>
        <v>20</v>
      </c>
      <c r="F253" s="104">
        <f>'Studio Rain System'!M265</f>
        <v>0.745</v>
      </c>
      <c r="G253" s="177">
        <v>125600</v>
      </c>
      <c r="H253" s="178">
        <f t="shared" si="42"/>
        <v>2092137.142857143</v>
      </c>
      <c r="I253" s="128">
        <f t="shared" si="46"/>
        <v>2.0921371428571431</v>
      </c>
      <c r="J253" s="193">
        <f>IF( 'Organized Input Output'!$AD$5= "y", $K$4*(D253*1000)/$K$3, 0)</f>
        <v>58300</v>
      </c>
      <c r="K253" s="43">
        <f t="shared" si="47"/>
        <v>58.3</v>
      </c>
      <c r="L253" s="43">
        <f t="shared" si="48"/>
        <v>116600000</v>
      </c>
      <c r="M253" s="180">
        <f t="shared" si="43"/>
        <v>116.6</v>
      </c>
      <c r="N253" s="43">
        <f t="shared" si="49"/>
        <v>1200</v>
      </c>
      <c r="O253" s="128">
        <f t="shared" si="44"/>
        <v>4.32</v>
      </c>
      <c r="P253" s="181">
        <f t="shared" si="50"/>
        <v>123.01213714285714</v>
      </c>
      <c r="Q253" s="209">
        <f>IF( 'Organized Input Output'!$AF$9 = "y", P253 / ($Q$3 * $Q$4), 0)</f>
        <v>0</v>
      </c>
      <c r="R253" s="209">
        <f t="shared" si="51"/>
        <v>0</v>
      </c>
      <c r="S253" s="43">
        <f>IF( 'Organized Input Output'!$AF$9 = "y", IF(R253= 0, 1, 0), 0)</f>
        <v>0</v>
      </c>
      <c r="T253" s="209">
        <f t="shared" si="53"/>
        <v>0</v>
      </c>
      <c r="U253" s="43">
        <f>IF( 'Organized Input Output'!$AF$9 = "y", IF(T253= 0, 1, 0), 0)</f>
        <v>0</v>
      </c>
      <c r="V253" s="43">
        <f t="shared" si="45"/>
        <v>0</v>
      </c>
      <c r="W253" s="43">
        <f t="shared" si="52"/>
        <v>0</v>
      </c>
      <c r="X253" s="43">
        <f t="shared" si="54"/>
        <v>0</v>
      </c>
      <c r="Y253" s="43">
        <f t="shared" si="55"/>
        <v>0</v>
      </c>
    </row>
    <row r="254" spans="1:25" ht="15" customHeight="1">
      <c r="A254" s="43">
        <v>244</v>
      </c>
      <c r="B254" s="176">
        <v>0</v>
      </c>
      <c r="C254" s="126">
        <f>'Studio Rain System'!J266</f>
        <v>3.2</v>
      </c>
      <c r="D254" s="104">
        <f>'Studio Rain System'!K266</f>
        <v>3.52</v>
      </c>
      <c r="E254" s="104">
        <f>'Studio Rain System'!L266</f>
        <v>20</v>
      </c>
      <c r="F254" s="104">
        <f>'Studio Rain System'!M266</f>
        <v>0.745</v>
      </c>
      <c r="G254" s="177">
        <v>125600</v>
      </c>
      <c r="H254" s="178">
        <f t="shared" si="42"/>
        <v>631588.57142857148</v>
      </c>
      <c r="I254" s="128">
        <f t="shared" si="46"/>
        <v>0.6315885714285715</v>
      </c>
      <c r="J254" s="193">
        <f>IF( 'Organized Input Output'!$AD$5= "y", $K$4*(D254*1000)/$K$3, 0)</f>
        <v>17600</v>
      </c>
      <c r="K254" s="43">
        <f t="shared" si="47"/>
        <v>17.600000000000001</v>
      </c>
      <c r="L254" s="43">
        <f t="shared" si="48"/>
        <v>35200000</v>
      </c>
      <c r="M254" s="180">
        <f t="shared" si="43"/>
        <v>35.200000000000003</v>
      </c>
      <c r="N254" s="43">
        <f t="shared" si="49"/>
        <v>1200</v>
      </c>
      <c r="O254" s="128">
        <f t="shared" si="44"/>
        <v>4.32</v>
      </c>
      <c r="P254" s="181">
        <f t="shared" si="50"/>
        <v>40.151588571428576</v>
      </c>
      <c r="Q254" s="209">
        <f>IF( 'Organized Input Output'!$AF$9 = "y", P254 / ($Q$3 * $Q$4), 0)</f>
        <v>0</v>
      </c>
      <c r="R254" s="209">
        <f t="shared" si="51"/>
        <v>0</v>
      </c>
      <c r="S254" s="43">
        <f>IF( 'Organized Input Output'!$AF$9 = "y", IF(R254= 0, 1, 0), 0)</f>
        <v>0</v>
      </c>
      <c r="T254" s="209">
        <f t="shared" si="53"/>
        <v>0</v>
      </c>
      <c r="U254" s="43">
        <f>IF( 'Organized Input Output'!$AF$9 = "y", IF(T254= 0, 1, 0), 0)</f>
        <v>0</v>
      </c>
      <c r="V254" s="43">
        <f t="shared" si="45"/>
        <v>0</v>
      </c>
      <c r="W254" s="43">
        <f t="shared" si="52"/>
        <v>0</v>
      </c>
      <c r="X254" s="43">
        <f t="shared" si="54"/>
        <v>0</v>
      </c>
      <c r="Y254" s="43">
        <f t="shared" si="55"/>
        <v>0</v>
      </c>
    </row>
    <row r="255" spans="1:25" ht="15" customHeight="1">
      <c r="A255" s="43">
        <v>245</v>
      </c>
      <c r="B255" s="176">
        <v>0</v>
      </c>
      <c r="C255" s="126">
        <f>'Studio Rain System'!J267</f>
        <v>6.2</v>
      </c>
      <c r="D255" s="104">
        <f>'Studio Rain System'!K267</f>
        <v>6.8199999999999994</v>
      </c>
      <c r="E255" s="104">
        <f>'Studio Rain System'!L267</f>
        <v>20</v>
      </c>
      <c r="F255" s="104">
        <f>'Studio Rain System'!M267</f>
        <v>0.745</v>
      </c>
      <c r="G255" s="177">
        <v>125600</v>
      </c>
      <c r="H255" s="178">
        <f t="shared" si="42"/>
        <v>1223702.857142857</v>
      </c>
      <c r="I255" s="128">
        <f t="shared" si="46"/>
        <v>1.223702857142857</v>
      </c>
      <c r="J255" s="193">
        <f>IF( 'Organized Input Output'!$AD$5= "y", $K$4*(D255*1000)/$K$3, 0)</f>
        <v>34099.999999999993</v>
      </c>
      <c r="K255" s="43">
        <f t="shared" si="47"/>
        <v>34.099999999999994</v>
      </c>
      <c r="L255" s="43">
        <f t="shared" si="48"/>
        <v>68199999.999999985</v>
      </c>
      <c r="M255" s="180">
        <f t="shared" si="43"/>
        <v>68.199999999999989</v>
      </c>
      <c r="N255" s="43">
        <f t="shared" si="49"/>
        <v>1200</v>
      </c>
      <c r="O255" s="128">
        <f t="shared" si="44"/>
        <v>4.32</v>
      </c>
      <c r="P255" s="181">
        <f t="shared" si="50"/>
        <v>73.743702857142836</v>
      </c>
      <c r="Q255" s="209">
        <f>IF( 'Organized Input Output'!$AF$9 = "y", P255 / ($Q$3 * $Q$4), 0)</f>
        <v>0</v>
      </c>
      <c r="R255" s="209">
        <f t="shared" si="51"/>
        <v>0</v>
      </c>
      <c r="S255" s="43">
        <f>IF( 'Organized Input Output'!$AF$9 = "y", IF(R255= 0, 1, 0), 0)</f>
        <v>0</v>
      </c>
      <c r="T255" s="209">
        <f t="shared" si="53"/>
        <v>0</v>
      </c>
      <c r="U255" s="43">
        <f>IF( 'Organized Input Output'!$AF$9 = "y", IF(T255= 0, 1, 0), 0)</f>
        <v>0</v>
      </c>
      <c r="V255" s="43">
        <f t="shared" si="45"/>
        <v>0</v>
      </c>
      <c r="W255" s="43">
        <f t="shared" si="52"/>
        <v>0</v>
      </c>
      <c r="X255" s="43">
        <f t="shared" si="54"/>
        <v>0</v>
      </c>
      <c r="Y255" s="43">
        <f t="shared" si="55"/>
        <v>0</v>
      </c>
    </row>
    <row r="256" spans="1:25" ht="15" customHeight="1">
      <c r="A256" s="43">
        <v>246</v>
      </c>
      <c r="B256" s="176">
        <v>4.8</v>
      </c>
      <c r="C256" s="126">
        <f>'Studio Rain System'!J268</f>
        <v>0</v>
      </c>
      <c r="D256" s="104">
        <f>'Studio Rain System'!K268</f>
        <v>0</v>
      </c>
      <c r="E256" s="104">
        <f>'Studio Rain System'!L268</f>
        <v>19.254999999999999</v>
      </c>
      <c r="F256" s="104">
        <f>'Studio Rain System'!M268</f>
        <v>0.745</v>
      </c>
      <c r="G256" s="177">
        <v>125600</v>
      </c>
      <c r="H256" s="178">
        <f t="shared" si="42"/>
        <v>0</v>
      </c>
      <c r="I256" s="128">
        <f t="shared" si="46"/>
        <v>0</v>
      </c>
      <c r="J256" s="193">
        <f>IF( 'Organized Input Output'!$AD$5= "y", $K$4*(D256*1000)/$K$3, 0)</f>
        <v>0</v>
      </c>
      <c r="K256" s="43">
        <f t="shared" si="47"/>
        <v>0</v>
      </c>
      <c r="L256" s="43">
        <f t="shared" si="48"/>
        <v>0</v>
      </c>
      <c r="M256" s="180">
        <f t="shared" si="43"/>
        <v>0</v>
      </c>
      <c r="N256" s="43">
        <f t="shared" si="49"/>
        <v>1200</v>
      </c>
      <c r="O256" s="128">
        <f t="shared" si="44"/>
        <v>4.32</v>
      </c>
      <c r="P256" s="181">
        <f t="shared" si="50"/>
        <v>4.32</v>
      </c>
      <c r="Q256" s="209">
        <f>IF( 'Organized Input Output'!$AF$9 = "y", P256 / ($Q$3 * $Q$4), 0)</f>
        <v>0</v>
      </c>
      <c r="R256" s="209">
        <f t="shared" si="51"/>
        <v>0</v>
      </c>
      <c r="S256" s="43">
        <f>IF( 'Organized Input Output'!$AF$9 = "y", IF(R256= 0, 1, 0), 0)</f>
        <v>0</v>
      </c>
      <c r="T256" s="209">
        <f t="shared" si="53"/>
        <v>0</v>
      </c>
      <c r="U256" s="43">
        <f>IF( 'Organized Input Output'!$AF$9 = "y", IF(T256= 0, 1, 0), 0)</f>
        <v>0</v>
      </c>
      <c r="V256" s="43">
        <f t="shared" si="45"/>
        <v>0</v>
      </c>
      <c r="W256" s="43">
        <f t="shared" si="52"/>
        <v>0</v>
      </c>
      <c r="X256" s="43">
        <f t="shared" si="54"/>
        <v>0</v>
      </c>
      <c r="Y256" s="43">
        <f t="shared" si="55"/>
        <v>0</v>
      </c>
    </row>
    <row r="257" spans="1:25" ht="15" customHeight="1">
      <c r="A257" s="43">
        <v>247</v>
      </c>
      <c r="B257" s="176">
        <v>0</v>
      </c>
      <c r="C257" s="126">
        <f>'Studio Rain System'!J269</f>
        <v>0</v>
      </c>
      <c r="D257" s="104">
        <f>'Studio Rain System'!K269</f>
        <v>0</v>
      </c>
      <c r="E257" s="104">
        <f>'Studio Rain System'!L269</f>
        <v>18.509999999999998</v>
      </c>
      <c r="F257" s="104">
        <f>'Studio Rain System'!M269</f>
        <v>0.745</v>
      </c>
      <c r="G257" s="177">
        <v>125600</v>
      </c>
      <c r="H257" s="178">
        <f t="shared" si="42"/>
        <v>0</v>
      </c>
      <c r="I257" s="128">
        <f t="shared" si="46"/>
        <v>0</v>
      </c>
      <c r="J257" s="193">
        <f>IF( 'Organized Input Output'!$AD$5= "y", $K$4*(D257*1000)/$K$3, 0)</f>
        <v>0</v>
      </c>
      <c r="K257" s="43">
        <f t="shared" si="47"/>
        <v>0</v>
      </c>
      <c r="L257" s="43">
        <f t="shared" si="48"/>
        <v>0</v>
      </c>
      <c r="M257" s="180">
        <f t="shared" si="43"/>
        <v>0</v>
      </c>
      <c r="N257" s="43">
        <f t="shared" si="49"/>
        <v>1200</v>
      </c>
      <c r="O257" s="128">
        <f t="shared" si="44"/>
        <v>4.32</v>
      </c>
      <c r="P257" s="181">
        <f t="shared" si="50"/>
        <v>4.32</v>
      </c>
      <c r="Q257" s="209">
        <f>IF( 'Organized Input Output'!$AF$9 = "y", P257 / ($Q$3 * $Q$4), 0)</f>
        <v>0</v>
      </c>
      <c r="R257" s="209">
        <f t="shared" si="51"/>
        <v>0</v>
      </c>
      <c r="S257" s="43">
        <f>IF( 'Organized Input Output'!$AF$9 = "y", IF(R257= 0, 1, 0), 0)</f>
        <v>0</v>
      </c>
      <c r="T257" s="209">
        <f t="shared" si="53"/>
        <v>0</v>
      </c>
      <c r="U257" s="43">
        <f>IF( 'Organized Input Output'!$AF$9 = "y", IF(T257= 0, 1, 0), 0)</f>
        <v>0</v>
      </c>
      <c r="V257" s="43">
        <f t="shared" si="45"/>
        <v>0</v>
      </c>
      <c r="W257" s="43">
        <f t="shared" si="52"/>
        <v>0</v>
      </c>
      <c r="X257" s="43">
        <f t="shared" si="54"/>
        <v>0</v>
      </c>
      <c r="Y257" s="43">
        <f t="shared" si="55"/>
        <v>0</v>
      </c>
    </row>
    <row r="258" spans="1:25" ht="15" customHeight="1">
      <c r="A258" s="43">
        <v>248</v>
      </c>
      <c r="B258" s="176">
        <v>0</v>
      </c>
      <c r="C258" s="126">
        <f>'Studio Rain System'!J270</f>
        <v>0</v>
      </c>
      <c r="D258" s="104">
        <f>'Studio Rain System'!K270</f>
        <v>0</v>
      </c>
      <c r="E258" s="104">
        <f>'Studio Rain System'!L270</f>
        <v>17.764999999999997</v>
      </c>
      <c r="F258" s="104">
        <f>'Studio Rain System'!M270</f>
        <v>0.745</v>
      </c>
      <c r="G258" s="177">
        <v>125600</v>
      </c>
      <c r="H258" s="178">
        <f t="shared" si="42"/>
        <v>0</v>
      </c>
      <c r="I258" s="128">
        <f t="shared" si="46"/>
        <v>0</v>
      </c>
      <c r="J258" s="193">
        <f>IF( 'Organized Input Output'!$AD$5= "y", $K$4*(D258*1000)/$K$3, 0)</f>
        <v>0</v>
      </c>
      <c r="K258" s="43">
        <f t="shared" si="47"/>
        <v>0</v>
      </c>
      <c r="L258" s="43">
        <f t="shared" si="48"/>
        <v>0</v>
      </c>
      <c r="M258" s="180">
        <f t="shared" si="43"/>
        <v>0</v>
      </c>
      <c r="N258" s="43">
        <f t="shared" si="49"/>
        <v>1200</v>
      </c>
      <c r="O258" s="128">
        <f t="shared" si="44"/>
        <v>4.32</v>
      </c>
      <c r="P258" s="181">
        <f t="shared" si="50"/>
        <v>4.32</v>
      </c>
      <c r="Q258" s="209">
        <f>IF( 'Organized Input Output'!$AF$9 = "y", P258 / ($Q$3 * $Q$4), 0)</f>
        <v>0</v>
      </c>
      <c r="R258" s="209">
        <f t="shared" si="51"/>
        <v>0</v>
      </c>
      <c r="S258" s="43">
        <f>IF( 'Organized Input Output'!$AF$9 = "y", IF(R258= 0, 1, 0), 0)</f>
        <v>0</v>
      </c>
      <c r="T258" s="209">
        <f t="shared" si="53"/>
        <v>0</v>
      </c>
      <c r="U258" s="43">
        <f>IF( 'Organized Input Output'!$AF$9 = "y", IF(T258= 0, 1, 0), 0)</f>
        <v>0</v>
      </c>
      <c r="V258" s="43">
        <f t="shared" si="45"/>
        <v>0</v>
      </c>
      <c r="W258" s="43">
        <f t="shared" si="52"/>
        <v>0</v>
      </c>
      <c r="X258" s="43">
        <f t="shared" si="54"/>
        <v>0</v>
      </c>
      <c r="Y258" s="43">
        <f t="shared" si="55"/>
        <v>0</v>
      </c>
    </row>
    <row r="259" spans="1:25" ht="15" customHeight="1">
      <c r="A259" s="43">
        <v>249</v>
      </c>
      <c r="B259" s="176">
        <v>0</v>
      </c>
      <c r="C259" s="126">
        <f>'Studio Rain System'!J271</f>
        <v>0</v>
      </c>
      <c r="D259" s="104">
        <f>'Studio Rain System'!K271</f>
        <v>0</v>
      </c>
      <c r="E259" s="104">
        <f>'Studio Rain System'!L271</f>
        <v>17.019999999999996</v>
      </c>
      <c r="F259" s="104">
        <f>'Studio Rain System'!M271</f>
        <v>0.745</v>
      </c>
      <c r="G259" s="177">
        <v>125600</v>
      </c>
      <c r="H259" s="178">
        <f t="shared" si="42"/>
        <v>0</v>
      </c>
      <c r="I259" s="128">
        <f t="shared" si="46"/>
        <v>0</v>
      </c>
      <c r="J259" s="193">
        <f>IF( 'Organized Input Output'!$AD$5= "y", $K$4*(D259*1000)/$K$3, 0)</f>
        <v>0</v>
      </c>
      <c r="K259" s="43">
        <f t="shared" si="47"/>
        <v>0</v>
      </c>
      <c r="L259" s="43">
        <f t="shared" si="48"/>
        <v>0</v>
      </c>
      <c r="M259" s="180">
        <f t="shared" si="43"/>
        <v>0</v>
      </c>
      <c r="N259" s="43">
        <f t="shared" si="49"/>
        <v>1200</v>
      </c>
      <c r="O259" s="128">
        <f t="shared" si="44"/>
        <v>4.32</v>
      </c>
      <c r="P259" s="181">
        <f t="shared" si="50"/>
        <v>4.32</v>
      </c>
      <c r="Q259" s="209">
        <f>IF( 'Organized Input Output'!$AF$9 = "y", P259 / ($Q$3 * $Q$4), 0)</f>
        <v>0</v>
      </c>
      <c r="R259" s="209">
        <f t="shared" si="51"/>
        <v>0</v>
      </c>
      <c r="S259" s="43">
        <f>IF( 'Organized Input Output'!$AF$9 = "y", IF(R259= 0, 1, 0), 0)</f>
        <v>0</v>
      </c>
      <c r="T259" s="209">
        <f t="shared" si="53"/>
        <v>0</v>
      </c>
      <c r="U259" s="43">
        <f>IF( 'Organized Input Output'!$AF$9 = "y", IF(T259= 0, 1, 0), 0)</f>
        <v>0</v>
      </c>
      <c r="V259" s="43">
        <f t="shared" si="45"/>
        <v>0</v>
      </c>
      <c r="W259" s="43">
        <f t="shared" si="52"/>
        <v>0</v>
      </c>
      <c r="X259" s="43">
        <f t="shared" si="54"/>
        <v>0</v>
      </c>
      <c r="Y259" s="43">
        <f t="shared" si="55"/>
        <v>0</v>
      </c>
    </row>
    <row r="260" spans="1:25" ht="15" customHeight="1">
      <c r="A260" s="43">
        <v>250</v>
      </c>
      <c r="B260" s="176">
        <v>0</v>
      </c>
      <c r="C260" s="126">
        <f>'Studio Rain System'!J272</f>
        <v>0</v>
      </c>
      <c r="D260" s="104">
        <f>'Studio Rain System'!K272</f>
        <v>0</v>
      </c>
      <c r="E260" s="104">
        <f>'Studio Rain System'!L272</f>
        <v>16.274999999999995</v>
      </c>
      <c r="F260" s="104">
        <f>'Studio Rain System'!M272</f>
        <v>0.745</v>
      </c>
      <c r="G260" s="177">
        <v>125600</v>
      </c>
      <c r="H260" s="178">
        <f t="shared" si="42"/>
        <v>0</v>
      </c>
      <c r="I260" s="128">
        <f t="shared" si="46"/>
        <v>0</v>
      </c>
      <c r="J260" s="193">
        <f>IF( 'Organized Input Output'!$AD$5= "y", $K$4*(D260*1000)/$K$3, 0)</f>
        <v>0</v>
      </c>
      <c r="K260" s="43">
        <f t="shared" si="47"/>
        <v>0</v>
      </c>
      <c r="L260" s="43">
        <f t="shared" si="48"/>
        <v>0</v>
      </c>
      <c r="M260" s="180">
        <f t="shared" si="43"/>
        <v>0</v>
      </c>
      <c r="N260" s="43">
        <f t="shared" si="49"/>
        <v>1200</v>
      </c>
      <c r="O260" s="128">
        <f t="shared" si="44"/>
        <v>4.32</v>
      </c>
      <c r="P260" s="181">
        <f t="shared" si="50"/>
        <v>4.32</v>
      </c>
      <c r="Q260" s="209">
        <f>IF( 'Organized Input Output'!$AF$9 = "y", P260 / ($Q$3 * $Q$4), 0)</f>
        <v>0</v>
      </c>
      <c r="R260" s="209">
        <f t="shared" si="51"/>
        <v>0</v>
      </c>
      <c r="S260" s="43">
        <f>IF( 'Organized Input Output'!$AF$9 = "y", IF(R260= 0, 1, 0), 0)</f>
        <v>0</v>
      </c>
      <c r="T260" s="209">
        <f t="shared" si="53"/>
        <v>0</v>
      </c>
      <c r="U260" s="43">
        <f>IF( 'Organized Input Output'!$AF$9 = "y", IF(T260= 0, 1, 0), 0)</f>
        <v>0</v>
      </c>
      <c r="V260" s="43">
        <f t="shared" si="45"/>
        <v>0</v>
      </c>
      <c r="W260" s="43">
        <f t="shared" si="52"/>
        <v>0</v>
      </c>
      <c r="X260" s="43">
        <f t="shared" si="54"/>
        <v>0</v>
      </c>
      <c r="Y260" s="43">
        <f t="shared" si="55"/>
        <v>0</v>
      </c>
    </row>
    <row r="261" spans="1:25" ht="15" customHeight="1">
      <c r="A261" s="43">
        <v>251</v>
      </c>
      <c r="B261" s="176">
        <v>0</v>
      </c>
      <c r="C261" s="126">
        <f>'Studio Rain System'!J273</f>
        <v>0</v>
      </c>
      <c r="D261" s="104">
        <f>'Studio Rain System'!K273</f>
        <v>0</v>
      </c>
      <c r="E261" s="104">
        <f>'Studio Rain System'!L273</f>
        <v>15.529999999999996</v>
      </c>
      <c r="F261" s="104">
        <f>'Studio Rain System'!M273</f>
        <v>0.745</v>
      </c>
      <c r="G261" s="177">
        <v>125600</v>
      </c>
      <c r="H261" s="178">
        <f t="shared" si="42"/>
        <v>0</v>
      </c>
      <c r="I261" s="128">
        <f t="shared" si="46"/>
        <v>0</v>
      </c>
      <c r="J261" s="193">
        <f>IF( 'Organized Input Output'!$AD$5= "y", $K$4*(D261*1000)/$K$3, 0)</f>
        <v>0</v>
      </c>
      <c r="K261" s="43">
        <f t="shared" si="47"/>
        <v>0</v>
      </c>
      <c r="L261" s="43">
        <f t="shared" si="48"/>
        <v>0</v>
      </c>
      <c r="M261" s="180">
        <f t="shared" si="43"/>
        <v>0</v>
      </c>
      <c r="N261" s="43">
        <f t="shared" si="49"/>
        <v>1200</v>
      </c>
      <c r="O261" s="128">
        <f t="shared" si="44"/>
        <v>4.32</v>
      </c>
      <c r="P261" s="181">
        <f t="shared" si="50"/>
        <v>4.32</v>
      </c>
      <c r="Q261" s="209">
        <f>IF( 'Organized Input Output'!$AF$9 = "y", P261 / ($Q$3 * $Q$4), 0)</f>
        <v>0</v>
      </c>
      <c r="R261" s="209">
        <f t="shared" si="51"/>
        <v>0</v>
      </c>
      <c r="S261" s="43">
        <f>IF( 'Organized Input Output'!$AF$9 = "y", IF(R261= 0, 1, 0), 0)</f>
        <v>0</v>
      </c>
      <c r="T261" s="209">
        <f t="shared" si="53"/>
        <v>0</v>
      </c>
      <c r="U261" s="43">
        <f>IF( 'Organized Input Output'!$AF$9 = "y", IF(T261= 0, 1, 0), 0)</f>
        <v>0</v>
      </c>
      <c r="V261" s="43">
        <f t="shared" si="45"/>
        <v>0</v>
      </c>
      <c r="W261" s="43">
        <f t="shared" si="52"/>
        <v>0</v>
      </c>
      <c r="X261" s="43">
        <f t="shared" si="54"/>
        <v>0</v>
      </c>
      <c r="Y261" s="43">
        <f t="shared" si="55"/>
        <v>0</v>
      </c>
    </row>
    <row r="262" spans="1:25" ht="15" customHeight="1">
      <c r="A262" s="43">
        <v>252</v>
      </c>
      <c r="B262" s="176">
        <v>0</v>
      </c>
      <c r="C262" s="126">
        <f>'Studio Rain System'!J274</f>
        <v>0</v>
      </c>
      <c r="D262" s="104">
        <f>'Studio Rain System'!K274</f>
        <v>0</v>
      </c>
      <c r="E262" s="104">
        <f>'Studio Rain System'!L274</f>
        <v>14.784999999999997</v>
      </c>
      <c r="F262" s="104">
        <f>'Studio Rain System'!M274</f>
        <v>0.745</v>
      </c>
      <c r="G262" s="177">
        <v>125600</v>
      </c>
      <c r="H262" s="178">
        <f t="shared" si="42"/>
        <v>0</v>
      </c>
      <c r="I262" s="128">
        <f t="shared" si="46"/>
        <v>0</v>
      </c>
      <c r="J262" s="193">
        <f>IF( 'Organized Input Output'!$AD$5= "y", $K$4*(D262*1000)/$K$3, 0)</f>
        <v>0</v>
      </c>
      <c r="K262" s="43">
        <f t="shared" si="47"/>
        <v>0</v>
      </c>
      <c r="L262" s="43">
        <f t="shared" si="48"/>
        <v>0</v>
      </c>
      <c r="M262" s="180">
        <f t="shared" si="43"/>
        <v>0</v>
      </c>
      <c r="N262" s="43">
        <f t="shared" si="49"/>
        <v>1200</v>
      </c>
      <c r="O262" s="128">
        <f t="shared" si="44"/>
        <v>4.32</v>
      </c>
      <c r="P262" s="181">
        <f t="shared" si="50"/>
        <v>4.32</v>
      </c>
      <c r="Q262" s="209">
        <f>IF( 'Organized Input Output'!$AF$9 = "y", P262 / ($Q$3 * $Q$4), 0)</f>
        <v>0</v>
      </c>
      <c r="R262" s="209">
        <f t="shared" si="51"/>
        <v>0</v>
      </c>
      <c r="S262" s="43">
        <f>IF( 'Organized Input Output'!$AF$9 = "y", IF(R262= 0, 1, 0), 0)</f>
        <v>0</v>
      </c>
      <c r="T262" s="209">
        <f t="shared" si="53"/>
        <v>0</v>
      </c>
      <c r="U262" s="43">
        <f>IF( 'Organized Input Output'!$AF$9 = "y", IF(T262= 0, 1, 0), 0)</f>
        <v>0</v>
      </c>
      <c r="V262" s="43">
        <f t="shared" si="45"/>
        <v>0</v>
      </c>
      <c r="W262" s="43">
        <f t="shared" si="52"/>
        <v>0</v>
      </c>
      <c r="X262" s="43">
        <f t="shared" si="54"/>
        <v>0</v>
      </c>
      <c r="Y262" s="43">
        <f t="shared" si="55"/>
        <v>0</v>
      </c>
    </row>
    <row r="263" spans="1:25" ht="15" customHeight="1">
      <c r="A263" s="43">
        <v>253</v>
      </c>
      <c r="B263" s="176">
        <v>0</v>
      </c>
      <c r="C263" s="126">
        <f>'Studio Rain System'!J275</f>
        <v>0</v>
      </c>
      <c r="D263" s="104">
        <f>'Studio Rain System'!K275</f>
        <v>0</v>
      </c>
      <c r="E263" s="104">
        <f>'Studio Rain System'!L275</f>
        <v>14.039999999999997</v>
      </c>
      <c r="F263" s="104">
        <f>'Studio Rain System'!M275</f>
        <v>0.745</v>
      </c>
      <c r="G263" s="177">
        <v>125600</v>
      </c>
      <c r="H263" s="178">
        <f t="shared" si="42"/>
        <v>0</v>
      </c>
      <c r="I263" s="128">
        <f t="shared" si="46"/>
        <v>0</v>
      </c>
      <c r="J263" s="193">
        <f>IF( 'Organized Input Output'!$AD$5= "y", $K$4*(D263*1000)/$K$3, 0)</f>
        <v>0</v>
      </c>
      <c r="K263" s="43">
        <f t="shared" si="47"/>
        <v>0</v>
      </c>
      <c r="L263" s="43">
        <f t="shared" si="48"/>
        <v>0</v>
      </c>
      <c r="M263" s="180">
        <f t="shared" si="43"/>
        <v>0</v>
      </c>
      <c r="N263" s="43">
        <f t="shared" si="49"/>
        <v>1200</v>
      </c>
      <c r="O263" s="128">
        <f t="shared" si="44"/>
        <v>4.32</v>
      </c>
      <c r="P263" s="181">
        <f t="shared" si="50"/>
        <v>4.32</v>
      </c>
      <c r="Q263" s="209">
        <f>IF( 'Organized Input Output'!$AF$9 = "y", P263 / ($Q$3 * $Q$4), 0)</f>
        <v>0</v>
      </c>
      <c r="R263" s="209">
        <f t="shared" si="51"/>
        <v>0</v>
      </c>
      <c r="S263" s="43">
        <f>IF( 'Organized Input Output'!$AF$9 = "y", IF(R263= 0, 1, 0), 0)</f>
        <v>0</v>
      </c>
      <c r="T263" s="209">
        <f t="shared" si="53"/>
        <v>0</v>
      </c>
      <c r="U263" s="43">
        <f>IF( 'Organized Input Output'!$AF$9 = "y", IF(T263= 0, 1, 0), 0)</f>
        <v>0</v>
      </c>
      <c r="V263" s="43">
        <f t="shared" si="45"/>
        <v>0</v>
      </c>
      <c r="W263" s="43">
        <f t="shared" si="52"/>
        <v>0</v>
      </c>
      <c r="X263" s="43">
        <f t="shared" si="54"/>
        <v>0</v>
      </c>
      <c r="Y263" s="43">
        <f t="shared" si="55"/>
        <v>0</v>
      </c>
    </row>
    <row r="264" spans="1:25" ht="15" customHeight="1">
      <c r="A264" s="43">
        <v>254</v>
      </c>
      <c r="B264" s="176">
        <v>0</v>
      </c>
      <c r="C264" s="126">
        <f>'Studio Rain System'!J276</f>
        <v>0</v>
      </c>
      <c r="D264" s="104">
        <f>'Studio Rain System'!K276</f>
        <v>0</v>
      </c>
      <c r="E264" s="104">
        <f>'Studio Rain System'!L276</f>
        <v>13.294999999999998</v>
      </c>
      <c r="F264" s="104">
        <f>'Studio Rain System'!M276</f>
        <v>0.745</v>
      </c>
      <c r="G264" s="177">
        <v>125600</v>
      </c>
      <c r="H264" s="178">
        <f t="shared" si="42"/>
        <v>0</v>
      </c>
      <c r="I264" s="128">
        <f t="shared" si="46"/>
        <v>0</v>
      </c>
      <c r="J264" s="193">
        <f>IF( 'Organized Input Output'!$AD$5= "y", $K$4*(D264*1000)/$K$3, 0)</f>
        <v>0</v>
      </c>
      <c r="K264" s="43">
        <f t="shared" si="47"/>
        <v>0</v>
      </c>
      <c r="L264" s="43">
        <f t="shared" si="48"/>
        <v>0</v>
      </c>
      <c r="M264" s="180">
        <f t="shared" si="43"/>
        <v>0</v>
      </c>
      <c r="N264" s="43">
        <f t="shared" si="49"/>
        <v>1200</v>
      </c>
      <c r="O264" s="128">
        <f t="shared" si="44"/>
        <v>4.32</v>
      </c>
      <c r="P264" s="181">
        <f t="shared" si="50"/>
        <v>4.32</v>
      </c>
      <c r="Q264" s="209">
        <f>IF( 'Organized Input Output'!$AF$9 = "y", P264 / ($Q$3 * $Q$4), 0)</f>
        <v>0</v>
      </c>
      <c r="R264" s="209">
        <f t="shared" si="51"/>
        <v>0</v>
      </c>
      <c r="S264" s="43">
        <f>IF( 'Organized Input Output'!$AF$9 = "y", IF(R264= 0, 1, 0), 0)</f>
        <v>0</v>
      </c>
      <c r="T264" s="209">
        <f t="shared" si="53"/>
        <v>0</v>
      </c>
      <c r="U264" s="43">
        <f>IF( 'Organized Input Output'!$AF$9 = "y", IF(T264= 0, 1, 0), 0)</f>
        <v>0</v>
      </c>
      <c r="V264" s="43">
        <f t="shared" si="45"/>
        <v>0</v>
      </c>
      <c r="W264" s="43">
        <f t="shared" si="52"/>
        <v>0</v>
      </c>
      <c r="X264" s="43">
        <f t="shared" si="54"/>
        <v>0</v>
      </c>
      <c r="Y264" s="43">
        <f t="shared" si="55"/>
        <v>0</v>
      </c>
    </row>
    <row r="265" spans="1:25" ht="15" customHeight="1">
      <c r="A265" s="43">
        <v>255</v>
      </c>
      <c r="B265" s="176">
        <v>0</v>
      </c>
      <c r="C265" s="126">
        <f>'Studio Rain System'!J277</f>
        <v>0</v>
      </c>
      <c r="D265" s="104">
        <f>'Studio Rain System'!K277</f>
        <v>0</v>
      </c>
      <c r="E265" s="104">
        <f>'Studio Rain System'!L277</f>
        <v>12.549999999999999</v>
      </c>
      <c r="F265" s="104">
        <f>'Studio Rain System'!M277</f>
        <v>0.745</v>
      </c>
      <c r="G265" s="177">
        <v>125600</v>
      </c>
      <c r="H265" s="178">
        <f t="shared" si="42"/>
        <v>0</v>
      </c>
      <c r="I265" s="128">
        <f t="shared" si="46"/>
        <v>0</v>
      </c>
      <c r="J265" s="193">
        <f>IF( 'Organized Input Output'!$AD$5= "y", $K$4*(D265*1000)/$K$3, 0)</f>
        <v>0</v>
      </c>
      <c r="K265" s="43">
        <f t="shared" si="47"/>
        <v>0</v>
      </c>
      <c r="L265" s="43">
        <f t="shared" si="48"/>
        <v>0</v>
      </c>
      <c r="M265" s="180">
        <f t="shared" si="43"/>
        <v>0</v>
      </c>
      <c r="N265" s="43">
        <f t="shared" si="49"/>
        <v>1200</v>
      </c>
      <c r="O265" s="128">
        <f t="shared" si="44"/>
        <v>4.32</v>
      </c>
      <c r="P265" s="181">
        <f t="shared" si="50"/>
        <v>4.32</v>
      </c>
      <c r="Q265" s="209">
        <f>IF( 'Organized Input Output'!$AF$9 = "y", P265 / ($Q$3 * $Q$4), 0)</f>
        <v>0</v>
      </c>
      <c r="R265" s="209">
        <f t="shared" si="51"/>
        <v>0</v>
      </c>
      <c r="S265" s="43">
        <f>IF( 'Organized Input Output'!$AF$9 = "y", IF(R265= 0, 1, 0), 0)</f>
        <v>0</v>
      </c>
      <c r="T265" s="209">
        <f t="shared" si="53"/>
        <v>0</v>
      </c>
      <c r="U265" s="43">
        <f>IF( 'Organized Input Output'!$AF$9 = "y", IF(T265= 0, 1, 0), 0)</f>
        <v>0</v>
      </c>
      <c r="V265" s="43">
        <f t="shared" si="45"/>
        <v>0</v>
      </c>
      <c r="W265" s="43">
        <f t="shared" si="52"/>
        <v>0</v>
      </c>
      <c r="X265" s="43">
        <f t="shared" si="54"/>
        <v>0</v>
      </c>
      <c r="Y265" s="43">
        <f t="shared" si="55"/>
        <v>0</v>
      </c>
    </row>
    <row r="266" spans="1:25" ht="15" customHeight="1">
      <c r="A266" s="43">
        <v>256</v>
      </c>
      <c r="B266" s="176">
        <v>0</v>
      </c>
      <c r="C266" s="126">
        <f>'Studio Rain System'!J278</f>
        <v>0</v>
      </c>
      <c r="D266" s="104">
        <f>'Studio Rain System'!K278</f>
        <v>0</v>
      </c>
      <c r="E266" s="104">
        <f>'Studio Rain System'!L278</f>
        <v>11.805</v>
      </c>
      <c r="F266" s="104">
        <f>'Studio Rain System'!M278</f>
        <v>0.745</v>
      </c>
      <c r="G266" s="177">
        <v>125600</v>
      </c>
      <c r="H266" s="178">
        <f t="shared" si="42"/>
        <v>0</v>
      </c>
      <c r="I266" s="128">
        <f t="shared" si="46"/>
        <v>0</v>
      </c>
      <c r="J266" s="193">
        <f>IF( 'Organized Input Output'!$AD$5= "y", $K$4*(D266*1000)/$K$3, 0)</f>
        <v>0</v>
      </c>
      <c r="K266" s="43">
        <f t="shared" si="47"/>
        <v>0</v>
      </c>
      <c r="L266" s="43">
        <f t="shared" si="48"/>
        <v>0</v>
      </c>
      <c r="M266" s="180">
        <f t="shared" si="43"/>
        <v>0</v>
      </c>
      <c r="N266" s="43">
        <f t="shared" si="49"/>
        <v>1200</v>
      </c>
      <c r="O266" s="128">
        <f t="shared" si="44"/>
        <v>4.32</v>
      </c>
      <c r="P266" s="181">
        <f t="shared" si="50"/>
        <v>4.32</v>
      </c>
      <c r="Q266" s="209">
        <f>IF( 'Organized Input Output'!$AF$9 = "y", P266 / ($Q$3 * $Q$4), 0)</f>
        <v>0</v>
      </c>
      <c r="R266" s="209">
        <f t="shared" si="51"/>
        <v>0</v>
      </c>
      <c r="S266" s="43">
        <f>IF( 'Organized Input Output'!$AF$9 = "y", IF(R266= 0, 1, 0), 0)</f>
        <v>0</v>
      </c>
      <c r="T266" s="209">
        <f t="shared" si="53"/>
        <v>0</v>
      </c>
      <c r="U266" s="43">
        <f>IF( 'Organized Input Output'!$AF$9 = "y", IF(T266= 0, 1, 0), 0)</f>
        <v>0</v>
      </c>
      <c r="V266" s="43">
        <f t="shared" si="45"/>
        <v>0</v>
      </c>
      <c r="W266" s="43">
        <f t="shared" si="52"/>
        <v>0</v>
      </c>
      <c r="X266" s="43">
        <f t="shared" si="54"/>
        <v>0</v>
      </c>
      <c r="Y266" s="43">
        <f t="shared" si="55"/>
        <v>0</v>
      </c>
    </row>
    <row r="267" spans="1:25" ht="15" customHeight="1">
      <c r="A267" s="43">
        <v>257</v>
      </c>
      <c r="B267" s="176">
        <v>0</v>
      </c>
      <c r="C267" s="126">
        <f>'Studio Rain System'!J279</f>
        <v>0</v>
      </c>
      <c r="D267" s="104">
        <f>'Studio Rain System'!K279</f>
        <v>0</v>
      </c>
      <c r="E267" s="104">
        <f>'Studio Rain System'!L279</f>
        <v>11.06</v>
      </c>
      <c r="F267" s="104">
        <f>'Studio Rain System'!M279</f>
        <v>0.745</v>
      </c>
      <c r="G267" s="177">
        <v>125600</v>
      </c>
      <c r="H267" s="178">
        <f t="shared" ref="H267:H330" si="56">(G267*D267)/$H$3</f>
        <v>0</v>
      </c>
      <c r="I267" s="128">
        <f t="shared" si="46"/>
        <v>0</v>
      </c>
      <c r="J267" s="193">
        <f>IF( 'Organized Input Output'!$AD$5= "y", $K$4*(D267*1000)/$K$3, 0)</f>
        <v>0</v>
      </c>
      <c r="K267" s="43">
        <f t="shared" si="47"/>
        <v>0</v>
      </c>
      <c r="L267" s="43">
        <f t="shared" si="48"/>
        <v>0</v>
      </c>
      <c r="M267" s="180">
        <f t="shared" ref="M267:M330" si="57">IF(A267 &lt; 32, 0, $K$5*K267)</f>
        <v>0</v>
      </c>
      <c r="N267" s="43">
        <f t="shared" si="49"/>
        <v>1200</v>
      </c>
      <c r="O267" s="128">
        <f t="shared" ref="O267:O330" si="58" xml:space="preserve"> IF(A267 &lt; 31, 0, (N267 * 3600 / 1000000))</f>
        <v>4.32</v>
      </c>
      <c r="P267" s="181">
        <f t="shared" si="50"/>
        <v>4.32</v>
      </c>
      <c r="Q267" s="209">
        <f>IF( 'Organized Input Output'!$AF$9 = "y", P267 / ($Q$3 * $Q$4), 0)</f>
        <v>0</v>
      </c>
      <c r="R267" s="209">
        <f t="shared" si="51"/>
        <v>0</v>
      </c>
      <c r="S267" s="43">
        <f>IF( 'Organized Input Output'!$AF$9 = "y", IF(R267= 0, 1, 0), 0)</f>
        <v>0</v>
      </c>
      <c r="T267" s="209">
        <f t="shared" si="53"/>
        <v>0</v>
      </c>
      <c r="U267" s="43">
        <f>IF( 'Organized Input Output'!$AF$9 = "y", IF(T267= 0, 1, 0), 0)</f>
        <v>0</v>
      </c>
      <c r="V267" s="43">
        <f t="shared" ref="V267:V330" si="59">W$4*(D267*1000)*(1/$W$3)</f>
        <v>0</v>
      </c>
      <c r="W267" s="43">
        <f t="shared" si="52"/>
        <v>0</v>
      </c>
      <c r="X267" s="43">
        <f t="shared" si="54"/>
        <v>0</v>
      </c>
      <c r="Y267" s="43">
        <f t="shared" si="55"/>
        <v>0</v>
      </c>
    </row>
    <row r="268" spans="1:25" ht="15" customHeight="1">
      <c r="A268" s="43">
        <v>258</v>
      </c>
      <c r="B268" s="176">
        <v>0.6</v>
      </c>
      <c r="C268" s="126">
        <f>'Studio Rain System'!J280</f>
        <v>0</v>
      </c>
      <c r="D268" s="104">
        <f>'Studio Rain System'!K280</f>
        <v>0</v>
      </c>
      <c r="E268" s="104">
        <f>'Studio Rain System'!L280</f>
        <v>10.315000000000001</v>
      </c>
      <c r="F268" s="104">
        <f>'Studio Rain System'!M280</f>
        <v>0.745</v>
      </c>
      <c r="G268" s="177">
        <v>125600</v>
      </c>
      <c r="H268" s="178">
        <f t="shared" si="56"/>
        <v>0</v>
      </c>
      <c r="I268" s="128">
        <f t="shared" ref="I268:I331" si="60">H268/10^6</f>
        <v>0</v>
      </c>
      <c r="J268" s="193">
        <f>IF( 'Organized Input Output'!$AD$5= "y", $K$4*(D268*1000)/$K$3, 0)</f>
        <v>0</v>
      </c>
      <c r="K268" s="43">
        <f t="shared" ref="K268:K331" si="61">J268/1000</f>
        <v>0</v>
      </c>
      <c r="L268" s="43">
        <f t="shared" ref="L268:L331" si="62">M268*1000000</f>
        <v>0</v>
      </c>
      <c r="M268" s="180">
        <f t="shared" si="57"/>
        <v>0</v>
      </c>
      <c r="N268" s="43">
        <f t="shared" ref="N268:N331" si="63" xml:space="preserve"> $N$3 * 24</f>
        <v>1200</v>
      </c>
      <c r="O268" s="128">
        <f t="shared" si="58"/>
        <v>4.32</v>
      </c>
      <c r="P268" s="181">
        <f t="shared" ref="P268:P331" si="64">I268 + M268 + O268</f>
        <v>4.32</v>
      </c>
      <c r="Q268" s="209">
        <f>IF( 'Organized Input Output'!$AF$9 = "y", P268 / ($Q$3 * $Q$4), 0)</f>
        <v>0</v>
      </c>
      <c r="R268" s="209">
        <f t="shared" ref="R268:R331" si="65">IF(R267+Q268 &gt; 100, 0, R267+Q268 )</f>
        <v>0</v>
      </c>
      <c r="S268" s="43">
        <f>IF( 'Organized Input Output'!$AF$9 = "y", IF(R268= 0, 1, 0), 0)</f>
        <v>0</v>
      </c>
      <c r="T268" s="209">
        <f t="shared" si="53"/>
        <v>0</v>
      </c>
      <c r="U268" s="43">
        <f>IF( 'Organized Input Output'!$AF$9 = "y", IF(T268= 0, 1, 0), 0)</f>
        <v>0</v>
      </c>
      <c r="V268" s="43">
        <f t="shared" si="59"/>
        <v>0</v>
      </c>
      <c r="W268" s="43">
        <f t="shared" ref="W268:W331" si="66">V268/1000000</f>
        <v>0</v>
      </c>
      <c r="X268" s="43">
        <f t="shared" si="54"/>
        <v>0</v>
      </c>
      <c r="Y268" s="43">
        <f t="shared" si="55"/>
        <v>0</v>
      </c>
    </row>
    <row r="269" spans="1:25" ht="15" customHeight="1">
      <c r="A269" s="43">
        <v>259</v>
      </c>
      <c r="B269" s="176">
        <v>0</v>
      </c>
      <c r="C269" s="126">
        <f>'Studio Rain System'!J281</f>
        <v>0</v>
      </c>
      <c r="D269" s="104">
        <f>'Studio Rain System'!K281</f>
        <v>0</v>
      </c>
      <c r="E269" s="104">
        <f>'Studio Rain System'!L281</f>
        <v>9.5700000000000021</v>
      </c>
      <c r="F269" s="104">
        <f>'Studio Rain System'!M281</f>
        <v>0.745</v>
      </c>
      <c r="G269" s="177">
        <v>125600</v>
      </c>
      <c r="H269" s="178">
        <f t="shared" si="56"/>
        <v>0</v>
      </c>
      <c r="I269" s="128">
        <f t="shared" si="60"/>
        <v>0</v>
      </c>
      <c r="J269" s="193">
        <f>IF( 'Organized Input Output'!$AD$5= "y", $K$4*(D269*1000)/$K$3, 0)</f>
        <v>0</v>
      </c>
      <c r="K269" s="43">
        <f t="shared" si="61"/>
        <v>0</v>
      </c>
      <c r="L269" s="43">
        <f t="shared" si="62"/>
        <v>0</v>
      </c>
      <c r="M269" s="180">
        <f t="shared" si="57"/>
        <v>0</v>
      </c>
      <c r="N269" s="43">
        <f t="shared" si="63"/>
        <v>1200</v>
      </c>
      <c r="O269" s="128">
        <f t="shared" si="58"/>
        <v>4.32</v>
      </c>
      <c r="P269" s="181">
        <f t="shared" si="64"/>
        <v>4.32</v>
      </c>
      <c r="Q269" s="209">
        <f>IF( 'Organized Input Output'!$AF$9 = "y", P269 / ($Q$3 * $Q$4), 0)</f>
        <v>0</v>
      </c>
      <c r="R269" s="209">
        <f t="shared" si="65"/>
        <v>0</v>
      </c>
      <c r="S269" s="43">
        <f>IF( 'Organized Input Output'!$AF$9 = "y", IF(R269= 0, 1, 0), 0)</f>
        <v>0</v>
      </c>
      <c r="T269" s="209">
        <f t="shared" ref="T269:T332" si="67">IF(T268+Q269 &gt; 250, 0, T268+Q269 )</f>
        <v>0</v>
      </c>
      <c r="U269" s="43">
        <f>IF( 'Organized Input Output'!$AF$9 = "y", IF(T269= 0, 1, 0), 0)</f>
        <v>0</v>
      </c>
      <c r="V269" s="43">
        <f t="shared" si="59"/>
        <v>0</v>
      </c>
      <c r="W269" s="43">
        <f t="shared" si="66"/>
        <v>0</v>
      </c>
      <c r="X269" s="43">
        <f t="shared" ref="X269:X332" si="68">IF(X268+W269 &gt;= 4.4, 0, X268+W269 )</f>
        <v>0</v>
      </c>
      <c r="Y269" s="43">
        <f t="shared" ref="Y269:Y332" si="69">IF( V269 +X269+ W269 = 0, 0, IF(X269= 0, 1, 0))</f>
        <v>0</v>
      </c>
    </row>
    <row r="270" spans="1:25" ht="15" customHeight="1">
      <c r="A270" s="43">
        <v>260</v>
      </c>
      <c r="B270" s="176">
        <v>0.8</v>
      </c>
      <c r="C270" s="126">
        <f>'Studio Rain System'!J282</f>
        <v>0</v>
      </c>
      <c r="D270" s="104">
        <f>'Studio Rain System'!K282</f>
        <v>0</v>
      </c>
      <c r="E270" s="104">
        <f>'Studio Rain System'!L282</f>
        <v>8.8250000000000028</v>
      </c>
      <c r="F270" s="104">
        <f>'Studio Rain System'!M282</f>
        <v>0.745</v>
      </c>
      <c r="G270" s="177">
        <v>125600</v>
      </c>
      <c r="H270" s="178">
        <f t="shared" si="56"/>
        <v>0</v>
      </c>
      <c r="I270" s="128">
        <f t="shared" si="60"/>
        <v>0</v>
      </c>
      <c r="J270" s="193">
        <f>IF( 'Organized Input Output'!$AD$5= "y", $K$4*(D270*1000)/$K$3, 0)</f>
        <v>0</v>
      </c>
      <c r="K270" s="43">
        <f t="shared" si="61"/>
        <v>0</v>
      </c>
      <c r="L270" s="43">
        <f t="shared" si="62"/>
        <v>0</v>
      </c>
      <c r="M270" s="180">
        <f t="shared" si="57"/>
        <v>0</v>
      </c>
      <c r="N270" s="43">
        <f t="shared" si="63"/>
        <v>1200</v>
      </c>
      <c r="O270" s="128">
        <f t="shared" si="58"/>
        <v>4.32</v>
      </c>
      <c r="P270" s="181">
        <f t="shared" si="64"/>
        <v>4.32</v>
      </c>
      <c r="Q270" s="209">
        <f>IF( 'Organized Input Output'!$AF$9 = "y", P270 / ($Q$3 * $Q$4), 0)</f>
        <v>0</v>
      </c>
      <c r="R270" s="209">
        <f t="shared" si="65"/>
        <v>0</v>
      </c>
      <c r="S270" s="43">
        <f>IF( 'Organized Input Output'!$AF$9 = "y", IF(R270= 0, 1, 0), 0)</f>
        <v>0</v>
      </c>
      <c r="T270" s="209">
        <f t="shared" si="67"/>
        <v>0</v>
      </c>
      <c r="U270" s="43">
        <f>IF( 'Organized Input Output'!$AF$9 = "y", IF(T270= 0, 1, 0), 0)</f>
        <v>0</v>
      </c>
      <c r="V270" s="43">
        <f t="shared" si="59"/>
        <v>0</v>
      </c>
      <c r="W270" s="43">
        <f t="shared" si="66"/>
        <v>0</v>
      </c>
      <c r="X270" s="43">
        <f t="shared" si="68"/>
        <v>0</v>
      </c>
      <c r="Y270" s="43">
        <f t="shared" si="69"/>
        <v>0</v>
      </c>
    </row>
    <row r="271" spans="1:25" ht="15" customHeight="1">
      <c r="A271" s="43">
        <v>261</v>
      </c>
      <c r="B271" s="176">
        <v>1.2</v>
      </c>
      <c r="C271" s="126">
        <f>'Studio Rain System'!J283</f>
        <v>26.4</v>
      </c>
      <c r="D271" s="104">
        <f>'Studio Rain System'!K283</f>
        <v>29.04</v>
      </c>
      <c r="E271" s="104">
        <f>'Studio Rain System'!L283</f>
        <v>20</v>
      </c>
      <c r="F271" s="104">
        <f>'Studio Rain System'!M283</f>
        <v>0.745</v>
      </c>
      <c r="G271" s="177">
        <v>125600</v>
      </c>
      <c r="H271" s="178">
        <f t="shared" si="56"/>
        <v>5210605.7142857146</v>
      </c>
      <c r="I271" s="128">
        <f t="shared" si="60"/>
        <v>5.2106057142857143</v>
      </c>
      <c r="J271" s="193">
        <f>IF( 'Organized Input Output'!$AD$5= "y", $K$4*(D271*1000)/$K$3, 0)</f>
        <v>145200</v>
      </c>
      <c r="K271" s="43">
        <f t="shared" si="61"/>
        <v>145.19999999999999</v>
      </c>
      <c r="L271" s="43">
        <f t="shared" si="62"/>
        <v>290400000</v>
      </c>
      <c r="M271" s="180">
        <f t="shared" si="57"/>
        <v>290.39999999999998</v>
      </c>
      <c r="N271" s="43">
        <f t="shared" si="63"/>
        <v>1200</v>
      </c>
      <c r="O271" s="128">
        <f t="shared" si="58"/>
        <v>4.32</v>
      </c>
      <c r="P271" s="181">
        <f t="shared" si="64"/>
        <v>299.93060571428566</v>
      </c>
      <c r="Q271" s="209">
        <f>IF( 'Organized Input Output'!$AF$9 = "y", P271 / ($Q$3 * $Q$4), 0)</f>
        <v>0</v>
      </c>
      <c r="R271" s="209">
        <f t="shared" si="65"/>
        <v>0</v>
      </c>
      <c r="S271" s="43">
        <f>IF( 'Organized Input Output'!$AF$9 = "y", IF(R271= 0, 1, 0), 0)</f>
        <v>0</v>
      </c>
      <c r="T271" s="209">
        <f t="shared" si="67"/>
        <v>0</v>
      </c>
      <c r="U271" s="43">
        <f>IF( 'Organized Input Output'!$AF$9 = "y", IF(T271= 0, 1, 0), 0)</f>
        <v>0</v>
      </c>
      <c r="V271" s="43">
        <f t="shared" si="59"/>
        <v>0</v>
      </c>
      <c r="W271" s="43">
        <f t="shared" si="66"/>
        <v>0</v>
      </c>
      <c r="X271" s="43">
        <f t="shared" si="68"/>
        <v>0</v>
      </c>
      <c r="Y271" s="43">
        <f t="shared" si="69"/>
        <v>0</v>
      </c>
    </row>
    <row r="272" spans="1:25" ht="15" customHeight="1">
      <c r="A272" s="43">
        <v>262</v>
      </c>
      <c r="B272" s="176">
        <v>0.8</v>
      </c>
      <c r="C272" s="126">
        <f>'Studio Rain System'!J284</f>
        <v>0.4</v>
      </c>
      <c r="D272" s="104">
        <f>'Studio Rain System'!K284</f>
        <v>0.44</v>
      </c>
      <c r="E272" s="104">
        <f>'Studio Rain System'!L284</f>
        <v>19.695</v>
      </c>
      <c r="F272" s="104">
        <f>'Studio Rain System'!M284</f>
        <v>0.745</v>
      </c>
      <c r="G272" s="177">
        <v>125600</v>
      </c>
      <c r="H272" s="178">
        <f t="shared" si="56"/>
        <v>78948.571428571435</v>
      </c>
      <c r="I272" s="128">
        <f t="shared" si="60"/>
        <v>7.8948571428571437E-2</v>
      </c>
      <c r="J272" s="193">
        <f>IF( 'Organized Input Output'!$AD$5= "y", $K$4*(D272*1000)/$K$3, 0)</f>
        <v>2200</v>
      </c>
      <c r="K272" s="43">
        <f t="shared" si="61"/>
        <v>2.2000000000000002</v>
      </c>
      <c r="L272" s="43">
        <f t="shared" si="62"/>
        <v>4400000</v>
      </c>
      <c r="M272" s="180">
        <f t="shared" si="57"/>
        <v>4.4000000000000004</v>
      </c>
      <c r="N272" s="43">
        <f t="shared" si="63"/>
        <v>1200</v>
      </c>
      <c r="O272" s="128">
        <f t="shared" si="58"/>
        <v>4.32</v>
      </c>
      <c r="P272" s="181">
        <f t="shared" si="64"/>
        <v>8.7989485714285713</v>
      </c>
      <c r="Q272" s="209">
        <f>IF( 'Organized Input Output'!$AF$9 = "y", P272 / ($Q$3 * $Q$4), 0)</f>
        <v>0</v>
      </c>
      <c r="R272" s="209">
        <f t="shared" si="65"/>
        <v>0</v>
      </c>
      <c r="S272" s="43">
        <f>IF( 'Organized Input Output'!$AF$9 = "y", IF(R272= 0, 1, 0), 0)</f>
        <v>0</v>
      </c>
      <c r="T272" s="209">
        <f t="shared" si="67"/>
        <v>0</v>
      </c>
      <c r="U272" s="43">
        <f>IF( 'Organized Input Output'!$AF$9 = "y", IF(T272= 0, 1, 0), 0)</f>
        <v>0</v>
      </c>
      <c r="V272" s="43">
        <f t="shared" si="59"/>
        <v>0</v>
      </c>
      <c r="W272" s="43">
        <f t="shared" si="66"/>
        <v>0</v>
      </c>
      <c r="X272" s="43">
        <f t="shared" si="68"/>
        <v>0</v>
      </c>
      <c r="Y272" s="43">
        <f t="shared" si="69"/>
        <v>0</v>
      </c>
    </row>
    <row r="273" spans="1:25" ht="15" customHeight="1">
      <c r="A273" s="43">
        <v>263</v>
      </c>
      <c r="B273" s="176">
        <v>1.4</v>
      </c>
      <c r="C273" s="126">
        <f>'Studio Rain System'!J285</f>
        <v>0</v>
      </c>
      <c r="D273" s="104">
        <f>'Studio Rain System'!K285</f>
        <v>0</v>
      </c>
      <c r="E273" s="104">
        <f>'Studio Rain System'!L285</f>
        <v>18.95</v>
      </c>
      <c r="F273" s="104">
        <f>'Studio Rain System'!M285</f>
        <v>0.745</v>
      </c>
      <c r="G273" s="177">
        <v>125600</v>
      </c>
      <c r="H273" s="178">
        <f t="shared" si="56"/>
        <v>0</v>
      </c>
      <c r="I273" s="128">
        <f t="shared" si="60"/>
        <v>0</v>
      </c>
      <c r="J273" s="193">
        <f>IF( 'Organized Input Output'!$AD$5= "y", $K$4*(D273*1000)/$K$3, 0)</f>
        <v>0</v>
      </c>
      <c r="K273" s="43">
        <f t="shared" si="61"/>
        <v>0</v>
      </c>
      <c r="L273" s="43">
        <f t="shared" si="62"/>
        <v>0</v>
      </c>
      <c r="M273" s="180">
        <f t="shared" si="57"/>
        <v>0</v>
      </c>
      <c r="N273" s="43">
        <f t="shared" si="63"/>
        <v>1200</v>
      </c>
      <c r="O273" s="128">
        <f t="shared" si="58"/>
        <v>4.32</v>
      </c>
      <c r="P273" s="181">
        <f t="shared" si="64"/>
        <v>4.32</v>
      </c>
      <c r="Q273" s="209">
        <f>IF( 'Organized Input Output'!$AF$9 = "y", P273 / ($Q$3 * $Q$4), 0)</f>
        <v>0</v>
      </c>
      <c r="R273" s="209">
        <f t="shared" si="65"/>
        <v>0</v>
      </c>
      <c r="S273" s="43">
        <f>IF( 'Organized Input Output'!$AF$9 = "y", IF(R273= 0, 1, 0), 0)</f>
        <v>0</v>
      </c>
      <c r="T273" s="209">
        <f t="shared" si="67"/>
        <v>0</v>
      </c>
      <c r="U273" s="43">
        <f>IF( 'Organized Input Output'!$AF$9 = "y", IF(T273= 0, 1, 0), 0)</f>
        <v>0</v>
      </c>
      <c r="V273" s="43">
        <f t="shared" si="59"/>
        <v>0</v>
      </c>
      <c r="W273" s="43">
        <f t="shared" si="66"/>
        <v>0</v>
      </c>
      <c r="X273" s="43">
        <f t="shared" si="68"/>
        <v>0</v>
      </c>
      <c r="Y273" s="43">
        <f t="shared" si="69"/>
        <v>0</v>
      </c>
    </row>
    <row r="274" spans="1:25" ht="15" customHeight="1">
      <c r="A274" s="43">
        <v>264</v>
      </c>
      <c r="B274" s="176">
        <v>1.4</v>
      </c>
      <c r="C274" s="126">
        <f>'Studio Rain System'!J286</f>
        <v>2</v>
      </c>
      <c r="D274" s="104">
        <f>'Studio Rain System'!K286</f>
        <v>2.2000000000000002</v>
      </c>
      <c r="E274" s="104">
        <f>'Studio Rain System'!L286</f>
        <v>20</v>
      </c>
      <c r="F274" s="104">
        <f>'Studio Rain System'!M286</f>
        <v>0.745</v>
      </c>
      <c r="G274" s="177">
        <v>125600</v>
      </c>
      <c r="H274" s="178">
        <f t="shared" si="56"/>
        <v>394742.85714285716</v>
      </c>
      <c r="I274" s="128">
        <f t="shared" si="60"/>
        <v>0.39474285714285717</v>
      </c>
      <c r="J274" s="193">
        <f>IF( 'Organized Input Output'!$AD$5= "y", $K$4*(D274*1000)/$K$3, 0)</f>
        <v>11000</v>
      </c>
      <c r="K274" s="43">
        <f t="shared" si="61"/>
        <v>11</v>
      </c>
      <c r="L274" s="43">
        <f t="shared" si="62"/>
        <v>22000000</v>
      </c>
      <c r="M274" s="180">
        <f t="shared" si="57"/>
        <v>22</v>
      </c>
      <c r="N274" s="43">
        <f t="shared" si="63"/>
        <v>1200</v>
      </c>
      <c r="O274" s="128">
        <f t="shared" si="58"/>
        <v>4.32</v>
      </c>
      <c r="P274" s="181">
        <f t="shared" si="64"/>
        <v>26.714742857142859</v>
      </c>
      <c r="Q274" s="209">
        <f>IF( 'Organized Input Output'!$AF$9 = "y", P274 / ($Q$3 * $Q$4), 0)</f>
        <v>0</v>
      </c>
      <c r="R274" s="209">
        <f t="shared" si="65"/>
        <v>0</v>
      </c>
      <c r="S274" s="43">
        <f>IF( 'Organized Input Output'!$AF$9 = "y", IF(R274= 0, 1, 0), 0)</f>
        <v>0</v>
      </c>
      <c r="T274" s="209">
        <f t="shared" si="67"/>
        <v>0</v>
      </c>
      <c r="U274" s="43">
        <f>IF( 'Organized Input Output'!$AF$9 = "y", IF(T274= 0, 1, 0), 0)</f>
        <v>0</v>
      </c>
      <c r="V274" s="43">
        <f t="shared" si="59"/>
        <v>0</v>
      </c>
      <c r="W274" s="43">
        <f t="shared" si="66"/>
        <v>0</v>
      </c>
      <c r="X274" s="43">
        <f t="shared" si="68"/>
        <v>0</v>
      </c>
      <c r="Y274" s="43">
        <f t="shared" si="69"/>
        <v>0</v>
      </c>
    </row>
    <row r="275" spans="1:25" ht="15" customHeight="1">
      <c r="A275" s="43">
        <v>265</v>
      </c>
      <c r="B275" s="176">
        <v>5</v>
      </c>
      <c r="C275" s="126">
        <f>'Studio Rain System'!J287</f>
        <v>12.4</v>
      </c>
      <c r="D275" s="104">
        <f>'Studio Rain System'!K287</f>
        <v>13.639999999999999</v>
      </c>
      <c r="E275" s="104">
        <f>'Studio Rain System'!L287</f>
        <v>20</v>
      </c>
      <c r="F275" s="104">
        <f>'Studio Rain System'!M287</f>
        <v>0.745</v>
      </c>
      <c r="G275" s="177">
        <v>125600</v>
      </c>
      <c r="H275" s="178">
        <f t="shared" si="56"/>
        <v>2447405.7142857141</v>
      </c>
      <c r="I275" s="128">
        <f t="shared" si="60"/>
        <v>2.447405714285714</v>
      </c>
      <c r="J275" s="193">
        <f>IF( 'Organized Input Output'!$AD$5= "y", $K$4*(D275*1000)/$K$3, 0)</f>
        <v>68199.999999999985</v>
      </c>
      <c r="K275" s="43">
        <f t="shared" si="61"/>
        <v>68.199999999999989</v>
      </c>
      <c r="L275" s="43">
        <f t="shared" si="62"/>
        <v>136399999.99999997</v>
      </c>
      <c r="M275" s="180">
        <f t="shared" si="57"/>
        <v>136.39999999999998</v>
      </c>
      <c r="N275" s="43">
        <f t="shared" si="63"/>
        <v>1200</v>
      </c>
      <c r="O275" s="128">
        <f t="shared" si="58"/>
        <v>4.32</v>
      </c>
      <c r="P275" s="181">
        <f t="shared" si="64"/>
        <v>143.16740571428568</v>
      </c>
      <c r="Q275" s="209">
        <f>IF( 'Organized Input Output'!$AF$9 = "y", P275 / ($Q$3 * $Q$4), 0)</f>
        <v>0</v>
      </c>
      <c r="R275" s="209">
        <f t="shared" si="65"/>
        <v>0</v>
      </c>
      <c r="S275" s="43">
        <f>IF( 'Organized Input Output'!$AF$9 = "y", IF(R275= 0, 1, 0), 0)</f>
        <v>0</v>
      </c>
      <c r="T275" s="209">
        <f t="shared" si="67"/>
        <v>0</v>
      </c>
      <c r="U275" s="43">
        <f>IF( 'Organized Input Output'!$AF$9 = "y", IF(T275= 0, 1, 0), 0)</f>
        <v>0</v>
      </c>
      <c r="V275" s="43">
        <f t="shared" si="59"/>
        <v>0</v>
      </c>
      <c r="W275" s="43">
        <f t="shared" si="66"/>
        <v>0</v>
      </c>
      <c r="X275" s="43">
        <f t="shared" si="68"/>
        <v>0</v>
      </c>
      <c r="Y275" s="43">
        <f t="shared" si="69"/>
        <v>0</v>
      </c>
    </row>
    <row r="276" spans="1:25" ht="15" customHeight="1">
      <c r="A276" s="43">
        <v>266</v>
      </c>
      <c r="B276" s="176">
        <v>1.2</v>
      </c>
      <c r="C276" s="126">
        <f>'Studio Rain System'!J288</f>
        <v>29.4</v>
      </c>
      <c r="D276" s="104">
        <f>'Studio Rain System'!K288</f>
        <v>32.339999999999996</v>
      </c>
      <c r="E276" s="104">
        <f>'Studio Rain System'!L288</f>
        <v>20</v>
      </c>
      <c r="F276" s="104">
        <f>'Studio Rain System'!M288</f>
        <v>0.745</v>
      </c>
      <c r="G276" s="177">
        <v>125600</v>
      </c>
      <c r="H276" s="178">
        <f t="shared" si="56"/>
        <v>5802720</v>
      </c>
      <c r="I276" s="128">
        <f t="shared" si="60"/>
        <v>5.8027199999999999</v>
      </c>
      <c r="J276" s="193">
        <f>IF( 'Organized Input Output'!$AD$5= "y", $K$4*(D276*1000)/$K$3, 0)</f>
        <v>161699.99999999997</v>
      </c>
      <c r="K276" s="43">
        <f t="shared" si="61"/>
        <v>161.69999999999996</v>
      </c>
      <c r="L276" s="43">
        <f t="shared" si="62"/>
        <v>323399999.99999994</v>
      </c>
      <c r="M276" s="180">
        <f t="shared" si="57"/>
        <v>323.39999999999992</v>
      </c>
      <c r="N276" s="43">
        <f t="shared" si="63"/>
        <v>1200</v>
      </c>
      <c r="O276" s="128">
        <f t="shared" si="58"/>
        <v>4.32</v>
      </c>
      <c r="P276" s="181">
        <f t="shared" si="64"/>
        <v>333.52271999999994</v>
      </c>
      <c r="Q276" s="209">
        <f>IF( 'Organized Input Output'!$AF$9 = "y", P276 / ($Q$3 * $Q$4), 0)</f>
        <v>0</v>
      </c>
      <c r="R276" s="209">
        <f t="shared" si="65"/>
        <v>0</v>
      </c>
      <c r="S276" s="43">
        <f>IF( 'Organized Input Output'!$AF$9 = "y", IF(R276= 0, 1, 0), 0)</f>
        <v>0</v>
      </c>
      <c r="T276" s="209">
        <f t="shared" si="67"/>
        <v>0</v>
      </c>
      <c r="U276" s="43">
        <f>IF( 'Organized Input Output'!$AF$9 = "y", IF(T276= 0, 1, 0), 0)</f>
        <v>0</v>
      </c>
      <c r="V276" s="43">
        <f t="shared" si="59"/>
        <v>0</v>
      </c>
      <c r="W276" s="43">
        <f t="shared" si="66"/>
        <v>0</v>
      </c>
      <c r="X276" s="43">
        <f t="shared" si="68"/>
        <v>0</v>
      </c>
      <c r="Y276" s="43">
        <f t="shared" si="69"/>
        <v>0</v>
      </c>
    </row>
    <row r="277" spans="1:25" ht="15" customHeight="1">
      <c r="A277" s="43">
        <v>267</v>
      </c>
      <c r="B277" s="176">
        <v>1.6</v>
      </c>
      <c r="C277" s="126">
        <f>'Studio Rain System'!J289</f>
        <v>1.6</v>
      </c>
      <c r="D277" s="104">
        <f>'Studio Rain System'!K289</f>
        <v>1.76</v>
      </c>
      <c r="E277" s="104">
        <f>'Studio Rain System'!L289</f>
        <v>20</v>
      </c>
      <c r="F277" s="104">
        <f>'Studio Rain System'!M289</f>
        <v>0.745</v>
      </c>
      <c r="G277" s="177">
        <v>125600</v>
      </c>
      <c r="H277" s="178">
        <f t="shared" si="56"/>
        <v>315794.28571428574</v>
      </c>
      <c r="I277" s="128">
        <f t="shared" si="60"/>
        <v>0.31579428571428575</v>
      </c>
      <c r="J277" s="193">
        <f>IF( 'Organized Input Output'!$AD$5= "y", $K$4*(D277*1000)/$K$3, 0)</f>
        <v>8800</v>
      </c>
      <c r="K277" s="43">
        <f t="shared" si="61"/>
        <v>8.8000000000000007</v>
      </c>
      <c r="L277" s="43">
        <f t="shared" si="62"/>
        <v>17600000</v>
      </c>
      <c r="M277" s="180">
        <f t="shared" si="57"/>
        <v>17.600000000000001</v>
      </c>
      <c r="N277" s="43">
        <f t="shared" si="63"/>
        <v>1200</v>
      </c>
      <c r="O277" s="128">
        <f t="shared" si="58"/>
        <v>4.32</v>
      </c>
      <c r="P277" s="181">
        <f t="shared" si="64"/>
        <v>22.235794285714288</v>
      </c>
      <c r="Q277" s="209">
        <f>IF( 'Organized Input Output'!$AF$9 = "y", P277 / ($Q$3 * $Q$4), 0)</f>
        <v>0</v>
      </c>
      <c r="R277" s="209">
        <f t="shared" si="65"/>
        <v>0</v>
      </c>
      <c r="S277" s="43">
        <f>IF( 'Organized Input Output'!$AF$9 = "y", IF(R277= 0, 1, 0), 0)</f>
        <v>0</v>
      </c>
      <c r="T277" s="209">
        <f t="shared" si="67"/>
        <v>0</v>
      </c>
      <c r="U277" s="43">
        <f>IF( 'Organized Input Output'!$AF$9 = "y", IF(T277= 0, 1, 0), 0)</f>
        <v>0</v>
      </c>
      <c r="V277" s="43">
        <f t="shared" si="59"/>
        <v>0</v>
      </c>
      <c r="W277" s="43">
        <f t="shared" si="66"/>
        <v>0</v>
      </c>
      <c r="X277" s="43">
        <f t="shared" si="68"/>
        <v>0</v>
      </c>
      <c r="Y277" s="43">
        <f t="shared" si="69"/>
        <v>0</v>
      </c>
    </row>
    <row r="278" spans="1:25" ht="15" customHeight="1">
      <c r="A278" s="43">
        <v>268</v>
      </c>
      <c r="B278" s="176">
        <v>0</v>
      </c>
      <c r="C278" s="126">
        <f>'Studio Rain System'!J290</f>
        <v>0.6</v>
      </c>
      <c r="D278" s="104">
        <f>'Studio Rain System'!K290</f>
        <v>0.65999999999999992</v>
      </c>
      <c r="E278" s="104">
        <f>'Studio Rain System'!L290</f>
        <v>19.914999999999999</v>
      </c>
      <c r="F278" s="104">
        <f>'Studio Rain System'!M290</f>
        <v>0.745</v>
      </c>
      <c r="G278" s="177">
        <v>125600</v>
      </c>
      <c r="H278" s="178">
        <f t="shared" si="56"/>
        <v>118422.85714285713</v>
      </c>
      <c r="I278" s="128">
        <f t="shared" si="60"/>
        <v>0.11842285714285714</v>
      </c>
      <c r="J278" s="193">
        <f>IF( 'Organized Input Output'!$AD$5= "y", $K$4*(D278*1000)/$K$3, 0)</f>
        <v>3299.9999999999991</v>
      </c>
      <c r="K278" s="43">
        <f t="shared" si="61"/>
        <v>3.2999999999999989</v>
      </c>
      <c r="L278" s="43">
        <f t="shared" si="62"/>
        <v>6599999.9999999981</v>
      </c>
      <c r="M278" s="180">
        <f t="shared" si="57"/>
        <v>6.5999999999999979</v>
      </c>
      <c r="N278" s="43">
        <f t="shared" si="63"/>
        <v>1200</v>
      </c>
      <c r="O278" s="128">
        <f t="shared" si="58"/>
        <v>4.32</v>
      </c>
      <c r="P278" s="181">
        <f t="shared" si="64"/>
        <v>11.038422857142855</v>
      </c>
      <c r="Q278" s="209">
        <f>IF( 'Organized Input Output'!$AF$9 = "y", P278 / ($Q$3 * $Q$4), 0)</f>
        <v>0</v>
      </c>
      <c r="R278" s="209">
        <f t="shared" si="65"/>
        <v>0</v>
      </c>
      <c r="S278" s="43">
        <f>IF( 'Organized Input Output'!$AF$9 = "y", IF(R278= 0, 1, 0), 0)</f>
        <v>0</v>
      </c>
      <c r="T278" s="209">
        <f t="shared" si="67"/>
        <v>0</v>
      </c>
      <c r="U278" s="43">
        <f>IF( 'Organized Input Output'!$AF$9 = "y", IF(T278= 0, 1, 0), 0)</f>
        <v>0</v>
      </c>
      <c r="V278" s="43">
        <f t="shared" si="59"/>
        <v>0</v>
      </c>
      <c r="W278" s="43">
        <f t="shared" si="66"/>
        <v>0</v>
      </c>
      <c r="X278" s="43">
        <f t="shared" si="68"/>
        <v>0</v>
      </c>
      <c r="Y278" s="43">
        <f t="shared" si="69"/>
        <v>0</v>
      </c>
    </row>
    <row r="279" spans="1:25" ht="15" customHeight="1">
      <c r="A279" s="43">
        <v>269</v>
      </c>
      <c r="B279" s="176">
        <v>4</v>
      </c>
      <c r="C279" s="126">
        <f>'Studio Rain System'!J291</f>
        <v>8.1999999999999993</v>
      </c>
      <c r="D279" s="104">
        <f>'Studio Rain System'!K291</f>
        <v>9.02</v>
      </c>
      <c r="E279" s="104">
        <f>'Studio Rain System'!L291</f>
        <v>20</v>
      </c>
      <c r="F279" s="104">
        <f>'Studio Rain System'!M291</f>
        <v>0.745</v>
      </c>
      <c r="G279" s="177">
        <v>125600</v>
      </c>
      <c r="H279" s="178">
        <f t="shared" si="56"/>
        <v>1618445.7142857143</v>
      </c>
      <c r="I279" s="128">
        <f t="shared" si="60"/>
        <v>1.6184457142857143</v>
      </c>
      <c r="J279" s="193">
        <f>IF( 'Organized Input Output'!$AD$5= "y", $K$4*(D279*1000)/$K$3, 0)</f>
        <v>45100</v>
      </c>
      <c r="K279" s="43">
        <f t="shared" si="61"/>
        <v>45.1</v>
      </c>
      <c r="L279" s="43">
        <f t="shared" si="62"/>
        <v>90200000</v>
      </c>
      <c r="M279" s="180">
        <f t="shared" si="57"/>
        <v>90.2</v>
      </c>
      <c r="N279" s="43">
        <f t="shared" si="63"/>
        <v>1200</v>
      </c>
      <c r="O279" s="128">
        <f t="shared" si="58"/>
        <v>4.32</v>
      </c>
      <c r="P279" s="181">
        <f t="shared" si="64"/>
        <v>96.138445714285723</v>
      </c>
      <c r="Q279" s="209">
        <f>IF( 'Organized Input Output'!$AF$9 = "y", P279 / ($Q$3 * $Q$4), 0)</f>
        <v>0</v>
      </c>
      <c r="R279" s="209">
        <f t="shared" si="65"/>
        <v>0</v>
      </c>
      <c r="S279" s="43">
        <f>IF( 'Organized Input Output'!$AF$9 = "y", IF(R279= 0, 1, 0), 0)</f>
        <v>0</v>
      </c>
      <c r="T279" s="209">
        <f t="shared" si="67"/>
        <v>0</v>
      </c>
      <c r="U279" s="43">
        <f>IF( 'Organized Input Output'!$AF$9 = "y", IF(T279= 0, 1, 0), 0)</f>
        <v>0</v>
      </c>
      <c r="V279" s="43">
        <f t="shared" si="59"/>
        <v>0</v>
      </c>
      <c r="W279" s="43">
        <f t="shared" si="66"/>
        <v>0</v>
      </c>
      <c r="X279" s="43">
        <f t="shared" si="68"/>
        <v>0</v>
      </c>
      <c r="Y279" s="43">
        <f t="shared" si="69"/>
        <v>0</v>
      </c>
    </row>
    <row r="280" spans="1:25" ht="15" customHeight="1">
      <c r="A280" s="43">
        <v>270</v>
      </c>
      <c r="B280" s="176">
        <v>1.6</v>
      </c>
      <c r="C280" s="126">
        <f>'Studio Rain System'!J292</f>
        <v>0</v>
      </c>
      <c r="D280" s="104">
        <f>'Studio Rain System'!K292</f>
        <v>0</v>
      </c>
      <c r="E280" s="104">
        <f>'Studio Rain System'!L292</f>
        <v>19.254999999999999</v>
      </c>
      <c r="F280" s="104">
        <f>'Studio Rain System'!M292</f>
        <v>0.745</v>
      </c>
      <c r="G280" s="177">
        <v>125600</v>
      </c>
      <c r="H280" s="178">
        <f t="shared" si="56"/>
        <v>0</v>
      </c>
      <c r="I280" s="128">
        <f t="shared" si="60"/>
        <v>0</v>
      </c>
      <c r="J280" s="193">
        <f>IF( 'Organized Input Output'!$AD$5= "y", $K$4*(D280*1000)/$K$3, 0)</f>
        <v>0</v>
      </c>
      <c r="K280" s="43">
        <f t="shared" si="61"/>
        <v>0</v>
      </c>
      <c r="L280" s="43">
        <f t="shared" si="62"/>
        <v>0</v>
      </c>
      <c r="M280" s="180">
        <f t="shared" si="57"/>
        <v>0</v>
      </c>
      <c r="N280" s="43">
        <f t="shared" si="63"/>
        <v>1200</v>
      </c>
      <c r="O280" s="128">
        <f t="shared" si="58"/>
        <v>4.32</v>
      </c>
      <c r="P280" s="181">
        <f t="shared" si="64"/>
        <v>4.32</v>
      </c>
      <c r="Q280" s="209">
        <f>IF( 'Organized Input Output'!$AF$9 = "y", P280 / ($Q$3 * $Q$4), 0)</f>
        <v>0</v>
      </c>
      <c r="R280" s="209">
        <f t="shared" si="65"/>
        <v>0</v>
      </c>
      <c r="S280" s="43">
        <f>IF( 'Organized Input Output'!$AF$9 = "y", IF(R280= 0, 1, 0), 0)</f>
        <v>0</v>
      </c>
      <c r="T280" s="209">
        <f t="shared" si="67"/>
        <v>0</v>
      </c>
      <c r="U280" s="43">
        <f>IF( 'Organized Input Output'!$AF$9 = "y", IF(T280= 0, 1, 0), 0)</f>
        <v>0</v>
      </c>
      <c r="V280" s="43">
        <f t="shared" si="59"/>
        <v>0</v>
      </c>
      <c r="W280" s="43">
        <f t="shared" si="66"/>
        <v>0</v>
      </c>
      <c r="X280" s="43">
        <f t="shared" si="68"/>
        <v>0</v>
      </c>
      <c r="Y280" s="43">
        <f t="shared" si="69"/>
        <v>0</v>
      </c>
    </row>
    <row r="281" spans="1:25" ht="15" customHeight="1">
      <c r="A281" s="43">
        <v>271</v>
      </c>
      <c r="B281" s="176">
        <v>11</v>
      </c>
      <c r="C281" s="126">
        <f>'Studio Rain System'!J293</f>
        <v>12.4</v>
      </c>
      <c r="D281" s="104">
        <f>'Studio Rain System'!K293</f>
        <v>13.639999999999999</v>
      </c>
      <c r="E281" s="104">
        <f>'Studio Rain System'!L293</f>
        <v>20</v>
      </c>
      <c r="F281" s="104">
        <f>'Studio Rain System'!M293</f>
        <v>0.745</v>
      </c>
      <c r="G281" s="177">
        <v>125600</v>
      </c>
      <c r="H281" s="178">
        <f t="shared" si="56"/>
        <v>2447405.7142857141</v>
      </c>
      <c r="I281" s="128">
        <f t="shared" si="60"/>
        <v>2.447405714285714</v>
      </c>
      <c r="J281" s="193">
        <f>IF( 'Organized Input Output'!$AD$5= "y", $K$4*(D281*1000)/$K$3, 0)</f>
        <v>68199.999999999985</v>
      </c>
      <c r="K281" s="43">
        <f t="shared" si="61"/>
        <v>68.199999999999989</v>
      </c>
      <c r="L281" s="43">
        <f t="shared" si="62"/>
        <v>136399999.99999997</v>
      </c>
      <c r="M281" s="180">
        <f t="shared" si="57"/>
        <v>136.39999999999998</v>
      </c>
      <c r="N281" s="43">
        <f t="shared" si="63"/>
        <v>1200</v>
      </c>
      <c r="O281" s="128">
        <f t="shared" si="58"/>
        <v>4.32</v>
      </c>
      <c r="P281" s="181">
        <f t="shared" si="64"/>
        <v>143.16740571428568</v>
      </c>
      <c r="Q281" s="209">
        <f>IF( 'Organized Input Output'!$AF$9 = "y", P281 / ($Q$3 * $Q$4), 0)</f>
        <v>0</v>
      </c>
      <c r="R281" s="209">
        <f t="shared" si="65"/>
        <v>0</v>
      </c>
      <c r="S281" s="43">
        <f>IF( 'Organized Input Output'!$AF$9 = "y", IF(R281= 0, 1, 0), 0)</f>
        <v>0</v>
      </c>
      <c r="T281" s="209">
        <f t="shared" si="67"/>
        <v>0</v>
      </c>
      <c r="U281" s="43">
        <f>IF( 'Organized Input Output'!$AF$9 = "y", IF(T281= 0, 1, 0), 0)</f>
        <v>0</v>
      </c>
      <c r="V281" s="43">
        <f t="shared" si="59"/>
        <v>0</v>
      </c>
      <c r="W281" s="43">
        <f t="shared" si="66"/>
        <v>0</v>
      </c>
      <c r="X281" s="43">
        <f t="shared" si="68"/>
        <v>0</v>
      </c>
      <c r="Y281" s="43">
        <f t="shared" si="69"/>
        <v>0</v>
      </c>
    </row>
    <row r="282" spans="1:25" ht="15" customHeight="1">
      <c r="A282" s="43">
        <v>272</v>
      </c>
      <c r="B282" s="176">
        <v>5</v>
      </c>
      <c r="C282" s="126">
        <f>'Studio Rain System'!J294</f>
        <v>5.6</v>
      </c>
      <c r="D282" s="104">
        <f>'Studio Rain System'!K294</f>
        <v>6.16</v>
      </c>
      <c r="E282" s="104">
        <f>'Studio Rain System'!L294</f>
        <v>20</v>
      </c>
      <c r="F282" s="104">
        <f>'Studio Rain System'!M294</f>
        <v>0.745</v>
      </c>
      <c r="G282" s="177">
        <v>125600</v>
      </c>
      <c r="H282" s="178">
        <f t="shared" si="56"/>
        <v>1105280</v>
      </c>
      <c r="I282" s="128">
        <f t="shared" si="60"/>
        <v>1.10528</v>
      </c>
      <c r="J282" s="193">
        <f>IF( 'Organized Input Output'!$AD$5= "y", $K$4*(D282*1000)/$K$3, 0)</f>
        <v>30800</v>
      </c>
      <c r="K282" s="43">
        <f t="shared" si="61"/>
        <v>30.8</v>
      </c>
      <c r="L282" s="43">
        <f t="shared" si="62"/>
        <v>61600000</v>
      </c>
      <c r="M282" s="180">
        <f t="shared" si="57"/>
        <v>61.6</v>
      </c>
      <c r="N282" s="43">
        <f t="shared" si="63"/>
        <v>1200</v>
      </c>
      <c r="O282" s="128">
        <f t="shared" si="58"/>
        <v>4.32</v>
      </c>
      <c r="P282" s="181">
        <f t="shared" si="64"/>
        <v>67.025280000000009</v>
      </c>
      <c r="Q282" s="209">
        <f>IF( 'Organized Input Output'!$AF$9 = "y", P282 / ($Q$3 * $Q$4), 0)</f>
        <v>0</v>
      </c>
      <c r="R282" s="209">
        <f t="shared" si="65"/>
        <v>0</v>
      </c>
      <c r="S282" s="43">
        <f>IF( 'Organized Input Output'!$AF$9 = "y", IF(R282= 0, 1, 0), 0)</f>
        <v>0</v>
      </c>
      <c r="T282" s="209">
        <f t="shared" si="67"/>
        <v>0</v>
      </c>
      <c r="U282" s="43">
        <f>IF( 'Organized Input Output'!$AF$9 = "y", IF(T282= 0, 1, 0), 0)</f>
        <v>0</v>
      </c>
      <c r="V282" s="43">
        <f t="shared" si="59"/>
        <v>0</v>
      </c>
      <c r="W282" s="43">
        <f t="shared" si="66"/>
        <v>0</v>
      </c>
      <c r="X282" s="43">
        <f t="shared" si="68"/>
        <v>0</v>
      </c>
      <c r="Y282" s="43">
        <f t="shared" si="69"/>
        <v>0</v>
      </c>
    </row>
    <row r="283" spans="1:25" ht="15" customHeight="1">
      <c r="A283" s="43">
        <v>273</v>
      </c>
      <c r="B283" s="176">
        <v>2.2000000000000002</v>
      </c>
      <c r="C283" s="126">
        <f>'Studio Rain System'!J295</f>
        <v>0</v>
      </c>
      <c r="D283" s="104">
        <f>'Studio Rain System'!K295</f>
        <v>0</v>
      </c>
      <c r="E283" s="104">
        <f>'Studio Rain System'!L295</f>
        <v>19.254999999999999</v>
      </c>
      <c r="F283" s="104">
        <f>'Studio Rain System'!M295</f>
        <v>0.745</v>
      </c>
      <c r="G283" s="177">
        <v>125600</v>
      </c>
      <c r="H283" s="178">
        <f t="shared" si="56"/>
        <v>0</v>
      </c>
      <c r="I283" s="128">
        <f t="shared" si="60"/>
        <v>0</v>
      </c>
      <c r="J283" s="193">
        <f>IF( 'Organized Input Output'!$AD$5= "y", $K$4*(D283*1000)/$K$3, 0)</f>
        <v>0</v>
      </c>
      <c r="K283" s="43">
        <f t="shared" si="61"/>
        <v>0</v>
      </c>
      <c r="L283" s="43">
        <f t="shared" si="62"/>
        <v>0</v>
      </c>
      <c r="M283" s="180">
        <f t="shared" si="57"/>
        <v>0</v>
      </c>
      <c r="N283" s="43">
        <f t="shared" si="63"/>
        <v>1200</v>
      </c>
      <c r="O283" s="128">
        <f t="shared" si="58"/>
        <v>4.32</v>
      </c>
      <c r="P283" s="181">
        <f t="shared" si="64"/>
        <v>4.32</v>
      </c>
      <c r="Q283" s="209">
        <f>IF( 'Organized Input Output'!$AF$9 = "y", P283 / ($Q$3 * $Q$4), 0)</f>
        <v>0</v>
      </c>
      <c r="R283" s="209">
        <f t="shared" si="65"/>
        <v>0</v>
      </c>
      <c r="S283" s="43">
        <f>IF( 'Organized Input Output'!$AF$9 = "y", IF(R283= 0, 1, 0), 0)</f>
        <v>0</v>
      </c>
      <c r="T283" s="209">
        <f t="shared" si="67"/>
        <v>0</v>
      </c>
      <c r="U283" s="43">
        <f>IF( 'Organized Input Output'!$AF$9 = "y", IF(T283= 0, 1, 0), 0)</f>
        <v>0</v>
      </c>
      <c r="V283" s="43">
        <f t="shared" si="59"/>
        <v>0</v>
      </c>
      <c r="W283" s="43">
        <f t="shared" si="66"/>
        <v>0</v>
      </c>
      <c r="X283" s="43">
        <f t="shared" si="68"/>
        <v>0</v>
      </c>
      <c r="Y283" s="43">
        <f t="shared" si="69"/>
        <v>0</v>
      </c>
    </row>
    <row r="284" spans="1:25" ht="15" customHeight="1">
      <c r="A284" s="43">
        <v>274</v>
      </c>
      <c r="B284" s="176">
        <v>0</v>
      </c>
      <c r="C284" s="126">
        <f>'Studio Rain System'!J296</f>
        <v>0</v>
      </c>
      <c r="D284" s="104">
        <f>'Studio Rain System'!K296</f>
        <v>0</v>
      </c>
      <c r="E284" s="104">
        <f>'Studio Rain System'!L296</f>
        <v>18.509999999999998</v>
      </c>
      <c r="F284" s="104">
        <f>'Studio Rain System'!M296</f>
        <v>0.745</v>
      </c>
      <c r="G284" s="177">
        <v>125600</v>
      </c>
      <c r="H284" s="178">
        <f t="shared" si="56"/>
        <v>0</v>
      </c>
      <c r="I284" s="128">
        <f t="shared" si="60"/>
        <v>0</v>
      </c>
      <c r="J284" s="193">
        <f>IF( 'Organized Input Output'!$AD$5= "y", $K$4*(D284*1000)/$K$3, 0)</f>
        <v>0</v>
      </c>
      <c r="K284" s="43">
        <f t="shared" si="61"/>
        <v>0</v>
      </c>
      <c r="L284" s="43">
        <f t="shared" si="62"/>
        <v>0</v>
      </c>
      <c r="M284" s="180">
        <f t="shared" si="57"/>
        <v>0</v>
      </c>
      <c r="N284" s="43">
        <f t="shared" si="63"/>
        <v>1200</v>
      </c>
      <c r="O284" s="128">
        <f t="shared" si="58"/>
        <v>4.32</v>
      </c>
      <c r="P284" s="181">
        <f t="shared" si="64"/>
        <v>4.32</v>
      </c>
      <c r="Q284" s="209">
        <f>IF( 'Organized Input Output'!$AF$9 = "y", P284 / ($Q$3 * $Q$4), 0)</f>
        <v>0</v>
      </c>
      <c r="R284" s="209">
        <f t="shared" si="65"/>
        <v>0</v>
      </c>
      <c r="S284" s="43">
        <f>IF( 'Organized Input Output'!$AF$9 = "y", IF(R284= 0, 1, 0), 0)</f>
        <v>0</v>
      </c>
      <c r="T284" s="209">
        <f t="shared" si="67"/>
        <v>0</v>
      </c>
      <c r="U284" s="43">
        <f>IF( 'Organized Input Output'!$AF$9 = "y", IF(T284= 0, 1, 0), 0)</f>
        <v>0</v>
      </c>
      <c r="V284" s="43">
        <f t="shared" si="59"/>
        <v>0</v>
      </c>
      <c r="W284" s="43">
        <f t="shared" si="66"/>
        <v>0</v>
      </c>
      <c r="X284" s="43">
        <f t="shared" si="68"/>
        <v>0</v>
      </c>
      <c r="Y284" s="43">
        <f t="shared" si="69"/>
        <v>0</v>
      </c>
    </row>
    <row r="285" spans="1:25" ht="15" customHeight="1">
      <c r="A285" s="43">
        <v>275</v>
      </c>
      <c r="B285" s="176">
        <v>0</v>
      </c>
      <c r="C285" s="126">
        <f>'Studio Rain System'!J297</f>
        <v>0</v>
      </c>
      <c r="D285" s="104">
        <f>'Studio Rain System'!K297</f>
        <v>0</v>
      </c>
      <c r="E285" s="104">
        <f>'Studio Rain System'!L297</f>
        <v>17.764999999999997</v>
      </c>
      <c r="F285" s="104">
        <f>'Studio Rain System'!M297</f>
        <v>0.745</v>
      </c>
      <c r="G285" s="177">
        <v>125600</v>
      </c>
      <c r="H285" s="178">
        <f t="shared" si="56"/>
        <v>0</v>
      </c>
      <c r="I285" s="128">
        <f t="shared" si="60"/>
        <v>0</v>
      </c>
      <c r="J285" s="193">
        <f>IF( 'Organized Input Output'!$AD$5= "y", $K$4*(D285*1000)/$K$3, 0)</f>
        <v>0</v>
      </c>
      <c r="K285" s="43">
        <f t="shared" si="61"/>
        <v>0</v>
      </c>
      <c r="L285" s="43">
        <f t="shared" si="62"/>
        <v>0</v>
      </c>
      <c r="M285" s="180">
        <f t="shared" si="57"/>
        <v>0</v>
      </c>
      <c r="N285" s="43">
        <f t="shared" si="63"/>
        <v>1200</v>
      </c>
      <c r="O285" s="128">
        <f t="shared" si="58"/>
        <v>4.32</v>
      </c>
      <c r="P285" s="181">
        <f t="shared" si="64"/>
        <v>4.32</v>
      </c>
      <c r="Q285" s="209">
        <f>IF( 'Organized Input Output'!$AF$9 = "y", P285 / ($Q$3 * $Q$4), 0)</f>
        <v>0</v>
      </c>
      <c r="R285" s="209">
        <f t="shared" si="65"/>
        <v>0</v>
      </c>
      <c r="S285" s="43">
        <f>IF( 'Organized Input Output'!$AF$9 = "y", IF(R285= 0, 1, 0), 0)</f>
        <v>0</v>
      </c>
      <c r="T285" s="209">
        <f t="shared" si="67"/>
        <v>0</v>
      </c>
      <c r="U285" s="43">
        <f>IF( 'Organized Input Output'!$AF$9 = "y", IF(T285= 0, 1, 0), 0)</f>
        <v>0</v>
      </c>
      <c r="V285" s="43">
        <f t="shared" si="59"/>
        <v>0</v>
      </c>
      <c r="W285" s="43">
        <f t="shared" si="66"/>
        <v>0</v>
      </c>
      <c r="X285" s="43">
        <f t="shared" si="68"/>
        <v>0</v>
      </c>
      <c r="Y285" s="43">
        <f t="shared" si="69"/>
        <v>0</v>
      </c>
    </row>
    <row r="286" spans="1:25" ht="15" customHeight="1">
      <c r="A286" s="43">
        <v>276</v>
      </c>
      <c r="B286" s="176">
        <v>1.2</v>
      </c>
      <c r="C286" s="126">
        <f>'Studio Rain System'!J298</f>
        <v>57.8</v>
      </c>
      <c r="D286" s="104">
        <f>'Studio Rain System'!K298</f>
        <v>63.58</v>
      </c>
      <c r="E286" s="104">
        <f>'Studio Rain System'!L298</f>
        <v>20</v>
      </c>
      <c r="F286" s="104">
        <f>'Studio Rain System'!M298</f>
        <v>0.745</v>
      </c>
      <c r="G286" s="177">
        <v>125600</v>
      </c>
      <c r="H286" s="178">
        <f t="shared" si="56"/>
        <v>11408068.571428573</v>
      </c>
      <c r="I286" s="128">
        <f t="shared" si="60"/>
        <v>11.408068571428572</v>
      </c>
      <c r="J286" s="193">
        <f>IF( 'Organized Input Output'!$AD$5= "y", $K$4*(D286*1000)/$K$3, 0)</f>
        <v>317900</v>
      </c>
      <c r="K286" s="43">
        <f t="shared" si="61"/>
        <v>317.89999999999998</v>
      </c>
      <c r="L286" s="43">
        <f t="shared" si="62"/>
        <v>635800000</v>
      </c>
      <c r="M286" s="180">
        <f t="shared" si="57"/>
        <v>635.79999999999995</v>
      </c>
      <c r="N286" s="43">
        <f t="shared" si="63"/>
        <v>1200</v>
      </c>
      <c r="O286" s="128">
        <f t="shared" si="58"/>
        <v>4.32</v>
      </c>
      <c r="P286" s="181">
        <f t="shared" si="64"/>
        <v>651.52806857142855</v>
      </c>
      <c r="Q286" s="209">
        <f>IF( 'Organized Input Output'!$AF$9 = "y", P286 / ($Q$3 * $Q$4), 0)</f>
        <v>0</v>
      </c>
      <c r="R286" s="209">
        <f t="shared" si="65"/>
        <v>0</v>
      </c>
      <c r="S286" s="43">
        <f>IF( 'Organized Input Output'!$AF$9 = "y", IF(R286= 0, 1, 0), 0)</f>
        <v>0</v>
      </c>
      <c r="T286" s="209">
        <f t="shared" si="67"/>
        <v>0</v>
      </c>
      <c r="U286" s="43">
        <f>IF( 'Organized Input Output'!$AF$9 = "y", IF(T286= 0, 1, 0), 0)</f>
        <v>0</v>
      </c>
      <c r="V286" s="43">
        <f t="shared" si="59"/>
        <v>0</v>
      </c>
      <c r="W286" s="43">
        <f t="shared" si="66"/>
        <v>0</v>
      </c>
      <c r="X286" s="43">
        <f t="shared" si="68"/>
        <v>0</v>
      </c>
      <c r="Y286" s="43">
        <f t="shared" si="69"/>
        <v>0</v>
      </c>
    </row>
    <row r="287" spans="1:25" ht="15" customHeight="1">
      <c r="A287" s="43">
        <v>277</v>
      </c>
      <c r="B287" s="176">
        <v>28.4</v>
      </c>
      <c r="C287" s="126">
        <f>'Studio Rain System'!J299</f>
        <v>6</v>
      </c>
      <c r="D287" s="104">
        <f>'Studio Rain System'!K299</f>
        <v>6.6000000000000005</v>
      </c>
      <c r="E287" s="104">
        <f>'Studio Rain System'!L299</f>
        <v>20</v>
      </c>
      <c r="F287" s="104">
        <f>'Studio Rain System'!M299</f>
        <v>0.745</v>
      </c>
      <c r="G287" s="177">
        <v>125600</v>
      </c>
      <c r="H287" s="178">
        <f t="shared" si="56"/>
        <v>1184228.5714285716</v>
      </c>
      <c r="I287" s="128">
        <f t="shared" si="60"/>
        <v>1.1842285714285716</v>
      </c>
      <c r="J287" s="193">
        <f>IF( 'Organized Input Output'!$AD$5= "y", $K$4*(D287*1000)/$K$3, 0)</f>
        <v>33000.000000000007</v>
      </c>
      <c r="K287" s="43">
        <f t="shared" si="61"/>
        <v>33.000000000000007</v>
      </c>
      <c r="L287" s="43">
        <f t="shared" si="62"/>
        <v>66000000.000000015</v>
      </c>
      <c r="M287" s="180">
        <f t="shared" si="57"/>
        <v>66.000000000000014</v>
      </c>
      <c r="N287" s="43">
        <f t="shared" si="63"/>
        <v>1200</v>
      </c>
      <c r="O287" s="128">
        <f t="shared" si="58"/>
        <v>4.32</v>
      </c>
      <c r="P287" s="181">
        <f t="shared" si="64"/>
        <v>71.504228571428598</v>
      </c>
      <c r="Q287" s="209">
        <f>IF( 'Organized Input Output'!$AF$9 = "y", P287 / ($Q$3 * $Q$4), 0)</f>
        <v>0</v>
      </c>
      <c r="R287" s="209">
        <f t="shared" si="65"/>
        <v>0</v>
      </c>
      <c r="S287" s="43">
        <f>IF( 'Organized Input Output'!$AF$9 = "y", IF(R287= 0, 1, 0), 0)</f>
        <v>0</v>
      </c>
      <c r="T287" s="209">
        <f t="shared" si="67"/>
        <v>0</v>
      </c>
      <c r="U287" s="43">
        <f>IF( 'Organized Input Output'!$AF$9 = "y", IF(T287= 0, 1, 0), 0)</f>
        <v>0</v>
      </c>
      <c r="V287" s="43">
        <f t="shared" si="59"/>
        <v>0</v>
      </c>
      <c r="W287" s="43">
        <f t="shared" si="66"/>
        <v>0</v>
      </c>
      <c r="X287" s="43">
        <f t="shared" si="68"/>
        <v>0</v>
      </c>
      <c r="Y287" s="43">
        <f t="shared" si="69"/>
        <v>0</v>
      </c>
    </row>
    <row r="288" spans="1:25" ht="15" customHeight="1">
      <c r="A288" s="43">
        <v>278</v>
      </c>
      <c r="B288" s="176">
        <v>26</v>
      </c>
      <c r="C288" s="126">
        <f>'Studio Rain System'!J300</f>
        <v>9.1999999999999993</v>
      </c>
      <c r="D288" s="104">
        <f>'Studio Rain System'!K300</f>
        <v>10.119999999999999</v>
      </c>
      <c r="E288" s="104">
        <f>'Studio Rain System'!L300</f>
        <v>20</v>
      </c>
      <c r="F288" s="104">
        <f>'Studio Rain System'!M300</f>
        <v>0.745</v>
      </c>
      <c r="G288" s="177">
        <v>125600</v>
      </c>
      <c r="H288" s="178">
        <f t="shared" si="56"/>
        <v>1815817.142857143</v>
      </c>
      <c r="I288" s="128">
        <f t="shared" si="60"/>
        <v>1.815817142857143</v>
      </c>
      <c r="J288" s="193">
        <f>IF( 'Organized Input Output'!$AD$5= "y", $K$4*(D288*1000)/$K$3, 0)</f>
        <v>50600</v>
      </c>
      <c r="K288" s="43">
        <f t="shared" si="61"/>
        <v>50.6</v>
      </c>
      <c r="L288" s="43">
        <f t="shared" si="62"/>
        <v>101200000</v>
      </c>
      <c r="M288" s="180">
        <f t="shared" si="57"/>
        <v>101.2</v>
      </c>
      <c r="N288" s="43">
        <f t="shared" si="63"/>
        <v>1200</v>
      </c>
      <c r="O288" s="128">
        <f t="shared" si="58"/>
        <v>4.32</v>
      </c>
      <c r="P288" s="181">
        <f t="shared" si="64"/>
        <v>107.33581714285714</v>
      </c>
      <c r="Q288" s="209">
        <f>IF( 'Organized Input Output'!$AF$9 = "y", P288 / ($Q$3 * $Q$4), 0)</f>
        <v>0</v>
      </c>
      <c r="R288" s="209">
        <f t="shared" si="65"/>
        <v>0</v>
      </c>
      <c r="S288" s="43">
        <f>IF( 'Organized Input Output'!$AF$9 = "y", IF(R288= 0, 1, 0), 0)</f>
        <v>0</v>
      </c>
      <c r="T288" s="209">
        <f t="shared" si="67"/>
        <v>0</v>
      </c>
      <c r="U288" s="43">
        <f>IF( 'Organized Input Output'!$AF$9 = "y", IF(T288= 0, 1, 0), 0)</f>
        <v>0</v>
      </c>
      <c r="V288" s="43">
        <f t="shared" si="59"/>
        <v>0</v>
      </c>
      <c r="W288" s="43">
        <f t="shared" si="66"/>
        <v>0</v>
      </c>
      <c r="X288" s="43">
        <f t="shared" si="68"/>
        <v>0</v>
      </c>
      <c r="Y288" s="43">
        <f t="shared" si="69"/>
        <v>0</v>
      </c>
    </row>
    <row r="289" spans="1:25" ht="15" customHeight="1">
      <c r="A289" s="43">
        <v>279</v>
      </c>
      <c r="B289" s="176">
        <v>8.8000000000000007</v>
      </c>
      <c r="C289" s="126">
        <f>'Studio Rain System'!J301</f>
        <v>0.4</v>
      </c>
      <c r="D289" s="104">
        <f>'Studio Rain System'!K301</f>
        <v>0.44</v>
      </c>
      <c r="E289" s="104">
        <f>'Studio Rain System'!L301</f>
        <v>19.695</v>
      </c>
      <c r="F289" s="104">
        <f>'Studio Rain System'!M301</f>
        <v>0.745</v>
      </c>
      <c r="G289" s="177">
        <v>125600</v>
      </c>
      <c r="H289" s="178">
        <f t="shared" si="56"/>
        <v>78948.571428571435</v>
      </c>
      <c r="I289" s="128">
        <f t="shared" si="60"/>
        <v>7.8948571428571437E-2</v>
      </c>
      <c r="J289" s="193">
        <f>IF( 'Organized Input Output'!$AD$5= "y", $K$4*(D289*1000)/$K$3, 0)</f>
        <v>2200</v>
      </c>
      <c r="K289" s="43">
        <f t="shared" si="61"/>
        <v>2.2000000000000002</v>
      </c>
      <c r="L289" s="43">
        <f t="shared" si="62"/>
        <v>4400000</v>
      </c>
      <c r="M289" s="180">
        <f t="shared" si="57"/>
        <v>4.4000000000000004</v>
      </c>
      <c r="N289" s="43">
        <f t="shared" si="63"/>
        <v>1200</v>
      </c>
      <c r="O289" s="128">
        <f t="shared" si="58"/>
        <v>4.32</v>
      </c>
      <c r="P289" s="181">
        <f t="shared" si="64"/>
        <v>8.7989485714285713</v>
      </c>
      <c r="Q289" s="209">
        <f>IF( 'Organized Input Output'!$AF$9 = "y", P289 / ($Q$3 * $Q$4), 0)</f>
        <v>0</v>
      </c>
      <c r="R289" s="209">
        <f t="shared" si="65"/>
        <v>0</v>
      </c>
      <c r="S289" s="43">
        <f>IF( 'Organized Input Output'!$AF$9 = "y", IF(R289= 0, 1, 0), 0)</f>
        <v>0</v>
      </c>
      <c r="T289" s="209">
        <f t="shared" si="67"/>
        <v>0</v>
      </c>
      <c r="U289" s="43">
        <f>IF( 'Organized Input Output'!$AF$9 = "y", IF(T289= 0, 1, 0), 0)</f>
        <v>0</v>
      </c>
      <c r="V289" s="43">
        <f t="shared" si="59"/>
        <v>0</v>
      </c>
      <c r="W289" s="43">
        <f t="shared" si="66"/>
        <v>0</v>
      </c>
      <c r="X289" s="43">
        <f t="shared" si="68"/>
        <v>0</v>
      </c>
      <c r="Y289" s="43">
        <f t="shared" si="69"/>
        <v>0</v>
      </c>
    </row>
    <row r="290" spans="1:25" ht="15" customHeight="1">
      <c r="A290" s="43">
        <v>280</v>
      </c>
      <c r="B290" s="176">
        <v>10.6</v>
      </c>
      <c r="C290" s="126">
        <f>'Studio Rain System'!J302</f>
        <v>0</v>
      </c>
      <c r="D290" s="104">
        <f>'Studio Rain System'!K302</f>
        <v>0</v>
      </c>
      <c r="E290" s="104">
        <f>'Studio Rain System'!L302</f>
        <v>18.95</v>
      </c>
      <c r="F290" s="104">
        <f>'Studio Rain System'!M302</f>
        <v>0.745</v>
      </c>
      <c r="G290" s="177">
        <v>125600</v>
      </c>
      <c r="H290" s="178">
        <f t="shared" si="56"/>
        <v>0</v>
      </c>
      <c r="I290" s="128">
        <f t="shared" si="60"/>
        <v>0</v>
      </c>
      <c r="J290" s="193">
        <f>IF( 'Organized Input Output'!$AD$5= "y", $K$4*(D290*1000)/$K$3, 0)</f>
        <v>0</v>
      </c>
      <c r="K290" s="43">
        <f t="shared" si="61"/>
        <v>0</v>
      </c>
      <c r="L290" s="43">
        <f t="shared" si="62"/>
        <v>0</v>
      </c>
      <c r="M290" s="180">
        <f t="shared" si="57"/>
        <v>0</v>
      </c>
      <c r="N290" s="43">
        <f t="shared" si="63"/>
        <v>1200</v>
      </c>
      <c r="O290" s="128">
        <f t="shared" si="58"/>
        <v>4.32</v>
      </c>
      <c r="P290" s="181">
        <f t="shared" si="64"/>
        <v>4.32</v>
      </c>
      <c r="Q290" s="209">
        <f>IF( 'Organized Input Output'!$AF$9 = "y", P290 / ($Q$3 * $Q$4), 0)</f>
        <v>0</v>
      </c>
      <c r="R290" s="209">
        <f t="shared" si="65"/>
        <v>0</v>
      </c>
      <c r="S290" s="43">
        <f>IF( 'Organized Input Output'!$AF$9 = "y", IF(R290= 0, 1, 0), 0)</f>
        <v>0</v>
      </c>
      <c r="T290" s="209">
        <f t="shared" si="67"/>
        <v>0</v>
      </c>
      <c r="U290" s="43">
        <f>IF( 'Organized Input Output'!$AF$9 = "y", IF(T290= 0, 1, 0), 0)</f>
        <v>0</v>
      </c>
      <c r="V290" s="43">
        <f t="shared" si="59"/>
        <v>0</v>
      </c>
      <c r="W290" s="43">
        <f t="shared" si="66"/>
        <v>0</v>
      </c>
      <c r="X290" s="43">
        <f t="shared" si="68"/>
        <v>0</v>
      </c>
      <c r="Y290" s="43">
        <f t="shared" si="69"/>
        <v>0</v>
      </c>
    </row>
    <row r="291" spans="1:25" ht="15" customHeight="1">
      <c r="A291" s="43">
        <v>281</v>
      </c>
      <c r="B291" s="176">
        <v>0</v>
      </c>
      <c r="C291" s="126">
        <f>'Studio Rain System'!J303</f>
        <v>1.4</v>
      </c>
      <c r="D291" s="104">
        <f>'Studio Rain System'!K303</f>
        <v>1.54</v>
      </c>
      <c r="E291" s="104">
        <f>'Studio Rain System'!L303</f>
        <v>19.744999999999997</v>
      </c>
      <c r="F291" s="104">
        <f>'Studio Rain System'!M303</f>
        <v>0.745</v>
      </c>
      <c r="G291" s="177">
        <v>125600</v>
      </c>
      <c r="H291" s="178">
        <f t="shared" si="56"/>
        <v>276320</v>
      </c>
      <c r="I291" s="128">
        <f t="shared" si="60"/>
        <v>0.27632000000000001</v>
      </c>
      <c r="J291" s="193">
        <f>IF( 'Organized Input Output'!$AD$5= "y", $K$4*(D291*1000)/$K$3, 0)</f>
        <v>7700</v>
      </c>
      <c r="K291" s="43">
        <f t="shared" si="61"/>
        <v>7.7</v>
      </c>
      <c r="L291" s="43">
        <f t="shared" si="62"/>
        <v>15400000</v>
      </c>
      <c r="M291" s="180">
        <f t="shared" si="57"/>
        <v>15.4</v>
      </c>
      <c r="N291" s="43">
        <f t="shared" si="63"/>
        <v>1200</v>
      </c>
      <c r="O291" s="128">
        <f t="shared" si="58"/>
        <v>4.32</v>
      </c>
      <c r="P291" s="181">
        <f t="shared" si="64"/>
        <v>19.996320000000001</v>
      </c>
      <c r="Q291" s="209">
        <f>IF( 'Organized Input Output'!$AF$9 = "y", P291 / ($Q$3 * $Q$4), 0)</f>
        <v>0</v>
      </c>
      <c r="R291" s="209">
        <f t="shared" si="65"/>
        <v>0</v>
      </c>
      <c r="S291" s="43">
        <f>IF( 'Organized Input Output'!$AF$9 = "y", IF(R291= 0, 1, 0), 0)</f>
        <v>0</v>
      </c>
      <c r="T291" s="209">
        <f t="shared" si="67"/>
        <v>0</v>
      </c>
      <c r="U291" s="43">
        <f>IF( 'Organized Input Output'!$AF$9 = "y", IF(T291= 0, 1, 0), 0)</f>
        <v>0</v>
      </c>
      <c r="V291" s="43">
        <f t="shared" si="59"/>
        <v>0</v>
      </c>
      <c r="W291" s="43">
        <f t="shared" si="66"/>
        <v>0</v>
      </c>
      <c r="X291" s="43">
        <f t="shared" si="68"/>
        <v>0</v>
      </c>
      <c r="Y291" s="43">
        <f t="shared" si="69"/>
        <v>0</v>
      </c>
    </row>
    <row r="292" spans="1:25" ht="15" customHeight="1">
      <c r="A292" s="43">
        <v>282</v>
      </c>
      <c r="B292" s="176">
        <v>1.2</v>
      </c>
      <c r="C292" s="126">
        <f>'Studio Rain System'!J304</f>
        <v>1.8</v>
      </c>
      <c r="D292" s="104">
        <f>'Studio Rain System'!K304</f>
        <v>1.98</v>
      </c>
      <c r="E292" s="104">
        <f>'Studio Rain System'!L304</f>
        <v>20</v>
      </c>
      <c r="F292" s="104">
        <f>'Studio Rain System'!M304</f>
        <v>0.745</v>
      </c>
      <c r="G292" s="177">
        <v>125600</v>
      </c>
      <c r="H292" s="178">
        <f t="shared" si="56"/>
        <v>355268.57142857148</v>
      </c>
      <c r="I292" s="128">
        <f t="shared" si="60"/>
        <v>0.35526857142857149</v>
      </c>
      <c r="J292" s="193">
        <f>IF( 'Organized Input Output'!$AD$5= "y", $K$4*(D292*1000)/$K$3, 0)</f>
        <v>9900</v>
      </c>
      <c r="K292" s="43">
        <f t="shared" si="61"/>
        <v>9.9</v>
      </c>
      <c r="L292" s="43">
        <f t="shared" si="62"/>
        <v>19800000</v>
      </c>
      <c r="M292" s="180">
        <f t="shared" si="57"/>
        <v>19.8</v>
      </c>
      <c r="N292" s="43">
        <f t="shared" si="63"/>
        <v>1200</v>
      </c>
      <c r="O292" s="128">
        <f t="shared" si="58"/>
        <v>4.32</v>
      </c>
      <c r="P292" s="181">
        <f t="shared" si="64"/>
        <v>24.475268571428572</v>
      </c>
      <c r="Q292" s="209">
        <f>IF( 'Organized Input Output'!$AF$9 = "y", P292 / ($Q$3 * $Q$4), 0)</f>
        <v>0</v>
      </c>
      <c r="R292" s="209">
        <f t="shared" si="65"/>
        <v>0</v>
      </c>
      <c r="S292" s="43">
        <f>IF( 'Organized Input Output'!$AF$9 = "y", IF(R292= 0, 1, 0), 0)</f>
        <v>0</v>
      </c>
      <c r="T292" s="209">
        <f t="shared" si="67"/>
        <v>0</v>
      </c>
      <c r="U292" s="43">
        <f>IF( 'Organized Input Output'!$AF$9 = "y", IF(T292= 0, 1, 0), 0)</f>
        <v>0</v>
      </c>
      <c r="V292" s="43">
        <f t="shared" si="59"/>
        <v>0</v>
      </c>
      <c r="W292" s="43">
        <f t="shared" si="66"/>
        <v>0</v>
      </c>
      <c r="X292" s="43">
        <f t="shared" si="68"/>
        <v>0</v>
      </c>
      <c r="Y292" s="43">
        <f t="shared" si="69"/>
        <v>0</v>
      </c>
    </row>
    <row r="293" spans="1:25" ht="15" customHeight="1">
      <c r="A293" s="43">
        <v>283</v>
      </c>
      <c r="B293" s="176">
        <v>0</v>
      </c>
      <c r="C293" s="126">
        <f>'Studio Rain System'!J305</f>
        <v>17.8</v>
      </c>
      <c r="D293" s="104">
        <f>'Studio Rain System'!K305</f>
        <v>19.579999999999998</v>
      </c>
      <c r="E293" s="104">
        <f>'Studio Rain System'!L305</f>
        <v>20</v>
      </c>
      <c r="F293" s="104">
        <f>'Studio Rain System'!M305</f>
        <v>0.745</v>
      </c>
      <c r="G293" s="177">
        <v>125600</v>
      </c>
      <c r="H293" s="178">
        <f t="shared" si="56"/>
        <v>3513211.4285714286</v>
      </c>
      <c r="I293" s="128">
        <f t="shared" si="60"/>
        <v>3.5132114285714287</v>
      </c>
      <c r="J293" s="193">
        <f>IF( 'Organized Input Output'!$AD$5= "y", $K$4*(D293*1000)/$K$3, 0)</f>
        <v>97900</v>
      </c>
      <c r="K293" s="43">
        <f t="shared" si="61"/>
        <v>97.9</v>
      </c>
      <c r="L293" s="43">
        <f t="shared" si="62"/>
        <v>195800000</v>
      </c>
      <c r="M293" s="180">
        <f t="shared" si="57"/>
        <v>195.8</v>
      </c>
      <c r="N293" s="43">
        <f t="shared" si="63"/>
        <v>1200</v>
      </c>
      <c r="O293" s="128">
        <f t="shared" si="58"/>
        <v>4.32</v>
      </c>
      <c r="P293" s="181">
        <f t="shared" si="64"/>
        <v>203.63321142857143</v>
      </c>
      <c r="Q293" s="209">
        <f>IF( 'Organized Input Output'!$AF$9 = "y", P293 / ($Q$3 * $Q$4), 0)</f>
        <v>0</v>
      </c>
      <c r="R293" s="209">
        <f t="shared" si="65"/>
        <v>0</v>
      </c>
      <c r="S293" s="43">
        <f>IF( 'Organized Input Output'!$AF$9 = "y", IF(R293= 0, 1, 0), 0)</f>
        <v>0</v>
      </c>
      <c r="T293" s="209">
        <f t="shared" si="67"/>
        <v>0</v>
      </c>
      <c r="U293" s="43">
        <f>IF( 'Organized Input Output'!$AF$9 = "y", IF(T293= 0, 1, 0), 0)</f>
        <v>0</v>
      </c>
      <c r="V293" s="43">
        <f t="shared" si="59"/>
        <v>0</v>
      </c>
      <c r="W293" s="43">
        <f t="shared" si="66"/>
        <v>0</v>
      </c>
      <c r="X293" s="43">
        <f t="shared" si="68"/>
        <v>0</v>
      </c>
      <c r="Y293" s="43">
        <f t="shared" si="69"/>
        <v>0</v>
      </c>
    </row>
    <row r="294" spans="1:25" ht="15" customHeight="1">
      <c r="A294" s="43">
        <v>284</v>
      </c>
      <c r="B294" s="176">
        <v>0</v>
      </c>
      <c r="C294" s="126">
        <f>'Studio Rain System'!J306</f>
        <v>15.4</v>
      </c>
      <c r="D294" s="104">
        <f>'Studio Rain System'!K306</f>
        <v>16.940000000000001</v>
      </c>
      <c r="E294" s="104">
        <f>'Studio Rain System'!L306</f>
        <v>20</v>
      </c>
      <c r="F294" s="104">
        <f>'Studio Rain System'!M306</f>
        <v>0.745</v>
      </c>
      <c r="G294" s="177">
        <v>125600</v>
      </c>
      <c r="H294" s="178">
        <f t="shared" si="56"/>
        <v>3039520</v>
      </c>
      <c r="I294" s="128">
        <f t="shared" si="60"/>
        <v>3.03952</v>
      </c>
      <c r="J294" s="193">
        <f>IF( 'Organized Input Output'!$AD$5= "y", $K$4*(D294*1000)/$K$3, 0)</f>
        <v>84700</v>
      </c>
      <c r="K294" s="43">
        <f t="shared" si="61"/>
        <v>84.7</v>
      </c>
      <c r="L294" s="43">
        <f t="shared" si="62"/>
        <v>169400000</v>
      </c>
      <c r="M294" s="180">
        <f t="shared" si="57"/>
        <v>169.4</v>
      </c>
      <c r="N294" s="43">
        <f t="shared" si="63"/>
        <v>1200</v>
      </c>
      <c r="O294" s="128">
        <f t="shared" si="58"/>
        <v>4.32</v>
      </c>
      <c r="P294" s="181">
        <f t="shared" si="64"/>
        <v>176.75952000000001</v>
      </c>
      <c r="Q294" s="209">
        <f>IF( 'Organized Input Output'!$AF$9 = "y", P294 / ($Q$3 * $Q$4), 0)</f>
        <v>0</v>
      </c>
      <c r="R294" s="209">
        <f t="shared" si="65"/>
        <v>0</v>
      </c>
      <c r="S294" s="43">
        <f>IF( 'Organized Input Output'!$AF$9 = "y", IF(R294= 0, 1, 0), 0)</f>
        <v>0</v>
      </c>
      <c r="T294" s="209">
        <f t="shared" si="67"/>
        <v>0</v>
      </c>
      <c r="U294" s="43">
        <f>IF( 'Organized Input Output'!$AF$9 = "y", IF(T294= 0, 1, 0), 0)</f>
        <v>0</v>
      </c>
      <c r="V294" s="43">
        <f t="shared" si="59"/>
        <v>0</v>
      </c>
      <c r="W294" s="43">
        <f t="shared" si="66"/>
        <v>0</v>
      </c>
      <c r="X294" s="43">
        <f t="shared" si="68"/>
        <v>0</v>
      </c>
      <c r="Y294" s="43">
        <f t="shared" si="69"/>
        <v>0</v>
      </c>
    </row>
    <row r="295" spans="1:25" ht="15" customHeight="1">
      <c r="A295" s="43">
        <v>285</v>
      </c>
      <c r="B295" s="176">
        <v>0</v>
      </c>
      <c r="C295" s="126">
        <f>'Studio Rain System'!J307</f>
        <v>33</v>
      </c>
      <c r="D295" s="104">
        <f>'Studio Rain System'!K307</f>
        <v>36.300000000000004</v>
      </c>
      <c r="E295" s="104">
        <f>'Studio Rain System'!L307</f>
        <v>20</v>
      </c>
      <c r="F295" s="104">
        <f>'Studio Rain System'!M307</f>
        <v>0.745</v>
      </c>
      <c r="G295" s="177">
        <v>125600</v>
      </c>
      <c r="H295" s="178">
        <f t="shared" si="56"/>
        <v>6513257.1428571446</v>
      </c>
      <c r="I295" s="128">
        <f t="shared" si="60"/>
        <v>6.5132571428571442</v>
      </c>
      <c r="J295" s="193">
        <f>IF( 'Organized Input Output'!$AD$5= "y", $K$4*(D295*1000)/$K$3, 0)</f>
        <v>181500.00000000006</v>
      </c>
      <c r="K295" s="43">
        <f t="shared" si="61"/>
        <v>181.50000000000006</v>
      </c>
      <c r="L295" s="43">
        <f t="shared" si="62"/>
        <v>363000000.00000012</v>
      </c>
      <c r="M295" s="180">
        <f t="shared" si="57"/>
        <v>363.00000000000011</v>
      </c>
      <c r="N295" s="43">
        <f t="shared" si="63"/>
        <v>1200</v>
      </c>
      <c r="O295" s="128">
        <f t="shared" si="58"/>
        <v>4.32</v>
      </c>
      <c r="P295" s="181">
        <f t="shared" si="64"/>
        <v>373.83325714285724</v>
      </c>
      <c r="Q295" s="209">
        <f>IF( 'Organized Input Output'!$AF$9 = "y", P295 / ($Q$3 * $Q$4), 0)</f>
        <v>0</v>
      </c>
      <c r="R295" s="209">
        <f t="shared" si="65"/>
        <v>0</v>
      </c>
      <c r="S295" s="43">
        <f>IF( 'Organized Input Output'!$AF$9 = "y", IF(R295= 0, 1, 0), 0)</f>
        <v>0</v>
      </c>
      <c r="T295" s="209">
        <f t="shared" si="67"/>
        <v>0</v>
      </c>
      <c r="U295" s="43">
        <f>IF( 'Organized Input Output'!$AF$9 = "y", IF(T295= 0, 1, 0), 0)</f>
        <v>0</v>
      </c>
      <c r="V295" s="43">
        <f t="shared" si="59"/>
        <v>0</v>
      </c>
      <c r="W295" s="43">
        <f t="shared" si="66"/>
        <v>0</v>
      </c>
      <c r="X295" s="43">
        <f t="shared" si="68"/>
        <v>0</v>
      </c>
      <c r="Y295" s="43">
        <f t="shared" si="69"/>
        <v>0</v>
      </c>
    </row>
    <row r="296" spans="1:25" ht="15" customHeight="1">
      <c r="A296" s="43">
        <v>286</v>
      </c>
      <c r="B296" s="176">
        <v>0</v>
      </c>
      <c r="C296" s="126">
        <f>'Studio Rain System'!J308</f>
        <v>31.4</v>
      </c>
      <c r="D296" s="104">
        <f>'Studio Rain System'!K308</f>
        <v>34.54</v>
      </c>
      <c r="E296" s="104">
        <f>'Studio Rain System'!L308</f>
        <v>20</v>
      </c>
      <c r="F296" s="104">
        <f>'Studio Rain System'!M308</f>
        <v>0.745</v>
      </c>
      <c r="G296" s="177">
        <v>125600</v>
      </c>
      <c r="H296" s="178">
        <f t="shared" si="56"/>
        <v>6197462.8571428573</v>
      </c>
      <c r="I296" s="128">
        <f t="shared" si="60"/>
        <v>6.1974628571428569</v>
      </c>
      <c r="J296" s="193">
        <f>IF( 'Organized Input Output'!$AD$5= "y", $K$4*(D296*1000)/$K$3, 0)</f>
        <v>172700</v>
      </c>
      <c r="K296" s="43">
        <f t="shared" si="61"/>
        <v>172.7</v>
      </c>
      <c r="L296" s="43">
        <f t="shared" si="62"/>
        <v>345400000</v>
      </c>
      <c r="M296" s="180">
        <f t="shared" si="57"/>
        <v>345.4</v>
      </c>
      <c r="N296" s="43">
        <f t="shared" si="63"/>
        <v>1200</v>
      </c>
      <c r="O296" s="128">
        <f t="shared" si="58"/>
        <v>4.32</v>
      </c>
      <c r="P296" s="181">
        <f t="shared" si="64"/>
        <v>355.91746285714282</v>
      </c>
      <c r="Q296" s="209">
        <f>IF( 'Organized Input Output'!$AF$9 = "y", P296 / ($Q$3 * $Q$4), 0)</f>
        <v>0</v>
      </c>
      <c r="R296" s="209">
        <f t="shared" si="65"/>
        <v>0</v>
      </c>
      <c r="S296" s="43">
        <f>IF( 'Organized Input Output'!$AF$9 = "y", IF(R296= 0, 1, 0), 0)</f>
        <v>0</v>
      </c>
      <c r="T296" s="209">
        <f t="shared" si="67"/>
        <v>0</v>
      </c>
      <c r="U296" s="43">
        <f>IF( 'Organized Input Output'!$AF$9 = "y", IF(T296= 0, 1, 0), 0)</f>
        <v>0</v>
      </c>
      <c r="V296" s="43">
        <f t="shared" si="59"/>
        <v>0</v>
      </c>
      <c r="W296" s="43">
        <f t="shared" si="66"/>
        <v>0</v>
      </c>
      <c r="X296" s="43">
        <f t="shared" si="68"/>
        <v>0</v>
      </c>
      <c r="Y296" s="43">
        <f t="shared" si="69"/>
        <v>0</v>
      </c>
    </row>
    <row r="297" spans="1:25" ht="15" customHeight="1">
      <c r="A297" s="43">
        <v>287</v>
      </c>
      <c r="B297" s="176">
        <v>0</v>
      </c>
      <c r="C297" s="126">
        <f>'Studio Rain System'!J309</f>
        <v>28.4</v>
      </c>
      <c r="D297" s="104">
        <f>'Studio Rain System'!K309</f>
        <v>31.24</v>
      </c>
      <c r="E297" s="104">
        <f>'Studio Rain System'!L309</f>
        <v>20</v>
      </c>
      <c r="F297" s="104">
        <f>'Studio Rain System'!M309</f>
        <v>0.745</v>
      </c>
      <c r="G297" s="177">
        <v>125600</v>
      </c>
      <c r="H297" s="178">
        <f t="shared" si="56"/>
        <v>5605348.5714285718</v>
      </c>
      <c r="I297" s="128">
        <f t="shared" si="60"/>
        <v>5.6053485714285722</v>
      </c>
      <c r="J297" s="193">
        <f>IF( 'Organized Input Output'!$AD$5= "y", $K$4*(D297*1000)/$K$3, 0)</f>
        <v>156200</v>
      </c>
      <c r="K297" s="43">
        <f t="shared" si="61"/>
        <v>156.19999999999999</v>
      </c>
      <c r="L297" s="43">
        <f t="shared" si="62"/>
        <v>312400000</v>
      </c>
      <c r="M297" s="180">
        <f t="shared" si="57"/>
        <v>312.39999999999998</v>
      </c>
      <c r="N297" s="43">
        <f t="shared" si="63"/>
        <v>1200</v>
      </c>
      <c r="O297" s="128">
        <f t="shared" si="58"/>
        <v>4.32</v>
      </c>
      <c r="P297" s="181">
        <f t="shared" si="64"/>
        <v>322.32534857142855</v>
      </c>
      <c r="Q297" s="209">
        <f>IF( 'Organized Input Output'!$AF$9 = "y", P297 / ($Q$3 * $Q$4), 0)</f>
        <v>0</v>
      </c>
      <c r="R297" s="209">
        <f t="shared" si="65"/>
        <v>0</v>
      </c>
      <c r="S297" s="43">
        <f>IF( 'Organized Input Output'!$AF$9 = "y", IF(R297= 0, 1, 0), 0)</f>
        <v>0</v>
      </c>
      <c r="T297" s="209">
        <f t="shared" si="67"/>
        <v>0</v>
      </c>
      <c r="U297" s="43">
        <f>IF( 'Organized Input Output'!$AF$9 = "y", IF(T297= 0, 1, 0), 0)</f>
        <v>0</v>
      </c>
      <c r="V297" s="43">
        <f t="shared" si="59"/>
        <v>0</v>
      </c>
      <c r="W297" s="43">
        <f t="shared" si="66"/>
        <v>0</v>
      </c>
      <c r="X297" s="43">
        <f t="shared" si="68"/>
        <v>0</v>
      </c>
      <c r="Y297" s="43">
        <f t="shared" si="69"/>
        <v>0</v>
      </c>
    </row>
    <row r="298" spans="1:25" ht="15" customHeight="1">
      <c r="A298" s="43">
        <v>288</v>
      </c>
      <c r="B298" s="176">
        <v>1</v>
      </c>
      <c r="C298" s="126">
        <f>'Studio Rain System'!J310</f>
        <v>6.4</v>
      </c>
      <c r="D298" s="104">
        <f>'Studio Rain System'!K310</f>
        <v>7.04</v>
      </c>
      <c r="E298" s="104">
        <f>'Studio Rain System'!L310</f>
        <v>20</v>
      </c>
      <c r="F298" s="104">
        <f>'Studio Rain System'!M310</f>
        <v>0.745</v>
      </c>
      <c r="G298" s="177">
        <v>125600</v>
      </c>
      <c r="H298" s="178">
        <f t="shared" si="56"/>
        <v>1263177.142857143</v>
      </c>
      <c r="I298" s="128">
        <f t="shared" si="60"/>
        <v>1.263177142857143</v>
      </c>
      <c r="J298" s="193">
        <f>IF( 'Organized Input Output'!$AD$5= "y", $K$4*(D298*1000)/$K$3, 0)</f>
        <v>35200</v>
      </c>
      <c r="K298" s="43">
        <f t="shared" si="61"/>
        <v>35.200000000000003</v>
      </c>
      <c r="L298" s="43">
        <f t="shared" si="62"/>
        <v>70400000</v>
      </c>
      <c r="M298" s="180">
        <f t="shared" si="57"/>
        <v>70.400000000000006</v>
      </c>
      <c r="N298" s="43">
        <f t="shared" si="63"/>
        <v>1200</v>
      </c>
      <c r="O298" s="128">
        <f t="shared" si="58"/>
        <v>4.32</v>
      </c>
      <c r="P298" s="181">
        <f t="shared" si="64"/>
        <v>75.983177142857159</v>
      </c>
      <c r="Q298" s="209">
        <f>IF( 'Organized Input Output'!$AF$9 = "y", P298 / ($Q$3 * $Q$4), 0)</f>
        <v>0</v>
      </c>
      <c r="R298" s="209">
        <f t="shared" si="65"/>
        <v>0</v>
      </c>
      <c r="S298" s="43">
        <f>IF( 'Organized Input Output'!$AF$9 = "y", IF(R298= 0, 1, 0), 0)</f>
        <v>0</v>
      </c>
      <c r="T298" s="209">
        <f t="shared" si="67"/>
        <v>0</v>
      </c>
      <c r="U298" s="43">
        <f>IF( 'Organized Input Output'!$AF$9 = "y", IF(T298= 0, 1, 0), 0)</f>
        <v>0</v>
      </c>
      <c r="V298" s="43">
        <f t="shared" si="59"/>
        <v>0</v>
      </c>
      <c r="W298" s="43">
        <f t="shared" si="66"/>
        <v>0</v>
      </c>
      <c r="X298" s="43">
        <f t="shared" si="68"/>
        <v>0</v>
      </c>
      <c r="Y298" s="43">
        <f t="shared" si="69"/>
        <v>0</v>
      </c>
    </row>
    <row r="299" spans="1:25" ht="15" customHeight="1">
      <c r="A299" s="43">
        <v>289</v>
      </c>
      <c r="B299" s="176">
        <v>0</v>
      </c>
      <c r="C299" s="126">
        <f>'Studio Rain System'!J311</f>
        <v>17.2</v>
      </c>
      <c r="D299" s="104">
        <f>'Studio Rain System'!K311</f>
        <v>18.920000000000002</v>
      </c>
      <c r="E299" s="104">
        <f>'Studio Rain System'!L311</f>
        <v>20</v>
      </c>
      <c r="F299" s="104">
        <f>'Studio Rain System'!M311</f>
        <v>0.745</v>
      </c>
      <c r="G299" s="177">
        <v>125600</v>
      </c>
      <c r="H299" s="178">
        <f t="shared" si="56"/>
        <v>3394788.5714285718</v>
      </c>
      <c r="I299" s="128">
        <f t="shared" si="60"/>
        <v>3.3947885714285717</v>
      </c>
      <c r="J299" s="193">
        <f>IF( 'Organized Input Output'!$AD$5= "y", $K$4*(D299*1000)/$K$3, 0)</f>
        <v>94600</v>
      </c>
      <c r="K299" s="43">
        <f t="shared" si="61"/>
        <v>94.6</v>
      </c>
      <c r="L299" s="43">
        <f t="shared" si="62"/>
        <v>189200000</v>
      </c>
      <c r="M299" s="180">
        <f t="shared" si="57"/>
        <v>189.2</v>
      </c>
      <c r="N299" s="43">
        <f t="shared" si="63"/>
        <v>1200</v>
      </c>
      <c r="O299" s="128">
        <f t="shared" si="58"/>
        <v>4.32</v>
      </c>
      <c r="P299" s="181">
        <f t="shared" si="64"/>
        <v>196.91478857142855</v>
      </c>
      <c r="Q299" s="209">
        <f>IF( 'Organized Input Output'!$AF$9 = "y", P299 / ($Q$3 * $Q$4), 0)</f>
        <v>0</v>
      </c>
      <c r="R299" s="209">
        <f t="shared" si="65"/>
        <v>0</v>
      </c>
      <c r="S299" s="43">
        <f>IF( 'Organized Input Output'!$AF$9 = "y", IF(R299= 0, 1, 0), 0)</f>
        <v>0</v>
      </c>
      <c r="T299" s="209">
        <f t="shared" si="67"/>
        <v>0</v>
      </c>
      <c r="U299" s="43">
        <f>IF( 'Organized Input Output'!$AF$9 = "y", IF(T299= 0, 1, 0), 0)</f>
        <v>0</v>
      </c>
      <c r="V299" s="43">
        <f t="shared" si="59"/>
        <v>0</v>
      </c>
      <c r="W299" s="43">
        <f t="shared" si="66"/>
        <v>0</v>
      </c>
      <c r="X299" s="43">
        <f t="shared" si="68"/>
        <v>0</v>
      </c>
      <c r="Y299" s="43">
        <f t="shared" si="69"/>
        <v>0</v>
      </c>
    </row>
    <row r="300" spans="1:25" ht="15" customHeight="1">
      <c r="A300" s="43">
        <v>290</v>
      </c>
      <c r="B300" s="176">
        <v>0</v>
      </c>
      <c r="C300" s="126">
        <f>'Studio Rain System'!J312</f>
        <v>27</v>
      </c>
      <c r="D300" s="104">
        <f>'Studio Rain System'!K312</f>
        <v>29.7</v>
      </c>
      <c r="E300" s="104">
        <f>'Studio Rain System'!L312</f>
        <v>20</v>
      </c>
      <c r="F300" s="104">
        <f>'Studio Rain System'!M312</f>
        <v>0.745</v>
      </c>
      <c r="G300" s="177">
        <v>125600</v>
      </c>
      <c r="H300" s="178">
        <f t="shared" si="56"/>
        <v>5329028.5714285718</v>
      </c>
      <c r="I300" s="128">
        <f t="shared" si="60"/>
        <v>5.3290285714285721</v>
      </c>
      <c r="J300" s="193">
        <f>IF( 'Organized Input Output'!$AD$5= "y", $K$4*(D300*1000)/$K$3, 0)</f>
        <v>148500</v>
      </c>
      <c r="K300" s="43">
        <f t="shared" si="61"/>
        <v>148.5</v>
      </c>
      <c r="L300" s="43">
        <f t="shared" si="62"/>
        <v>297000000</v>
      </c>
      <c r="M300" s="180">
        <f t="shared" si="57"/>
        <v>297</v>
      </c>
      <c r="N300" s="43">
        <f t="shared" si="63"/>
        <v>1200</v>
      </c>
      <c r="O300" s="128">
        <f t="shared" si="58"/>
        <v>4.32</v>
      </c>
      <c r="P300" s="181">
        <f t="shared" si="64"/>
        <v>306.64902857142857</v>
      </c>
      <c r="Q300" s="209">
        <f>IF( 'Organized Input Output'!$AF$9 = "y", P300 / ($Q$3 * $Q$4), 0)</f>
        <v>0</v>
      </c>
      <c r="R300" s="209">
        <f t="shared" si="65"/>
        <v>0</v>
      </c>
      <c r="S300" s="43">
        <f>IF( 'Organized Input Output'!$AF$9 = "y", IF(R300= 0, 1, 0), 0)</f>
        <v>0</v>
      </c>
      <c r="T300" s="209">
        <f t="shared" si="67"/>
        <v>0</v>
      </c>
      <c r="U300" s="43">
        <f>IF( 'Organized Input Output'!$AF$9 = "y", IF(T300= 0, 1, 0), 0)</f>
        <v>0</v>
      </c>
      <c r="V300" s="43">
        <f t="shared" si="59"/>
        <v>0</v>
      </c>
      <c r="W300" s="43">
        <f t="shared" si="66"/>
        <v>0</v>
      </c>
      <c r="X300" s="43">
        <f t="shared" si="68"/>
        <v>0</v>
      </c>
      <c r="Y300" s="43">
        <f t="shared" si="69"/>
        <v>0</v>
      </c>
    </row>
    <row r="301" spans="1:25" ht="15" customHeight="1">
      <c r="A301" s="43">
        <v>291</v>
      </c>
      <c r="B301" s="176">
        <v>0</v>
      </c>
      <c r="C301" s="126">
        <f>'Studio Rain System'!J313</f>
        <v>16.8</v>
      </c>
      <c r="D301" s="104">
        <f>'Studio Rain System'!K313</f>
        <v>18.480000000000004</v>
      </c>
      <c r="E301" s="104">
        <f>'Studio Rain System'!L313</f>
        <v>20</v>
      </c>
      <c r="F301" s="104">
        <f>'Studio Rain System'!M313</f>
        <v>0.745</v>
      </c>
      <c r="G301" s="177">
        <v>125600</v>
      </c>
      <c r="H301" s="178">
        <f t="shared" si="56"/>
        <v>3315840.0000000009</v>
      </c>
      <c r="I301" s="128">
        <f t="shared" si="60"/>
        <v>3.315840000000001</v>
      </c>
      <c r="J301" s="193">
        <f>IF( 'Organized Input Output'!$AD$5= "y", $K$4*(D301*1000)/$K$3, 0)</f>
        <v>92400.000000000029</v>
      </c>
      <c r="K301" s="43">
        <f t="shared" si="61"/>
        <v>92.400000000000034</v>
      </c>
      <c r="L301" s="43">
        <f t="shared" si="62"/>
        <v>184800000.00000006</v>
      </c>
      <c r="M301" s="180">
        <f t="shared" si="57"/>
        <v>184.80000000000007</v>
      </c>
      <c r="N301" s="43">
        <f t="shared" si="63"/>
        <v>1200</v>
      </c>
      <c r="O301" s="128">
        <f t="shared" si="58"/>
        <v>4.32</v>
      </c>
      <c r="P301" s="181">
        <f t="shared" si="64"/>
        <v>192.43584000000007</v>
      </c>
      <c r="Q301" s="209">
        <f>IF( 'Organized Input Output'!$AF$9 = "y", P301 / ($Q$3 * $Q$4), 0)</f>
        <v>0</v>
      </c>
      <c r="R301" s="209">
        <f t="shared" si="65"/>
        <v>0</v>
      </c>
      <c r="S301" s="43">
        <f>IF( 'Organized Input Output'!$AF$9 = "y", IF(R301= 0, 1, 0), 0)</f>
        <v>0</v>
      </c>
      <c r="T301" s="209">
        <f t="shared" si="67"/>
        <v>0</v>
      </c>
      <c r="U301" s="43">
        <f>IF( 'Organized Input Output'!$AF$9 = "y", IF(T301= 0, 1, 0), 0)</f>
        <v>0</v>
      </c>
      <c r="V301" s="43">
        <f t="shared" si="59"/>
        <v>0</v>
      </c>
      <c r="W301" s="43">
        <f t="shared" si="66"/>
        <v>0</v>
      </c>
      <c r="X301" s="43">
        <f t="shared" si="68"/>
        <v>0</v>
      </c>
      <c r="Y301" s="43">
        <f t="shared" si="69"/>
        <v>0</v>
      </c>
    </row>
    <row r="302" spans="1:25" ht="15" customHeight="1">
      <c r="A302" s="43">
        <v>292</v>
      </c>
      <c r="B302" s="176">
        <v>0</v>
      </c>
      <c r="C302" s="126">
        <f>'Studio Rain System'!J314</f>
        <v>46.2</v>
      </c>
      <c r="D302" s="104">
        <f>'Studio Rain System'!K314</f>
        <v>50.820000000000007</v>
      </c>
      <c r="E302" s="104">
        <f>'Studio Rain System'!L314</f>
        <v>20</v>
      </c>
      <c r="F302" s="104">
        <f>'Studio Rain System'!M314</f>
        <v>0.745</v>
      </c>
      <c r="G302" s="177">
        <v>125600</v>
      </c>
      <c r="H302" s="178">
        <f t="shared" si="56"/>
        <v>9118560.0000000019</v>
      </c>
      <c r="I302" s="128">
        <f t="shared" si="60"/>
        <v>9.1185600000000022</v>
      </c>
      <c r="J302" s="193">
        <f>IF( 'Organized Input Output'!$AD$5= "y", $K$4*(D302*1000)/$K$3, 0)</f>
        <v>254100.00000000006</v>
      </c>
      <c r="K302" s="43">
        <f t="shared" si="61"/>
        <v>254.10000000000005</v>
      </c>
      <c r="L302" s="43">
        <f t="shared" si="62"/>
        <v>508200000.00000012</v>
      </c>
      <c r="M302" s="180">
        <f t="shared" si="57"/>
        <v>508.2000000000001</v>
      </c>
      <c r="N302" s="43">
        <f t="shared" si="63"/>
        <v>1200</v>
      </c>
      <c r="O302" s="128">
        <f t="shared" si="58"/>
        <v>4.32</v>
      </c>
      <c r="P302" s="181">
        <f t="shared" si="64"/>
        <v>521.63856000000021</v>
      </c>
      <c r="Q302" s="209">
        <f>IF( 'Organized Input Output'!$AF$9 = "y", P302 / ($Q$3 * $Q$4), 0)</f>
        <v>0</v>
      </c>
      <c r="R302" s="209">
        <f t="shared" si="65"/>
        <v>0</v>
      </c>
      <c r="S302" s="43">
        <f>IF( 'Organized Input Output'!$AF$9 = "y", IF(R302= 0, 1, 0), 0)</f>
        <v>0</v>
      </c>
      <c r="T302" s="209">
        <f t="shared" si="67"/>
        <v>0</v>
      </c>
      <c r="U302" s="43">
        <f>IF( 'Organized Input Output'!$AF$9 = "y", IF(T302= 0, 1, 0), 0)</f>
        <v>0</v>
      </c>
      <c r="V302" s="43">
        <f t="shared" si="59"/>
        <v>0</v>
      </c>
      <c r="W302" s="43">
        <f t="shared" si="66"/>
        <v>0</v>
      </c>
      <c r="X302" s="43">
        <f t="shared" si="68"/>
        <v>0</v>
      </c>
      <c r="Y302" s="43">
        <f t="shared" si="69"/>
        <v>0</v>
      </c>
    </row>
    <row r="303" spans="1:25" ht="15" customHeight="1">
      <c r="A303" s="43">
        <v>293</v>
      </c>
      <c r="B303" s="176">
        <v>0</v>
      </c>
      <c r="C303" s="126">
        <f>'Studio Rain System'!J315</f>
        <v>10.8</v>
      </c>
      <c r="D303" s="104">
        <f>'Studio Rain System'!K315</f>
        <v>11.88</v>
      </c>
      <c r="E303" s="104">
        <f>'Studio Rain System'!L315</f>
        <v>20</v>
      </c>
      <c r="F303" s="104">
        <f>'Studio Rain System'!M315</f>
        <v>0.745</v>
      </c>
      <c r="G303" s="177">
        <v>125600</v>
      </c>
      <c r="H303" s="178">
        <f t="shared" si="56"/>
        <v>2131611.4285714286</v>
      </c>
      <c r="I303" s="128">
        <f t="shared" si="60"/>
        <v>2.1316114285714285</v>
      </c>
      <c r="J303" s="193">
        <f>IF( 'Organized Input Output'!$AD$5= "y", $K$4*(D303*1000)/$K$3, 0)</f>
        <v>59400</v>
      </c>
      <c r="K303" s="43">
        <f t="shared" si="61"/>
        <v>59.4</v>
      </c>
      <c r="L303" s="43">
        <f t="shared" si="62"/>
        <v>118800000</v>
      </c>
      <c r="M303" s="180">
        <f t="shared" si="57"/>
        <v>118.8</v>
      </c>
      <c r="N303" s="43">
        <f t="shared" si="63"/>
        <v>1200</v>
      </c>
      <c r="O303" s="128">
        <f t="shared" si="58"/>
        <v>4.32</v>
      </c>
      <c r="P303" s="181">
        <f t="shared" si="64"/>
        <v>125.25161142857144</v>
      </c>
      <c r="Q303" s="209">
        <f>IF( 'Organized Input Output'!$AF$9 = "y", P303 / ($Q$3 * $Q$4), 0)</f>
        <v>0</v>
      </c>
      <c r="R303" s="209">
        <f t="shared" si="65"/>
        <v>0</v>
      </c>
      <c r="S303" s="43">
        <f>IF( 'Organized Input Output'!$AF$9 = "y", IF(R303= 0, 1, 0), 0)</f>
        <v>0</v>
      </c>
      <c r="T303" s="209">
        <f t="shared" si="67"/>
        <v>0</v>
      </c>
      <c r="U303" s="43">
        <f>IF( 'Organized Input Output'!$AF$9 = "y", IF(T303= 0, 1, 0), 0)</f>
        <v>0</v>
      </c>
      <c r="V303" s="43">
        <f t="shared" si="59"/>
        <v>0</v>
      </c>
      <c r="W303" s="43">
        <f t="shared" si="66"/>
        <v>0</v>
      </c>
      <c r="X303" s="43">
        <f t="shared" si="68"/>
        <v>0</v>
      </c>
      <c r="Y303" s="43">
        <f t="shared" si="69"/>
        <v>0</v>
      </c>
    </row>
    <row r="304" spans="1:25" ht="15" customHeight="1">
      <c r="A304" s="43">
        <v>294</v>
      </c>
      <c r="B304" s="176">
        <v>0</v>
      </c>
      <c r="C304" s="126">
        <f>'Studio Rain System'!J316</f>
        <v>40.200000000000003</v>
      </c>
      <c r="D304" s="104">
        <f>'Studio Rain System'!K316</f>
        <v>44.22</v>
      </c>
      <c r="E304" s="104">
        <f>'Studio Rain System'!L316</f>
        <v>20</v>
      </c>
      <c r="F304" s="104">
        <f>'Studio Rain System'!M316</f>
        <v>0.745</v>
      </c>
      <c r="G304" s="177">
        <v>125600</v>
      </c>
      <c r="H304" s="178">
        <f t="shared" si="56"/>
        <v>7934331.4285714291</v>
      </c>
      <c r="I304" s="128">
        <f t="shared" si="60"/>
        <v>7.9343314285714293</v>
      </c>
      <c r="J304" s="193">
        <f>IF( 'Organized Input Output'!$AD$5= "y", $K$4*(D304*1000)/$K$3, 0)</f>
        <v>221100</v>
      </c>
      <c r="K304" s="43">
        <f t="shared" si="61"/>
        <v>221.1</v>
      </c>
      <c r="L304" s="43">
        <f t="shared" si="62"/>
        <v>442200000</v>
      </c>
      <c r="M304" s="180">
        <f t="shared" si="57"/>
        <v>442.2</v>
      </c>
      <c r="N304" s="43">
        <f t="shared" si="63"/>
        <v>1200</v>
      </c>
      <c r="O304" s="128">
        <f t="shared" si="58"/>
        <v>4.32</v>
      </c>
      <c r="P304" s="181">
        <f t="shared" si="64"/>
        <v>454.45433142857144</v>
      </c>
      <c r="Q304" s="209">
        <f>IF( 'Organized Input Output'!$AF$9 = "y", P304 / ($Q$3 * $Q$4), 0)</f>
        <v>0</v>
      </c>
      <c r="R304" s="209">
        <f t="shared" si="65"/>
        <v>0</v>
      </c>
      <c r="S304" s="43">
        <f>IF( 'Organized Input Output'!$AF$9 = "y", IF(R304= 0, 1, 0), 0)</f>
        <v>0</v>
      </c>
      <c r="T304" s="209">
        <f t="shared" si="67"/>
        <v>0</v>
      </c>
      <c r="U304" s="43">
        <f>IF( 'Organized Input Output'!$AF$9 = "y", IF(T304= 0, 1, 0), 0)</f>
        <v>0</v>
      </c>
      <c r="V304" s="43">
        <f t="shared" si="59"/>
        <v>0</v>
      </c>
      <c r="W304" s="43">
        <f t="shared" si="66"/>
        <v>0</v>
      </c>
      <c r="X304" s="43">
        <f t="shared" si="68"/>
        <v>0</v>
      </c>
      <c r="Y304" s="43">
        <f t="shared" si="69"/>
        <v>0</v>
      </c>
    </row>
    <row r="305" spans="1:25" ht="15" customHeight="1">
      <c r="A305" s="43">
        <v>295</v>
      </c>
      <c r="B305" s="176">
        <v>0</v>
      </c>
      <c r="C305" s="126">
        <f>'Studio Rain System'!J317</f>
        <v>21.4</v>
      </c>
      <c r="D305" s="104">
        <f>'Studio Rain System'!K317</f>
        <v>23.54</v>
      </c>
      <c r="E305" s="104">
        <f>'Studio Rain System'!L317</f>
        <v>20</v>
      </c>
      <c r="F305" s="104">
        <f>'Studio Rain System'!M317</f>
        <v>0.745</v>
      </c>
      <c r="G305" s="177">
        <v>125600</v>
      </c>
      <c r="H305" s="178">
        <f t="shared" si="56"/>
        <v>4223748.5714285718</v>
      </c>
      <c r="I305" s="128">
        <f t="shared" si="60"/>
        <v>4.2237485714285716</v>
      </c>
      <c r="J305" s="193">
        <f>IF( 'Organized Input Output'!$AD$5= "y", $K$4*(D305*1000)/$K$3, 0)</f>
        <v>117700</v>
      </c>
      <c r="K305" s="43">
        <f t="shared" si="61"/>
        <v>117.7</v>
      </c>
      <c r="L305" s="43">
        <f t="shared" si="62"/>
        <v>235400000</v>
      </c>
      <c r="M305" s="180">
        <f t="shared" si="57"/>
        <v>235.4</v>
      </c>
      <c r="N305" s="43">
        <f t="shared" si="63"/>
        <v>1200</v>
      </c>
      <c r="O305" s="128">
        <f t="shared" si="58"/>
        <v>4.32</v>
      </c>
      <c r="P305" s="181">
        <f t="shared" si="64"/>
        <v>243.94374857142856</v>
      </c>
      <c r="Q305" s="209">
        <f>IF( 'Organized Input Output'!$AF$9 = "y", P305 / ($Q$3 * $Q$4), 0)</f>
        <v>0</v>
      </c>
      <c r="R305" s="209">
        <f t="shared" si="65"/>
        <v>0</v>
      </c>
      <c r="S305" s="43">
        <f>IF( 'Organized Input Output'!$AF$9 = "y", IF(R305= 0, 1, 0), 0)</f>
        <v>0</v>
      </c>
      <c r="T305" s="209">
        <f t="shared" si="67"/>
        <v>0</v>
      </c>
      <c r="U305" s="43">
        <f>IF( 'Organized Input Output'!$AF$9 = "y", IF(T305= 0, 1, 0), 0)</f>
        <v>0</v>
      </c>
      <c r="V305" s="43">
        <f t="shared" si="59"/>
        <v>0</v>
      </c>
      <c r="W305" s="43">
        <f t="shared" si="66"/>
        <v>0</v>
      </c>
      <c r="X305" s="43">
        <f t="shared" si="68"/>
        <v>0</v>
      </c>
      <c r="Y305" s="43">
        <f t="shared" si="69"/>
        <v>0</v>
      </c>
    </row>
    <row r="306" spans="1:25" ht="15" customHeight="1">
      <c r="A306" s="43">
        <v>296</v>
      </c>
      <c r="B306" s="176">
        <v>0</v>
      </c>
      <c r="C306" s="126">
        <f>'Studio Rain System'!J318</f>
        <v>9.4</v>
      </c>
      <c r="D306" s="104">
        <f>'Studio Rain System'!K318</f>
        <v>10.34</v>
      </c>
      <c r="E306" s="104">
        <f>'Studio Rain System'!L318</f>
        <v>20</v>
      </c>
      <c r="F306" s="104">
        <f>'Studio Rain System'!M318</f>
        <v>0.745</v>
      </c>
      <c r="G306" s="177">
        <v>125600</v>
      </c>
      <c r="H306" s="178">
        <f t="shared" si="56"/>
        <v>1855291.4285714286</v>
      </c>
      <c r="I306" s="128">
        <f t="shared" si="60"/>
        <v>1.8552914285714286</v>
      </c>
      <c r="J306" s="193">
        <f>IF( 'Organized Input Output'!$AD$5= "y", $K$4*(D306*1000)/$K$3, 0)</f>
        <v>51700</v>
      </c>
      <c r="K306" s="43">
        <f t="shared" si="61"/>
        <v>51.7</v>
      </c>
      <c r="L306" s="43">
        <f t="shared" si="62"/>
        <v>103400000</v>
      </c>
      <c r="M306" s="180">
        <f t="shared" si="57"/>
        <v>103.4</v>
      </c>
      <c r="N306" s="43">
        <f t="shared" si="63"/>
        <v>1200</v>
      </c>
      <c r="O306" s="128">
        <f t="shared" si="58"/>
        <v>4.32</v>
      </c>
      <c r="P306" s="181">
        <f t="shared" si="64"/>
        <v>109.57529142857143</v>
      </c>
      <c r="Q306" s="209">
        <f>IF( 'Organized Input Output'!$AF$9 = "y", P306 / ($Q$3 * $Q$4), 0)</f>
        <v>0</v>
      </c>
      <c r="R306" s="209">
        <f t="shared" si="65"/>
        <v>0</v>
      </c>
      <c r="S306" s="43">
        <f>IF( 'Organized Input Output'!$AF$9 = "y", IF(R306= 0, 1, 0), 0)</f>
        <v>0</v>
      </c>
      <c r="T306" s="209">
        <f t="shared" si="67"/>
        <v>0</v>
      </c>
      <c r="U306" s="43">
        <f>IF( 'Organized Input Output'!$AF$9 = "y", IF(T306= 0, 1, 0), 0)</f>
        <v>0</v>
      </c>
      <c r="V306" s="43">
        <f t="shared" si="59"/>
        <v>0</v>
      </c>
      <c r="W306" s="43">
        <f t="shared" si="66"/>
        <v>0</v>
      </c>
      <c r="X306" s="43">
        <f t="shared" si="68"/>
        <v>0</v>
      </c>
      <c r="Y306" s="43">
        <f t="shared" si="69"/>
        <v>0</v>
      </c>
    </row>
    <row r="307" spans="1:25" ht="15" customHeight="1">
      <c r="A307" s="43">
        <v>297</v>
      </c>
      <c r="B307" s="176">
        <v>0</v>
      </c>
      <c r="C307" s="126">
        <f>'Studio Rain System'!J319</f>
        <v>1.6</v>
      </c>
      <c r="D307" s="104">
        <f>'Studio Rain System'!K319</f>
        <v>1.76</v>
      </c>
      <c r="E307" s="104">
        <f>'Studio Rain System'!L319</f>
        <v>20</v>
      </c>
      <c r="F307" s="104">
        <f>'Studio Rain System'!M319</f>
        <v>0.745</v>
      </c>
      <c r="G307" s="177">
        <v>125600</v>
      </c>
      <c r="H307" s="178">
        <f t="shared" si="56"/>
        <v>315794.28571428574</v>
      </c>
      <c r="I307" s="128">
        <f t="shared" si="60"/>
        <v>0.31579428571428575</v>
      </c>
      <c r="J307" s="193">
        <f>IF( 'Organized Input Output'!$AD$5= "y", $K$4*(D307*1000)/$K$3, 0)</f>
        <v>8800</v>
      </c>
      <c r="K307" s="43">
        <f t="shared" si="61"/>
        <v>8.8000000000000007</v>
      </c>
      <c r="L307" s="43">
        <f t="shared" si="62"/>
        <v>17600000</v>
      </c>
      <c r="M307" s="180">
        <f t="shared" si="57"/>
        <v>17.600000000000001</v>
      </c>
      <c r="N307" s="43">
        <f t="shared" si="63"/>
        <v>1200</v>
      </c>
      <c r="O307" s="128">
        <f t="shared" si="58"/>
        <v>4.32</v>
      </c>
      <c r="P307" s="181">
        <f t="shared" si="64"/>
        <v>22.235794285714288</v>
      </c>
      <c r="Q307" s="209">
        <f>IF( 'Organized Input Output'!$AF$9 = "y", P307 / ($Q$3 * $Q$4), 0)</f>
        <v>0</v>
      </c>
      <c r="R307" s="209">
        <f t="shared" si="65"/>
        <v>0</v>
      </c>
      <c r="S307" s="43">
        <f>IF( 'Organized Input Output'!$AF$9 = "y", IF(R307= 0, 1, 0), 0)</f>
        <v>0</v>
      </c>
      <c r="T307" s="209">
        <f t="shared" si="67"/>
        <v>0</v>
      </c>
      <c r="U307" s="43">
        <f>IF( 'Organized Input Output'!$AF$9 = "y", IF(T307= 0, 1, 0), 0)</f>
        <v>0</v>
      </c>
      <c r="V307" s="43">
        <f t="shared" si="59"/>
        <v>0</v>
      </c>
      <c r="W307" s="43">
        <f t="shared" si="66"/>
        <v>0</v>
      </c>
      <c r="X307" s="43">
        <f t="shared" si="68"/>
        <v>0</v>
      </c>
      <c r="Y307" s="43">
        <f t="shared" si="69"/>
        <v>0</v>
      </c>
    </row>
    <row r="308" spans="1:25" ht="15" customHeight="1">
      <c r="A308" s="43">
        <v>298</v>
      </c>
      <c r="B308" s="176">
        <v>0</v>
      </c>
      <c r="C308" s="126">
        <f>'Studio Rain System'!J320</f>
        <v>21.8</v>
      </c>
      <c r="D308" s="104">
        <f>'Studio Rain System'!K320</f>
        <v>23.98</v>
      </c>
      <c r="E308" s="104">
        <f>'Studio Rain System'!L320</f>
        <v>20</v>
      </c>
      <c r="F308" s="104">
        <f>'Studio Rain System'!M320</f>
        <v>0.745</v>
      </c>
      <c r="G308" s="177">
        <v>125600</v>
      </c>
      <c r="H308" s="178">
        <f t="shared" si="56"/>
        <v>4302697.1428571427</v>
      </c>
      <c r="I308" s="128">
        <f t="shared" si="60"/>
        <v>4.3026971428571423</v>
      </c>
      <c r="J308" s="193">
        <f>IF( 'Organized Input Output'!$AD$5= "y", $K$4*(D308*1000)/$K$3, 0)</f>
        <v>119900</v>
      </c>
      <c r="K308" s="43">
        <f t="shared" si="61"/>
        <v>119.9</v>
      </c>
      <c r="L308" s="43">
        <f t="shared" si="62"/>
        <v>239800000</v>
      </c>
      <c r="M308" s="180">
        <f t="shared" si="57"/>
        <v>239.8</v>
      </c>
      <c r="N308" s="43">
        <f t="shared" si="63"/>
        <v>1200</v>
      </c>
      <c r="O308" s="128">
        <f t="shared" si="58"/>
        <v>4.32</v>
      </c>
      <c r="P308" s="181">
        <f t="shared" si="64"/>
        <v>248.42269714285715</v>
      </c>
      <c r="Q308" s="209">
        <f>IF( 'Organized Input Output'!$AF$9 = "y", P308 / ($Q$3 * $Q$4), 0)</f>
        <v>0</v>
      </c>
      <c r="R308" s="209">
        <f t="shared" si="65"/>
        <v>0</v>
      </c>
      <c r="S308" s="43">
        <f>IF( 'Organized Input Output'!$AF$9 = "y", IF(R308= 0, 1, 0), 0)</f>
        <v>0</v>
      </c>
      <c r="T308" s="209">
        <f t="shared" si="67"/>
        <v>0</v>
      </c>
      <c r="U308" s="43">
        <f>IF( 'Organized Input Output'!$AF$9 = "y", IF(T308= 0, 1, 0), 0)</f>
        <v>0</v>
      </c>
      <c r="V308" s="43">
        <f t="shared" si="59"/>
        <v>0</v>
      </c>
      <c r="W308" s="43">
        <f t="shared" si="66"/>
        <v>0</v>
      </c>
      <c r="X308" s="43">
        <f t="shared" si="68"/>
        <v>0</v>
      </c>
      <c r="Y308" s="43">
        <f t="shared" si="69"/>
        <v>0</v>
      </c>
    </row>
    <row r="309" spans="1:25" ht="15" customHeight="1">
      <c r="A309" s="43">
        <v>299</v>
      </c>
      <c r="B309" s="176">
        <v>9.6</v>
      </c>
      <c r="C309" s="126">
        <f>'Studio Rain System'!J321</f>
        <v>2.4</v>
      </c>
      <c r="D309" s="104">
        <f>'Studio Rain System'!K321</f>
        <v>2.6399999999999997</v>
      </c>
      <c r="E309" s="104">
        <f>'Studio Rain System'!L321</f>
        <v>20</v>
      </c>
      <c r="F309" s="104">
        <f>'Studio Rain System'!M321</f>
        <v>0.745</v>
      </c>
      <c r="G309" s="177">
        <v>125600</v>
      </c>
      <c r="H309" s="178">
        <f t="shared" si="56"/>
        <v>473691.42857142852</v>
      </c>
      <c r="I309" s="128">
        <f t="shared" si="60"/>
        <v>0.47369142857142854</v>
      </c>
      <c r="J309" s="193">
        <f>IF( 'Organized Input Output'!$AD$5= "y", $K$4*(D309*1000)/$K$3, 0)</f>
        <v>13199.999999999996</v>
      </c>
      <c r="K309" s="43">
        <f t="shared" si="61"/>
        <v>13.199999999999996</v>
      </c>
      <c r="L309" s="43">
        <f t="shared" si="62"/>
        <v>26399999.999999993</v>
      </c>
      <c r="M309" s="180">
        <f t="shared" si="57"/>
        <v>26.399999999999991</v>
      </c>
      <c r="N309" s="43">
        <f t="shared" si="63"/>
        <v>1200</v>
      </c>
      <c r="O309" s="128">
        <f t="shared" si="58"/>
        <v>4.32</v>
      </c>
      <c r="P309" s="181">
        <f t="shared" si="64"/>
        <v>31.19369142857142</v>
      </c>
      <c r="Q309" s="209">
        <f>IF( 'Organized Input Output'!$AF$9 = "y", P309 / ($Q$3 * $Q$4), 0)</f>
        <v>0</v>
      </c>
      <c r="R309" s="209">
        <f t="shared" si="65"/>
        <v>0</v>
      </c>
      <c r="S309" s="43">
        <f>IF( 'Organized Input Output'!$AF$9 = "y", IF(R309= 0, 1, 0), 0)</f>
        <v>0</v>
      </c>
      <c r="T309" s="209">
        <f t="shared" si="67"/>
        <v>0</v>
      </c>
      <c r="U309" s="43">
        <f>IF( 'Organized Input Output'!$AF$9 = "y", IF(T309= 0, 1, 0), 0)</f>
        <v>0</v>
      </c>
      <c r="V309" s="43">
        <f t="shared" si="59"/>
        <v>0</v>
      </c>
      <c r="W309" s="43">
        <f t="shared" si="66"/>
        <v>0</v>
      </c>
      <c r="X309" s="43">
        <f t="shared" si="68"/>
        <v>0</v>
      </c>
      <c r="Y309" s="43">
        <f t="shared" si="69"/>
        <v>0</v>
      </c>
    </row>
    <row r="310" spans="1:25" ht="15" customHeight="1">
      <c r="A310" s="43">
        <v>300</v>
      </c>
      <c r="B310" s="176">
        <v>0</v>
      </c>
      <c r="C310" s="126">
        <f>'Studio Rain System'!J322</f>
        <v>33.6</v>
      </c>
      <c r="D310" s="104">
        <f>'Studio Rain System'!K322</f>
        <v>36.960000000000008</v>
      </c>
      <c r="E310" s="104">
        <f>'Studio Rain System'!L322</f>
        <v>20</v>
      </c>
      <c r="F310" s="104">
        <f>'Studio Rain System'!M322</f>
        <v>0.745</v>
      </c>
      <c r="G310" s="177">
        <v>125600</v>
      </c>
      <c r="H310" s="178">
        <f t="shared" si="56"/>
        <v>6631680.0000000019</v>
      </c>
      <c r="I310" s="128">
        <f t="shared" si="60"/>
        <v>6.631680000000002</v>
      </c>
      <c r="J310" s="193">
        <f>IF( 'Organized Input Output'!$AD$5= "y", $K$4*(D310*1000)/$K$3, 0)</f>
        <v>184800.00000000006</v>
      </c>
      <c r="K310" s="43">
        <f t="shared" si="61"/>
        <v>184.80000000000007</v>
      </c>
      <c r="L310" s="43">
        <f t="shared" si="62"/>
        <v>369600000.00000012</v>
      </c>
      <c r="M310" s="180">
        <f t="shared" si="57"/>
        <v>369.60000000000014</v>
      </c>
      <c r="N310" s="43">
        <f t="shared" si="63"/>
        <v>1200</v>
      </c>
      <c r="O310" s="128">
        <f t="shared" si="58"/>
        <v>4.32</v>
      </c>
      <c r="P310" s="181">
        <f t="shared" si="64"/>
        <v>380.55168000000015</v>
      </c>
      <c r="Q310" s="209">
        <f>IF( 'Organized Input Output'!$AF$9 = "y", P310 / ($Q$3 * $Q$4), 0)</f>
        <v>0</v>
      </c>
      <c r="R310" s="209">
        <f t="shared" si="65"/>
        <v>0</v>
      </c>
      <c r="S310" s="43">
        <f>IF( 'Organized Input Output'!$AF$9 = "y", IF(R310= 0, 1, 0), 0)</f>
        <v>0</v>
      </c>
      <c r="T310" s="209">
        <f t="shared" si="67"/>
        <v>0</v>
      </c>
      <c r="U310" s="43">
        <f>IF( 'Organized Input Output'!$AF$9 = "y", IF(T310= 0, 1, 0), 0)</f>
        <v>0</v>
      </c>
      <c r="V310" s="43">
        <f t="shared" si="59"/>
        <v>0</v>
      </c>
      <c r="W310" s="43">
        <f t="shared" si="66"/>
        <v>0</v>
      </c>
      <c r="X310" s="43">
        <f t="shared" si="68"/>
        <v>0</v>
      </c>
      <c r="Y310" s="43">
        <f t="shared" si="69"/>
        <v>0</v>
      </c>
    </row>
    <row r="311" spans="1:25" ht="15" customHeight="1">
      <c r="A311" s="43">
        <v>301</v>
      </c>
      <c r="B311" s="176">
        <v>0</v>
      </c>
      <c r="C311" s="126">
        <f>'Studio Rain System'!J323</f>
        <v>24.4</v>
      </c>
      <c r="D311" s="104">
        <f>'Studio Rain System'!K323</f>
        <v>26.839999999999996</v>
      </c>
      <c r="E311" s="104">
        <f>'Studio Rain System'!L323</f>
        <v>20</v>
      </c>
      <c r="F311" s="104">
        <f>'Studio Rain System'!M323</f>
        <v>0.745</v>
      </c>
      <c r="G311" s="177">
        <v>125600</v>
      </c>
      <c r="H311" s="178">
        <f t="shared" si="56"/>
        <v>4815862.8571428563</v>
      </c>
      <c r="I311" s="128">
        <f t="shared" si="60"/>
        <v>4.8158628571428563</v>
      </c>
      <c r="J311" s="193">
        <f>IF( 'Organized Input Output'!$AD$5= "y", $K$4*(D311*1000)/$K$3, 0)</f>
        <v>134199.99999999997</v>
      </c>
      <c r="K311" s="43">
        <f t="shared" si="61"/>
        <v>134.19999999999996</v>
      </c>
      <c r="L311" s="43">
        <f t="shared" si="62"/>
        <v>268399999.99999991</v>
      </c>
      <c r="M311" s="180">
        <f t="shared" si="57"/>
        <v>268.39999999999992</v>
      </c>
      <c r="N311" s="43">
        <f t="shared" si="63"/>
        <v>1200</v>
      </c>
      <c r="O311" s="128">
        <f t="shared" si="58"/>
        <v>4.32</v>
      </c>
      <c r="P311" s="181">
        <f t="shared" si="64"/>
        <v>277.53586285714277</v>
      </c>
      <c r="Q311" s="209">
        <f>IF( 'Organized Input Output'!$AF$9 = "y", P311 / ($Q$3 * $Q$4), 0)</f>
        <v>0</v>
      </c>
      <c r="R311" s="209">
        <f t="shared" si="65"/>
        <v>0</v>
      </c>
      <c r="S311" s="43">
        <f>IF( 'Organized Input Output'!$AF$9 = "y", IF(R311= 0, 1, 0), 0)</f>
        <v>0</v>
      </c>
      <c r="T311" s="209">
        <f t="shared" si="67"/>
        <v>0</v>
      </c>
      <c r="U311" s="43">
        <f>IF( 'Organized Input Output'!$AF$9 = "y", IF(T311= 0, 1, 0), 0)</f>
        <v>0</v>
      </c>
      <c r="V311" s="43">
        <f t="shared" si="59"/>
        <v>0</v>
      </c>
      <c r="W311" s="43">
        <f t="shared" si="66"/>
        <v>0</v>
      </c>
      <c r="X311" s="43">
        <f t="shared" si="68"/>
        <v>0</v>
      </c>
      <c r="Y311" s="43">
        <f t="shared" si="69"/>
        <v>0</v>
      </c>
    </row>
    <row r="312" spans="1:25" ht="15" customHeight="1">
      <c r="A312" s="43">
        <v>302</v>
      </c>
      <c r="B312" s="176">
        <v>0</v>
      </c>
      <c r="C312" s="126">
        <f>'Studio Rain System'!J324</f>
        <v>7</v>
      </c>
      <c r="D312" s="104">
        <f>'Studio Rain System'!K324</f>
        <v>7.7</v>
      </c>
      <c r="E312" s="104">
        <f>'Studio Rain System'!L324</f>
        <v>20</v>
      </c>
      <c r="F312" s="104">
        <f>'Studio Rain System'!M324</f>
        <v>0.745</v>
      </c>
      <c r="G312" s="177">
        <v>125600</v>
      </c>
      <c r="H312" s="178">
        <f t="shared" si="56"/>
        <v>1381600</v>
      </c>
      <c r="I312" s="128">
        <f t="shared" si="60"/>
        <v>1.3815999999999999</v>
      </c>
      <c r="J312" s="193">
        <f>IF( 'Organized Input Output'!$AD$5= "y", $K$4*(D312*1000)/$K$3, 0)</f>
        <v>38500</v>
      </c>
      <c r="K312" s="43">
        <f t="shared" si="61"/>
        <v>38.5</v>
      </c>
      <c r="L312" s="43">
        <f t="shared" si="62"/>
        <v>77000000</v>
      </c>
      <c r="M312" s="180">
        <f t="shared" si="57"/>
        <v>77</v>
      </c>
      <c r="N312" s="43">
        <f t="shared" si="63"/>
        <v>1200</v>
      </c>
      <c r="O312" s="128">
        <f t="shared" si="58"/>
        <v>4.32</v>
      </c>
      <c r="P312" s="181">
        <f t="shared" si="64"/>
        <v>82.701600000000013</v>
      </c>
      <c r="Q312" s="209">
        <f>IF( 'Organized Input Output'!$AF$9 = "y", P312 / ($Q$3 * $Q$4), 0)</f>
        <v>0</v>
      </c>
      <c r="R312" s="209">
        <f t="shared" si="65"/>
        <v>0</v>
      </c>
      <c r="S312" s="43">
        <f>IF( 'Organized Input Output'!$AF$9 = "y", IF(R312= 0, 1, 0), 0)</f>
        <v>0</v>
      </c>
      <c r="T312" s="209">
        <f t="shared" si="67"/>
        <v>0</v>
      </c>
      <c r="U312" s="43">
        <f>IF( 'Organized Input Output'!$AF$9 = "y", IF(T312= 0, 1, 0), 0)</f>
        <v>0</v>
      </c>
      <c r="V312" s="43">
        <f t="shared" si="59"/>
        <v>0</v>
      </c>
      <c r="W312" s="43">
        <f t="shared" si="66"/>
        <v>0</v>
      </c>
      <c r="X312" s="43">
        <f t="shared" si="68"/>
        <v>0</v>
      </c>
      <c r="Y312" s="43">
        <f t="shared" si="69"/>
        <v>0</v>
      </c>
    </row>
    <row r="313" spans="1:25" ht="15" customHeight="1">
      <c r="A313" s="43">
        <v>303</v>
      </c>
      <c r="B313" s="176">
        <v>14.1</v>
      </c>
      <c r="C313" s="126">
        <f>'Studio Rain System'!J325</f>
        <v>9</v>
      </c>
      <c r="D313" s="104">
        <f>'Studio Rain System'!K325</f>
        <v>9.8999999999999986</v>
      </c>
      <c r="E313" s="104">
        <f>'Studio Rain System'!L325</f>
        <v>20</v>
      </c>
      <c r="F313" s="104">
        <f>'Studio Rain System'!M325</f>
        <v>0.745</v>
      </c>
      <c r="G313" s="177">
        <v>125600</v>
      </c>
      <c r="H313" s="178">
        <f t="shared" si="56"/>
        <v>1776342.8571428568</v>
      </c>
      <c r="I313" s="128">
        <f t="shared" si="60"/>
        <v>1.7763428571428568</v>
      </c>
      <c r="J313" s="193">
        <f>IF( 'Organized Input Output'!$AD$5= "y", $K$4*(D313*1000)/$K$3, 0)</f>
        <v>49499.999999999985</v>
      </c>
      <c r="K313" s="43">
        <f t="shared" si="61"/>
        <v>49.499999999999986</v>
      </c>
      <c r="L313" s="43">
        <f t="shared" si="62"/>
        <v>98999999.99999997</v>
      </c>
      <c r="M313" s="180">
        <f t="shared" si="57"/>
        <v>98.999999999999972</v>
      </c>
      <c r="N313" s="43">
        <f t="shared" si="63"/>
        <v>1200</v>
      </c>
      <c r="O313" s="128">
        <f t="shared" si="58"/>
        <v>4.32</v>
      </c>
      <c r="P313" s="181">
        <f t="shared" si="64"/>
        <v>105.09634285714282</v>
      </c>
      <c r="Q313" s="209">
        <f>IF( 'Organized Input Output'!$AF$9 = "y", P313 / ($Q$3 * $Q$4), 0)</f>
        <v>0</v>
      </c>
      <c r="R313" s="209">
        <f t="shared" si="65"/>
        <v>0</v>
      </c>
      <c r="S313" s="43">
        <f>IF( 'Organized Input Output'!$AF$9 = "y", IF(R313= 0, 1, 0), 0)</f>
        <v>0</v>
      </c>
      <c r="T313" s="209">
        <f t="shared" si="67"/>
        <v>0</v>
      </c>
      <c r="U313" s="43">
        <f>IF( 'Organized Input Output'!$AF$9 = "y", IF(T313= 0, 1, 0), 0)</f>
        <v>0</v>
      </c>
      <c r="V313" s="43">
        <f t="shared" si="59"/>
        <v>0</v>
      </c>
      <c r="W313" s="43">
        <f t="shared" si="66"/>
        <v>0</v>
      </c>
      <c r="X313" s="43">
        <f t="shared" si="68"/>
        <v>0</v>
      </c>
      <c r="Y313" s="43">
        <f t="shared" si="69"/>
        <v>0</v>
      </c>
    </row>
    <row r="314" spans="1:25" ht="15" customHeight="1">
      <c r="A314" s="43">
        <v>304</v>
      </c>
      <c r="B314" s="176">
        <v>2</v>
      </c>
      <c r="C314" s="126">
        <f>'Studio Rain System'!J326</f>
        <v>15</v>
      </c>
      <c r="D314" s="104">
        <f>'Studio Rain System'!K326</f>
        <v>16.5</v>
      </c>
      <c r="E314" s="104">
        <f>'Studio Rain System'!L326</f>
        <v>20</v>
      </c>
      <c r="F314" s="104">
        <f>'Studio Rain System'!M326</f>
        <v>0.745</v>
      </c>
      <c r="G314" s="177">
        <v>125600</v>
      </c>
      <c r="H314" s="178">
        <f t="shared" si="56"/>
        <v>2960571.4285714286</v>
      </c>
      <c r="I314" s="128">
        <f t="shared" si="60"/>
        <v>2.9605714285714289</v>
      </c>
      <c r="J314" s="193">
        <f>IF( 'Organized Input Output'!$AD$5= "y", $K$4*(D314*1000)/$K$3, 0)</f>
        <v>82500</v>
      </c>
      <c r="K314" s="43">
        <f t="shared" si="61"/>
        <v>82.5</v>
      </c>
      <c r="L314" s="43">
        <f t="shared" si="62"/>
        <v>165000000</v>
      </c>
      <c r="M314" s="180">
        <f t="shared" si="57"/>
        <v>165</v>
      </c>
      <c r="N314" s="43">
        <f t="shared" si="63"/>
        <v>1200</v>
      </c>
      <c r="O314" s="128">
        <f t="shared" si="58"/>
        <v>4.32</v>
      </c>
      <c r="P314" s="181">
        <f t="shared" si="64"/>
        <v>172.28057142857142</v>
      </c>
      <c r="Q314" s="209">
        <f>IF( 'Organized Input Output'!$AF$9 = "y", P314 / ($Q$3 * $Q$4), 0)</f>
        <v>0</v>
      </c>
      <c r="R314" s="209">
        <f t="shared" si="65"/>
        <v>0</v>
      </c>
      <c r="S314" s="43">
        <f>IF( 'Organized Input Output'!$AF$9 = "y", IF(R314= 0, 1, 0), 0)</f>
        <v>0</v>
      </c>
      <c r="T314" s="209">
        <f t="shared" si="67"/>
        <v>0</v>
      </c>
      <c r="U314" s="43">
        <f>IF( 'Organized Input Output'!$AF$9 = "y", IF(T314= 0, 1, 0), 0)</f>
        <v>0</v>
      </c>
      <c r="V314" s="43">
        <f t="shared" si="59"/>
        <v>0</v>
      </c>
      <c r="W314" s="43">
        <f t="shared" si="66"/>
        <v>0</v>
      </c>
      <c r="X314" s="43">
        <f t="shared" si="68"/>
        <v>0</v>
      </c>
      <c r="Y314" s="43">
        <f t="shared" si="69"/>
        <v>0</v>
      </c>
    </row>
    <row r="315" spans="1:25" ht="15" customHeight="1">
      <c r="A315" s="43">
        <v>305</v>
      </c>
      <c r="B315" s="176">
        <v>0.8</v>
      </c>
      <c r="C315" s="126">
        <f>'Studio Rain System'!J327</f>
        <v>6.4</v>
      </c>
      <c r="D315" s="104">
        <f>'Studio Rain System'!K327</f>
        <v>7.04</v>
      </c>
      <c r="E315" s="104">
        <f>'Studio Rain System'!L327</f>
        <v>20</v>
      </c>
      <c r="F315" s="104">
        <f>'Studio Rain System'!M327</f>
        <v>0.745</v>
      </c>
      <c r="G315" s="177">
        <v>125600</v>
      </c>
      <c r="H315" s="178">
        <f t="shared" si="56"/>
        <v>1263177.142857143</v>
      </c>
      <c r="I315" s="128">
        <f t="shared" si="60"/>
        <v>1.263177142857143</v>
      </c>
      <c r="J315" s="193">
        <f>IF( 'Organized Input Output'!$AD$5= "y", $K$4*(D315*1000)/$K$3, 0)</f>
        <v>35200</v>
      </c>
      <c r="K315" s="43">
        <f t="shared" si="61"/>
        <v>35.200000000000003</v>
      </c>
      <c r="L315" s="43">
        <f t="shared" si="62"/>
        <v>70400000</v>
      </c>
      <c r="M315" s="180">
        <f t="shared" si="57"/>
        <v>70.400000000000006</v>
      </c>
      <c r="N315" s="43">
        <f t="shared" si="63"/>
        <v>1200</v>
      </c>
      <c r="O315" s="128">
        <f t="shared" si="58"/>
        <v>4.32</v>
      </c>
      <c r="P315" s="181">
        <f t="shared" si="64"/>
        <v>75.983177142857159</v>
      </c>
      <c r="Q315" s="209">
        <f>IF( 'Organized Input Output'!$AF$9 = "y", P315 / ($Q$3 * $Q$4), 0)</f>
        <v>0</v>
      </c>
      <c r="R315" s="209">
        <f t="shared" si="65"/>
        <v>0</v>
      </c>
      <c r="S315" s="43">
        <f>IF( 'Organized Input Output'!$AF$9 = "y", IF(R315= 0, 1, 0), 0)</f>
        <v>0</v>
      </c>
      <c r="T315" s="209">
        <f t="shared" si="67"/>
        <v>0</v>
      </c>
      <c r="U315" s="43">
        <f>IF( 'Organized Input Output'!$AF$9 = "y", IF(T315= 0, 1, 0), 0)</f>
        <v>0</v>
      </c>
      <c r="V315" s="43">
        <f t="shared" si="59"/>
        <v>0</v>
      </c>
      <c r="W315" s="43">
        <f t="shared" si="66"/>
        <v>0</v>
      </c>
      <c r="X315" s="43">
        <f t="shared" si="68"/>
        <v>0</v>
      </c>
      <c r="Y315" s="43">
        <f t="shared" si="69"/>
        <v>0</v>
      </c>
    </row>
    <row r="316" spans="1:25" ht="15" customHeight="1">
      <c r="A316" s="43">
        <v>306</v>
      </c>
      <c r="B316" s="176">
        <v>0</v>
      </c>
      <c r="C316" s="126">
        <f>'Studio Rain System'!J328</f>
        <v>37.6</v>
      </c>
      <c r="D316" s="104">
        <f>'Studio Rain System'!K328</f>
        <v>41.36</v>
      </c>
      <c r="E316" s="104">
        <f>'Studio Rain System'!L328</f>
        <v>20</v>
      </c>
      <c r="F316" s="104">
        <f>'Studio Rain System'!M328</f>
        <v>0.745</v>
      </c>
      <c r="G316" s="177">
        <v>125600</v>
      </c>
      <c r="H316" s="178">
        <f t="shared" si="56"/>
        <v>7421165.7142857146</v>
      </c>
      <c r="I316" s="128">
        <f t="shared" si="60"/>
        <v>7.4211657142857144</v>
      </c>
      <c r="J316" s="193">
        <f>IF( 'Organized Input Output'!$AD$5= "y", $K$4*(D316*1000)/$K$3, 0)</f>
        <v>206800</v>
      </c>
      <c r="K316" s="43">
        <f t="shared" si="61"/>
        <v>206.8</v>
      </c>
      <c r="L316" s="43">
        <f t="shared" si="62"/>
        <v>413600000</v>
      </c>
      <c r="M316" s="180">
        <f t="shared" si="57"/>
        <v>413.6</v>
      </c>
      <c r="N316" s="43">
        <f t="shared" si="63"/>
        <v>1200</v>
      </c>
      <c r="O316" s="128">
        <f t="shared" si="58"/>
        <v>4.32</v>
      </c>
      <c r="P316" s="181">
        <f t="shared" si="64"/>
        <v>425.34116571428575</v>
      </c>
      <c r="Q316" s="209">
        <f>IF( 'Organized Input Output'!$AF$9 = "y", P316 / ($Q$3 * $Q$4), 0)</f>
        <v>0</v>
      </c>
      <c r="R316" s="209">
        <f t="shared" si="65"/>
        <v>0</v>
      </c>
      <c r="S316" s="43">
        <f>IF( 'Organized Input Output'!$AF$9 = "y", IF(R316= 0, 1, 0), 0)</f>
        <v>0</v>
      </c>
      <c r="T316" s="209">
        <f t="shared" si="67"/>
        <v>0</v>
      </c>
      <c r="U316" s="43">
        <f>IF( 'Organized Input Output'!$AF$9 = "y", IF(T316= 0, 1, 0), 0)</f>
        <v>0</v>
      </c>
      <c r="V316" s="43">
        <f t="shared" si="59"/>
        <v>0</v>
      </c>
      <c r="W316" s="43">
        <f t="shared" si="66"/>
        <v>0</v>
      </c>
      <c r="X316" s="43">
        <f t="shared" si="68"/>
        <v>0</v>
      </c>
      <c r="Y316" s="43">
        <f t="shared" si="69"/>
        <v>0</v>
      </c>
    </row>
    <row r="317" spans="1:25" ht="15" customHeight="1">
      <c r="A317" s="43">
        <v>307</v>
      </c>
      <c r="B317" s="176">
        <v>0</v>
      </c>
      <c r="C317" s="126">
        <f>'Studio Rain System'!J329</f>
        <v>35.200000000000003</v>
      </c>
      <c r="D317" s="104">
        <f>'Studio Rain System'!K329</f>
        <v>38.72</v>
      </c>
      <c r="E317" s="104">
        <f>'Studio Rain System'!L329</f>
        <v>20</v>
      </c>
      <c r="F317" s="104">
        <f>'Studio Rain System'!M329</f>
        <v>0.745</v>
      </c>
      <c r="G317" s="177">
        <v>125600</v>
      </c>
      <c r="H317" s="178">
        <f t="shared" si="56"/>
        <v>6947474.2857142864</v>
      </c>
      <c r="I317" s="128">
        <f t="shared" si="60"/>
        <v>6.9474742857142866</v>
      </c>
      <c r="J317" s="193">
        <f>IF( 'Organized Input Output'!$AD$5= "y", $K$4*(D317*1000)/$K$3, 0)</f>
        <v>193600</v>
      </c>
      <c r="K317" s="43">
        <f t="shared" si="61"/>
        <v>193.6</v>
      </c>
      <c r="L317" s="43">
        <f t="shared" si="62"/>
        <v>387200000</v>
      </c>
      <c r="M317" s="180">
        <f t="shared" si="57"/>
        <v>387.2</v>
      </c>
      <c r="N317" s="43">
        <f t="shared" si="63"/>
        <v>1200</v>
      </c>
      <c r="O317" s="128">
        <f t="shared" si="58"/>
        <v>4.32</v>
      </c>
      <c r="P317" s="181">
        <f t="shared" si="64"/>
        <v>398.46747428571427</v>
      </c>
      <c r="Q317" s="209">
        <f>IF( 'Organized Input Output'!$AF$9 = "y", P317 / ($Q$3 * $Q$4), 0)</f>
        <v>0</v>
      </c>
      <c r="R317" s="209">
        <f t="shared" si="65"/>
        <v>0</v>
      </c>
      <c r="S317" s="43">
        <f>IF( 'Organized Input Output'!$AF$9 = "y", IF(R317= 0, 1, 0), 0)</f>
        <v>0</v>
      </c>
      <c r="T317" s="209">
        <f t="shared" si="67"/>
        <v>0</v>
      </c>
      <c r="U317" s="43">
        <f>IF( 'Organized Input Output'!$AF$9 = "y", IF(T317= 0, 1, 0), 0)</f>
        <v>0</v>
      </c>
      <c r="V317" s="43">
        <f t="shared" si="59"/>
        <v>0</v>
      </c>
      <c r="W317" s="43">
        <f t="shared" si="66"/>
        <v>0</v>
      </c>
      <c r="X317" s="43">
        <f t="shared" si="68"/>
        <v>0</v>
      </c>
      <c r="Y317" s="43">
        <f t="shared" si="69"/>
        <v>0</v>
      </c>
    </row>
    <row r="318" spans="1:25" ht="15" customHeight="1">
      <c r="A318" s="43">
        <v>308</v>
      </c>
      <c r="B318" s="176">
        <v>1.2</v>
      </c>
      <c r="C318" s="126">
        <f>'Studio Rain System'!J330</f>
        <v>9</v>
      </c>
      <c r="D318" s="104">
        <f>'Studio Rain System'!K330</f>
        <v>9.8999999999999986</v>
      </c>
      <c r="E318" s="104">
        <f>'Studio Rain System'!L330</f>
        <v>20</v>
      </c>
      <c r="F318" s="104">
        <f>'Studio Rain System'!M330</f>
        <v>0.745</v>
      </c>
      <c r="G318" s="177">
        <v>125600</v>
      </c>
      <c r="H318" s="178">
        <f t="shared" si="56"/>
        <v>1776342.8571428568</v>
      </c>
      <c r="I318" s="128">
        <f t="shared" si="60"/>
        <v>1.7763428571428568</v>
      </c>
      <c r="J318" s="193">
        <f>IF( 'Organized Input Output'!$AD$5= "y", $K$4*(D318*1000)/$K$3, 0)</f>
        <v>49499.999999999985</v>
      </c>
      <c r="K318" s="43">
        <f t="shared" si="61"/>
        <v>49.499999999999986</v>
      </c>
      <c r="L318" s="43">
        <f t="shared" si="62"/>
        <v>98999999.99999997</v>
      </c>
      <c r="M318" s="180">
        <f t="shared" si="57"/>
        <v>98.999999999999972</v>
      </c>
      <c r="N318" s="43">
        <f t="shared" si="63"/>
        <v>1200</v>
      </c>
      <c r="O318" s="128">
        <f t="shared" si="58"/>
        <v>4.32</v>
      </c>
      <c r="P318" s="181">
        <f t="shared" si="64"/>
        <v>105.09634285714282</v>
      </c>
      <c r="Q318" s="209">
        <f>IF( 'Organized Input Output'!$AF$9 = "y", P318 / ($Q$3 * $Q$4), 0)</f>
        <v>0</v>
      </c>
      <c r="R318" s="209">
        <f t="shared" si="65"/>
        <v>0</v>
      </c>
      <c r="S318" s="43">
        <f>IF( 'Organized Input Output'!$AF$9 = "y", IF(R318= 0, 1, 0), 0)</f>
        <v>0</v>
      </c>
      <c r="T318" s="209">
        <f t="shared" si="67"/>
        <v>0</v>
      </c>
      <c r="U318" s="43">
        <f>IF( 'Organized Input Output'!$AF$9 = "y", IF(T318= 0, 1, 0), 0)</f>
        <v>0</v>
      </c>
      <c r="V318" s="43">
        <f t="shared" si="59"/>
        <v>0</v>
      </c>
      <c r="W318" s="43">
        <f t="shared" si="66"/>
        <v>0</v>
      </c>
      <c r="X318" s="43">
        <f t="shared" si="68"/>
        <v>0</v>
      </c>
      <c r="Y318" s="43">
        <f t="shared" si="69"/>
        <v>0</v>
      </c>
    </row>
    <row r="319" spans="1:25" ht="15" customHeight="1">
      <c r="A319" s="43">
        <v>309</v>
      </c>
      <c r="B319" s="176">
        <v>3</v>
      </c>
      <c r="C319" s="126">
        <f>'Studio Rain System'!J331</f>
        <v>4.4000000000000004</v>
      </c>
      <c r="D319" s="104">
        <f>'Studio Rain System'!K331</f>
        <v>4.84</v>
      </c>
      <c r="E319" s="104">
        <f>'Studio Rain System'!L331</f>
        <v>20</v>
      </c>
      <c r="F319" s="104">
        <f>'Studio Rain System'!M331</f>
        <v>0.745</v>
      </c>
      <c r="G319" s="177">
        <v>125600</v>
      </c>
      <c r="H319" s="178">
        <f t="shared" si="56"/>
        <v>868434.2857142858</v>
      </c>
      <c r="I319" s="128">
        <f t="shared" si="60"/>
        <v>0.86843428571428583</v>
      </c>
      <c r="J319" s="193">
        <f>IF( 'Organized Input Output'!$AD$5= "y", $K$4*(D319*1000)/$K$3, 0)</f>
        <v>24200</v>
      </c>
      <c r="K319" s="43">
        <f t="shared" si="61"/>
        <v>24.2</v>
      </c>
      <c r="L319" s="43">
        <f t="shared" si="62"/>
        <v>48400000</v>
      </c>
      <c r="M319" s="180">
        <f t="shared" si="57"/>
        <v>48.4</v>
      </c>
      <c r="N319" s="43">
        <f t="shared" si="63"/>
        <v>1200</v>
      </c>
      <c r="O319" s="128">
        <f t="shared" si="58"/>
        <v>4.32</v>
      </c>
      <c r="P319" s="181">
        <f t="shared" si="64"/>
        <v>53.588434285714285</v>
      </c>
      <c r="Q319" s="209">
        <f>IF( 'Organized Input Output'!$AF$9 = "y", P319 / ($Q$3 * $Q$4), 0)</f>
        <v>0</v>
      </c>
      <c r="R319" s="209">
        <f t="shared" si="65"/>
        <v>0</v>
      </c>
      <c r="S319" s="43">
        <f>IF( 'Organized Input Output'!$AF$9 = "y", IF(R319= 0, 1, 0), 0)</f>
        <v>0</v>
      </c>
      <c r="T319" s="209">
        <f t="shared" si="67"/>
        <v>0</v>
      </c>
      <c r="U319" s="43">
        <f>IF( 'Organized Input Output'!$AF$9 = "y", IF(T319= 0, 1, 0), 0)</f>
        <v>0</v>
      </c>
      <c r="V319" s="43">
        <f t="shared" si="59"/>
        <v>0</v>
      </c>
      <c r="W319" s="43">
        <f t="shared" si="66"/>
        <v>0</v>
      </c>
      <c r="X319" s="43">
        <f t="shared" si="68"/>
        <v>0</v>
      </c>
      <c r="Y319" s="43">
        <f t="shared" si="69"/>
        <v>0</v>
      </c>
    </row>
    <row r="320" spans="1:25" ht="15" customHeight="1">
      <c r="A320" s="43">
        <v>310</v>
      </c>
      <c r="B320" s="176">
        <v>3.2</v>
      </c>
      <c r="C320" s="126">
        <f>'Studio Rain System'!J332</f>
        <v>20.2</v>
      </c>
      <c r="D320" s="104">
        <f>'Studio Rain System'!K332</f>
        <v>22.22</v>
      </c>
      <c r="E320" s="104">
        <f>'Studio Rain System'!L332</f>
        <v>20</v>
      </c>
      <c r="F320" s="104">
        <f>'Studio Rain System'!M332</f>
        <v>0.745</v>
      </c>
      <c r="G320" s="177">
        <v>125600</v>
      </c>
      <c r="H320" s="178">
        <f t="shared" si="56"/>
        <v>3986902.8571428573</v>
      </c>
      <c r="I320" s="128">
        <f t="shared" si="60"/>
        <v>3.9869028571428573</v>
      </c>
      <c r="J320" s="193">
        <f>IF( 'Organized Input Output'!$AD$5= "y", $K$4*(D320*1000)/$K$3, 0)</f>
        <v>111100</v>
      </c>
      <c r="K320" s="43">
        <f t="shared" si="61"/>
        <v>111.1</v>
      </c>
      <c r="L320" s="43">
        <f t="shared" si="62"/>
        <v>222200000</v>
      </c>
      <c r="M320" s="180">
        <f t="shared" si="57"/>
        <v>222.2</v>
      </c>
      <c r="N320" s="43">
        <f t="shared" si="63"/>
        <v>1200</v>
      </c>
      <c r="O320" s="128">
        <f t="shared" si="58"/>
        <v>4.32</v>
      </c>
      <c r="P320" s="181">
        <f t="shared" si="64"/>
        <v>230.50690285714285</v>
      </c>
      <c r="Q320" s="209">
        <f>IF( 'Organized Input Output'!$AF$9 = "y", P320 / ($Q$3 * $Q$4), 0)</f>
        <v>0</v>
      </c>
      <c r="R320" s="209">
        <f t="shared" si="65"/>
        <v>0</v>
      </c>
      <c r="S320" s="43">
        <f>IF( 'Organized Input Output'!$AF$9 = "y", IF(R320= 0, 1, 0), 0)</f>
        <v>0</v>
      </c>
      <c r="T320" s="209">
        <f t="shared" si="67"/>
        <v>0</v>
      </c>
      <c r="U320" s="43">
        <f>IF( 'Organized Input Output'!$AF$9 = "y", IF(T320= 0, 1, 0), 0)</f>
        <v>0</v>
      </c>
      <c r="V320" s="43">
        <f t="shared" si="59"/>
        <v>0</v>
      </c>
      <c r="W320" s="43">
        <f t="shared" si="66"/>
        <v>0</v>
      </c>
      <c r="X320" s="43">
        <f t="shared" si="68"/>
        <v>0</v>
      </c>
      <c r="Y320" s="43">
        <f t="shared" si="69"/>
        <v>0</v>
      </c>
    </row>
    <row r="321" spans="1:25" ht="15" customHeight="1">
      <c r="A321" s="43">
        <v>311</v>
      </c>
      <c r="B321" s="176">
        <v>3.2</v>
      </c>
      <c r="C321" s="126">
        <f>'Studio Rain System'!J333</f>
        <v>1.4</v>
      </c>
      <c r="D321" s="104">
        <f>'Studio Rain System'!K333</f>
        <v>1.54</v>
      </c>
      <c r="E321" s="104">
        <f>'Studio Rain System'!L333</f>
        <v>20</v>
      </c>
      <c r="F321" s="104">
        <f>'Studio Rain System'!M333</f>
        <v>0.745</v>
      </c>
      <c r="G321" s="177">
        <v>125600</v>
      </c>
      <c r="H321" s="178">
        <f t="shared" si="56"/>
        <v>276320</v>
      </c>
      <c r="I321" s="128">
        <f t="shared" si="60"/>
        <v>0.27632000000000001</v>
      </c>
      <c r="J321" s="193">
        <f>IF( 'Organized Input Output'!$AD$5= "y", $K$4*(D321*1000)/$K$3, 0)</f>
        <v>7700</v>
      </c>
      <c r="K321" s="43">
        <f t="shared" si="61"/>
        <v>7.7</v>
      </c>
      <c r="L321" s="43">
        <f t="shared" si="62"/>
        <v>15400000</v>
      </c>
      <c r="M321" s="180">
        <f t="shared" si="57"/>
        <v>15.4</v>
      </c>
      <c r="N321" s="43">
        <f t="shared" si="63"/>
        <v>1200</v>
      </c>
      <c r="O321" s="128">
        <f t="shared" si="58"/>
        <v>4.32</v>
      </c>
      <c r="P321" s="181">
        <f t="shared" si="64"/>
        <v>19.996320000000001</v>
      </c>
      <c r="Q321" s="209">
        <f>IF( 'Organized Input Output'!$AF$9 = "y", P321 / ($Q$3 * $Q$4), 0)</f>
        <v>0</v>
      </c>
      <c r="R321" s="209">
        <f t="shared" si="65"/>
        <v>0</v>
      </c>
      <c r="S321" s="43">
        <f>IF( 'Organized Input Output'!$AF$9 = "y", IF(R321= 0, 1, 0), 0)</f>
        <v>0</v>
      </c>
      <c r="T321" s="209">
        <f t="shared" si="67"/>
        <v>0</v>
      </c>
      <c r="U321" s="43">
        <f>IF( 'Organized Input Output'!$AF$9 = "y", IF(T321= 0, 1, 0), 0)</f>
        <v>0</v>
      </c>
      <c r="V321" s="43">
        <f t="shared" si="59"/>
        <v>0</v>
      </c>
      <c r="W321" s="43">
        <f t="shared" si="66"/>
        <v>0</v>
      </c>
      <c r="X321" s="43">
        <f t="shared" si="68"/>
        <v>0</v>
      </c>
      <c r="Y321" s="43">
        <f t="shared" si="69"/>
        <v>0</v>
      </c>
    </row>
    <row r="322" spans="1:25" ht="15" customHeight="1">
      <c r="A322" s="43">
        <v>312</v>
      </c>
      <c r="B322" s="176">
        <v>5.6</v>
      </c>
      <c r="C322" s="126">
        <f>'Studio Rain System'!J334</f>
        <v>34</v>
      </c>
      <c r="D322" s="104">
        <f>'Studio Rain System'!K334</f>
        <v>37.400000000000006</v>
      </c>
      <c r="E322" s="104">
        <f>'Studio Rain System'!L334</f>
        <v>20</v>
      </c>
      <c r="F322" s="104">
        <f>'Studio Rain System'!M334</f>
        <v>0.745</v>
      </c>
      <c r="G322" s="177">
        <v>125600</v>
      </c>
      <c r="H322" s="178">
        <f t="shared" si="56"/>
        <v>6710628.5714285728</v>
      </c>
      <c r="I322" s="128">
        <f t="shared" si="60"/>
        <v>6.7106285714285727</v>
      </c>
      <c r="J322" s="193">
        <f>IF( 'Organized Input Output'!$AD$5= "y", $K$4*(D322*1000)/$K$3, 0)</f>
        <v>187000.00000000006</v>
      </c>
      <c r="K322" s="43">
        <f t="shared" si="61"/>
        <v>187.00000000000006</v>
      </c>
      <c r="L322" s="43">
        <f t="shared" si="62"/>
        <v>374000000.00000012</v>
      </c>
      <c r="M322" s="180">
        <f t="shared" si="57"/>
        <v>374.00000000000011</v>
      </c>
      <c r="N322" s="43">
        <f t="shared" si="63"/>
        <v>1200</v>
      </c>
      <c r="O322" s="128">
        <f t="shared" si="58"/>
        <v>4.32</v>
      </c>
      <c r="P322" s="181">
        <f t="shared" si="64"/>
        <v>385.03062857142868</v>
      </c>
      <c r="Q322" s="209">
        <f>IF( 'Organized Input Output'!$AF$9 = "y", P322 / ($Q$3 * $Q$4), 0)</f>
        <v>0</v>
      </c>
      <c r="R322" s="209">
        <f t="shared" si="65"/>
        <v>0</v>
      </c>
      <c r="S322" s="43">
        <f>IF( 'Organized Input Output'!$AF$9 = "y", IF(R322= 0, 1, 0), 0)</f>
        <v>0</v>
      </c>
      <c r="T322" s="209">
        <f t="shared" si="67"/>
        <v>0</v>
      </c>
      <c r="U322" s="43">
        <f>IF( 'Organized Input Output'!$AF$9 = "y", IF(T322= 0, 1, 0), 0)</f>
        <v>0</v>
      </c>
      <c r="V322" s="43">
        <f t="shared" si="59"/>
        <v>0</v>
      </c>
      <c r="W322" s="43">
        <f t="shared" si="66"/>
        <v>0</v>
      </c>
      <c r="X322" s="43">
        <f t="shared" si="68"/>
        <v>0</v>
      </c>
      <c r="Y322" s="43">
        <f t="shared" si="69"/>
        <v>0</v>
      </c>
    </row>
    <row r="323" spans="1:25" ht="15" customHeight="1">
      <c r="A323" s="43">
        <v>313</v>
      </c>
      <c r="B323" s="176">
        <v>0</v>
      </c>
      <c r="C323" s="126">
        <f>'Studio Rain System'!J335</f>
        <v>0</v>
      </c>
      <c r="D323" s="104">
        <f>'Studio Rain System'!K335</f>
        <v>0</v>
      </c>
      <c r="E323" s="104">
        <f>'Studio Rain System'!L335</f>
        <v>19.254999999999999</v>
      </c>
      <c r="F323" s="104">
        <f>'Studio Rain System'!M335</f>
        <v>0.745</v>
      </c>
      <c r="G323" s="177">
        <v>125600</v>
      </c>
      <c r="H323" s="178">
        <f t="shared" si="56"/>
        <v>0</v>
      </c>
      <c r="I323" s="128">
        <f t="shared" si="60"/>
        <v>0</v>
      </c>
      <c r="J323" s="193">
        <f>IF( 'Organized Input Output'!$AD$5= "y", $K$4*(D323*1000)/$K$3, 0)</f>
        <v>0</v>
      </c>
      <c r="K323" s="43">
        <f t="shared" si="61"/>
        <v>0</v>
      </c>
      <c r="L323" s="43">
        <f t="shared" si="62"/>
        <v>0</v>
      </c>
      <c r="M323" s="180">
        <f t="shared" si="57"/>
        <v>0</v>
      </c>
      <c r="N323" s="43">
        <f t="shared" si="63"/>
        <v>1200</v>
      </c>
      <c r="O323" s="128">
        <f t="shared" si="58"/>
        <v>4.32</v>
      </c>
      <c r="P323" s="181">
        <f t="shared" si="64"/>
        <v>4.32</v>
      </c>
      <c r="Q323" s="209">
        <f>IF( 'Organized Input Output'!$AF$9 = "y", P323 / ($Q$3 * $Q$4), 0)</f>
        <v>0</v>
      </c>
      <c r="R323" s="209">
        <f t="shared" si="65"/>
        <v>0</v>
      </c>
      <c r="S323" s="43">
        <f>IF( 'Organized Input Output'!$AF$9 = "y", IF(R323= 0, 1, 0), 0)</f>
        <v>0</v>
      </c>
      <c r="T323" s="209">
        <f t="shared" si="67"/>
        <v>0</v>
      </c>
      <c r="U323" s="43">
        <f>IF( 'Organized Input Output'!$AF$9 = "y", IF(T323= 0, 1, 0), 0)</f>
        <v>0</v>
      </c>
      <c r="V323" s="43">
        <f t="shared" si="59"/>
        <v>0</v>
      </c>
      <c r="W323" s="43">
        <f t="shared" si="66"/>
        <v>0</v>
      </c>
      <c r="X323" s="43">
        <f t="shared" si="68"/>
        <v>0</v>
      </c>
      <c r="Y323" s="43">
        <f t="shared" si="69"/>
        <v>0</v>
      </c>
    </row>
    <row r="324" spans="1:25" ht="15" customHeight="1">
      <c r="A324" s="43">
        <v>314</v>
      </c>
      <c r="B324" s="176">
        <v>0</v>
      </c>
      <c r="C324" s="126">
        <f>'Studio Rain System'!J336</f>
        <v>0</v>
      </c>
      <c r="D324" s="104">
        <f>'Studio Rain System'!K336</f>
        <v>0</v>
      </c>
      <c r="E324" s="104">
        <f>'Studio Rain System'!L336</f>
        <v>18.509999999999998</v>
      </c>
      <c r="F324" s="104">
        <f>'Studio Rain System'!M336</f>
        <v>0.745</v>
      </c>
      <c r="G324" s="177">
        <v>125600</v>
      </c>
      <c r="H324" s="178">
        <f t="shared" si="56"/>
        <v>0</v>
      </c>
      <c r="I324" s="128">
        <f t="shared" si="60"/>
        <v>0</v>
      </c>
      <c r="J324" s="193">
        <f>IF( 'Organized Input Output'!$AD$5= "y", $K$4*(D324*1000)/$K$3, 0)</f>
        <v>0</v>
      </c>
      <c r="K324" s="43">
        <f t="shared" si="61"/>
        <v>0</v>
      </c>
      <c r="L324" s="43">
        <f t="shared" si="62"/>
        <v>0</v>
      </c>
      <c r="M324" s="180">
        <f t="shared" si="57"/>
        <v>0</v>
      </c>
      <c r="N324" s="43">
        <f t="shared" si="63"/>
        <v>1200</v>
      </c>
      <c r="O324" s="128">
        <f t="shared" si="58"/>
        <v>4.32</v>
      </c>
      <c r="P324" s="181">
        <f t="shared" si="64"/>
        <v>4.32</v>
      </c>
      <c r="Q324" s="209">
        <f>IF( 'Organized Input Output'!$AF$9 = "y", P324 / ($Q$3 * $Q$4), 0)</f>
        <v>0</v>
      </c>
      <c r="R324" s="209">
        <f t="shared" si="65"/>
        <v>0</v>
      </c>
      <c r="S324" s="43">
        <f>IF( 'Organized Input Output'!$AF$9 = "y", IF(R324= 0, 1, 0), 0)</f>
        <v>0</v>
      </c>
      <c r="T324" s="209">
        <f t="shared" si="67"/>
        <v>0</v>
      </c>
      <c r="U324" s="43">
        <f>IF( 'Organized Input Output'!$AF$9 = "y", IF(T324= 0, 1, 0), 0)</f>
        <v>0</v>
      </c>
      <c r="V324" s="43">
        <f t="shared" si="59"/>
        <v>0</v>
      </c>
      <c r="W324" s="43">
        <f t="shared" si="66"/>
        <v>0</v>
      </c>
      <c r="X324" s="43">
        <f t="shared" si="68"/>
        <v>0</v>
      </c>
      <c r="Y324" s="43">
        <f t="shared" si="69"/>
        <v>0</v>
      </c>
    </row>
    <row r="325" spans="1:25" ht="15" customHeight="1">
      <c r="A325" s="43">
        <v>315</v>
      </c>
      <c r="B325" s="176">
        <v>1.8</v>
      </c>
      <c r="C325" s="126">
        <f>'Studio Rain System'!J337</f>
        <v>0</v>
      </c>
      <c r="D325" s="104">
        <f>'Studio Rain System'!K337</f>
        <v>0</v>
      </c>
      <c r="E325" s="104">
        <f>'Studio Rain System'!L337</f>
        <v>17.764999999999997</v>
      </c>
      <c r="F325" s="104">
        <f>'Studio Rain System'!M337</f>
        <v>0.745</v>
      </c>
      <c r="G325" s="177">
        <v>125600</v>
      </c>
      <c r="H325" s="178">
        <f t="shared" si="56"/>
        <v>0</v>
      </c>
      <c r="I325" s="128">
        <f t="shared" si="60"/>
        <v>0</v>
      </c>
      <c r="J325" s="193">
        <f>IF( 'Organized Input Output'!$AD$5= "y", $K$4*(D325*1000)/$K$3, 0)</f>
        <v>0</v>
      </c>
      <c r="K325" s="43">
        <f t="shared" si="61"/>
        <v>0</v>
      </c>
      <c r="L325" s="43">
        <f t="shared" si="62"/>
        <v>0</v>
      </c>
      <c r="M325" s="180">
        <f t="shared" si="57"/>
        <v>0</v>
      </c>
      <c r="N325" s="43">
        <f t="shared" si="63"/>
        <v>1200</v>
      </c>
      <c r="O325" s="128">
        <f t="shared" si="58"/>
        <v>4.32</v>
      </c>
      <c r="P325" s="181">
        <f t="shared" si="64"/>
        <v>4.32</v>
      </c>
      <c r="Q325" s="209">
        <f>IF( 'Organized Input Output'!$AF$9 = "y", P325 / ($Q$3 * $Q$4), 0)</f>
        <v>0</v>
      </c>
      <c r="R325" s="209">
        <f t="shared" si="65"/>
        <v>0</v>
      </c>
      <c r="S325" s="43">
        <f>IF( 'Organized Input Output'!$AF$9 = "y", IF(R325= 0, 1, 0), 0)</f>
        <v>0</v>
      </c>
      <c r="T325" s="209">
        <f t="shared" si="67"/>
        <v>0</v>
      </c>
      <c r="U325" s="43">
        <f>IF( 'Organized Input Output'!$AF$9 = "y", IF(T325= 0, 1, 0), 0)</f>
        <v>0</v>
      </c>
      <c r="V325" s="43">
        <f t="shared" si="59"/>
        <v>0</v>
      </c>
      <c r="W325" s="43">
        <f t="shared" si="66"/>
        <v>0</v>
      </c>
      <c r="X325" s="43">
        <f t="shared" si="68"/>
        <v>0</v>
      </c>
      <c r="Y325" s="43">
        <f t="shared" si="69"/>
        <v>0</v>
      </c>
    </row>
    <row r="326" spans="1:25" ht="15" customHeight="1">
      <c r="A326" s="43">
        <v>316</v>
      </c>
      <c r="B326" s="176">
        <v>9.6</v>
      </c>
      <c r="C326" s="126">
        <f>'Studio Rain System'!J338</f>
        <v>0</v>
      </c>
      <c r="D326" s="104">
        <f>'Studio Rain System'!K338</f>
        <v>0</v>
      </c>
      <c r="E326" s="104">
        <f>'Studio Rain System'!L338</f>
        <v>17.019999999999996</v>
      </c>
      <c r="F326" s="104">
        <f>'Studio Rain System'!M338</f>
        <v>0.745</v>
      </c>
      <c r="G326" s="177">
        <v>125600</v>
      </c>
      <c r="H326" s="178">
        <f t="shared" si="56"/>
        <v>0</v>
      </c>
      <c r="I326" s="128">
        <f t="shared" si="60"/>
        <v>0</v>
      </c>
      <c r="J326" s="193">
        <f>IF( 'Organized Input Output'!$AD$5= "y", $K$4*(D326*1000)/$K$3, 0)</f>
        <v>0</v>
      </c>
      <c r="K326" s="43">
        <f t="shared" si="61"/>
        <v>0</v>
      </c>
      <c r="L326" s="43">
        <f t="shared" si="62"/>
        <v>0</v>
      </c>
      <c r="M326" s="180">
        <f t="shared" si="57"/>
        <v>0</v>
      </c>
      <c r="N326" s="43">
        <f t="shared" si="63"/>
        <v>1200</v>
      </c>
      <c r="O326" s="128">
        <f t="shared" si="58"/>
        <v>4.32</v>
      </c>
      <c r="P326" s="181">
        <f t="shared" si="64"/>
        <v>4.32</v>
      </c>
      <c r="Q326" s="209">
        <f>IF( 'Organized Input Output'!$AF$9 = "y", P326 / ($Q$3 * $Q$4), 0)</f>
        <v>0</v>
      </c>
      <c r="R326" s="209">
        <f t="shared" si="65"/>
        <v>0</v>
      </c>
      <c r="S326" s="43">
        <f>IF( 'Organized Input Output'!$AF$9 = "y", IF(R326= 0, 1, 0), 0)</f>
        <v>0</v>
      </c>
      <c r="T326" s="209">
        <f t="shared" si="67"/>
        <v>0</v>
      </c>
      <c r="U326" s="43">
        <f>IF( 'Organized Input Output'!$AF$9 = "y", IF(T326= 0, 1, 0), 0)</f>
        <v>0</v>
      </c>
      <c r="V326" s="43">
        <f t="shared" si="59"/>
        <v>0</v>
      </c>
      <c r="W326" s="43">
        <f t="shared" si="66"/>
        <v>0</v>
      </c>
      <c r="X326" s="43">
        <f t="shared" si="68"/>
        <v>0</v>
      </c>
      <c r="Y326" s="43">
        <f t="shared" si="69"/>
        <v>0</v>
      </c>
    </row>
    <row r="327" spans="1:25" ht="15" customHeight="1">
      <c r="A327" s="43">
        <v>317</v>
      </c>
      <c r="B327" s="176">
        <v>8.8000000000000007</v>
      </c>
      <c r="C327" s="126">
        <f>'Studio Rain System'!J339</f>
        <v>0</v>
      </c>
      <c r="D327" s="104">
        <f>'Studio Rain System'!K339</f>
        <v>0</v>
      </c>
      <c r="E327" s="104">
        <f>'Studio Rain System'!L339</f>
        <v>16.274999999999995</v>
      </c>
      <c r="F327" s="104">
        <f>'Studio Rain System'!M339</f>
        <v>0.745</v>
      </c>
      <c r="G327" s="177">
        <v>125600</v>
      </c>
      <c r="H327" s="178">
        <f t="shared" si="56"/>
        <v>0</v>
      </c>
      <c r="I327" s="128">
        <f t="shared" si="60"/>
        <v>0</v>
      </c>
      <c r="J327" s="193">
        <f>IF( 'Organized Input Output'!$AD$5= "y", $K$4*(D327*1000)/$K$3, 0)</f>
        <v>0</v>
      </c>
      <c r="K327" s="43">
        <f t="shared" si="61"/>
        <v>0</v>
      </c>
      <c r="L327" s="43">
        <f t="shared" si="62"/>
        <v>0</v>
      </c>
      <c r="M327" s="180">
        <f t="shared" si="57"/>
        <v>0</v>
      </c>
      <c r="N327" s="43">
        <f t="shared" si="63"/>
        <v>1200</v>
      </c>
      <c r="O327" s="128">
        <f t="shared" si="58"/>
        <v>4.32</v>
      </c>
      <c r="P327" s="181">
        <f t="shared" si="64"/>
        <v>4.32</v>
      </c>
      <c r="Q327" s="209">
        <f>IF( 'Organized Input Output'!$AF$9 = "y", P327 / ($Q$3 * $Q$4), 0)</f>
        <v>0</v>
      </c>
      <c r="R327" s="209">
        <f t="shared" si="65"/>
        <v>0</v>
      </c>
      <c r="S327" s="43">
        <f>IF( 'Organized Input Output'!$AF$9 = "y", IF(R327= 0, 1, 0), 0)</f>
        <v>0</v>
      </c>
      <c r="T327" s="209">
        <f t="shared" si="67"/>
        <v>0</v>
      </c>
      <c r="U327" s="43">
        <f>IF( 'Organized Input Output'!$AF$9 = "y", IF(T327= 0, 1, 0), 0)</f>
        <v>0</v>
      </c>
      <c r="V327" s="43">
        <f t="shared" si="59"/>
        <v>0</v>
      </c>
      <c r="W327" s="43">
        <f t="shared" si="66"/>
        <v>0</v>
      </c>
      <c r="X327" s="43">
        <f t="shared" si="68"/>
        <v>0</v>
      </c>
      <c r="Y327" s="43">
        <f t="shared" si="69"/>
        <v>0</v>
      </c>
    </row>
    <row r="328" spans="1:25" ht="15" customHeight="1">
      <c r="A328" s="43">
        <v>318</v>
      </c>
      <c r="B328" s="176">
        <v>1.4</v>
      </c>
      <c r="C328" s="126">
        <f>'Studio Rain System'!J340</f>
        <v>0</v>
      </c>
      <c r="D328" s="104">
        <f>'Studio Rain System'!K340</f>
        <v>0</v>
      </c>
      <c r="E328" s="104">
        <f>'Studio Rain System'!L340</f>
        <v>15.529999999999996</v>
      </c>
      <c r="F328" s="104">
        <f>'Studio Rain System'!M340</f>
        <v>0.745</v>
      </c>
      <c r="G328" s="177">
        <v>125600</v>
      </c>
      <c r="H328" s="178">
        <f t="shared" si="56"/>
        <v>0</v>
      </c>
      <c r="I328" s="128">
        <f t="shared" si="60"/>
        <v>0</v>
      </c>
      <c r="J328" s="193">
        <f>IF( 'Organized Input Output'!$AD$5= "y", $K$4*(D328*1000)/$K$3, 0)</f>
        <v>0</v>
      </c>
      <c r="K328" s="43">
        <f t="shared" si="61"/>
        <v>0</v>
      </c>
      <c r="L328" s="43">
        <f t="shared" si="62"/>
        <v>0</v>
      </c>
      <c r="M328" s="180">
        <f t="shared" si="57"/>
        <v>0</v>
      </c>
      <c r="N328" s="43">
        <f t="shared" si="63"/>
        <v>1200</v>
      </c>
      <c r="O328" s="128">
        <f t="shared" si="58"/>
        <v>4.32</v>
      </c>
      <c r="P328" s="181">
        <f t="shared" si="64"/>
        <v>4.32</v>
      </c>
      <c r="Q328" s="209">
        <f>IF( 'Organized Input Output'!$AF$9 = "y", P328 / ($Q$3 * $Q$4), 0)</f>
        <v>0</v>
      </c>
      <c r="R328" s="209">
        <f t="shared" si="65"/>
        <v>0</v>
      </c>
      <c r="S328" s="43">
        <f>IF( 'Organized Input Output'!$AF$9 = "y", IF(R328= 0, 1, 0), 0)</f>
        <v>0</v>
      </c>
      <c r="T328" s="209">
        <f t="shared" si="67"/>
        <v>0</v>
      </c>
      <c r="U328" s="43">
        <f>IF( 'Organized Input Output'!$AF$9 = "y", IF(T328= 0, 1, 0), 0)</f>
        <v>0</v>
      </c>
      <c r="V328" s="43">
        <f t="shared" si="59"/>
        <v>0</v>
      </c>
      <c r="W328" s="43">
        <f t="shared" si="66"/>
        <v>0</v>
      </c>
      <c r="X328" s="43">
        <f t="shared" si="68"/>
        <v>0</v>
      </c>
      <c r="Y328" s="43">
        <f t="shared" si="69"/>
        <v>0</v>
      </c>
    </row>
    <row r="329" spans="1:25" ht="15" customHeight="1">
      <c r="A329" s="43">
        <v>319</v>
      </c>
      <c r="B329" s="176">
        <v>11.8</v>
      </c>
      <c r="C329" s="126">
        <f>'Studio Rain System'!J341</f>
        <v>0</v>
      </c>
      <c r="D329" s="104">
        <f>'Studio Rain System'!K341</f>
        <v>0</v>
      </c>
      <c r="E329" s="104">
        <f>'Studio Rain System'!L341</f>
        <v>14.784999999999997</v>
      </c>
      <c r="F329" s="104">
        <f>'Studio Rain System'!M341</f>
        <v>0.745</v>
      </c>
      <c r="G329" s="177">
        <v>125600</v>
      </c>
      <c r="H329" s="178">
        <f t="shared" si="56"/>
        <v>0</v>
      </c>
      <c r="I329" s="128">
        <f t="shared" si="60"/>
        <v>0</v>
      </c>
      <c r="J329" s="193">
        <f>IF( 'Organized Input Output'!$AD$5= "y", $K$4*(D329*1000)/$K$3, 0)</f>
        <v>0</v>
      </c>
      <c r="K329" s="43">
        <f t="shared" si="61"/>
        <v>0</v>
      </c>
      <c r="L329" s="43">
        <f t="shared" si="62"/>
        <v>0</v>
      </c>
      <c r="M329" s="180">
        <f t="shared" si="57"/>
        <v>0</v>
      </c>
      <c r="N329" s="43">
        <f t="shared" si="63"/>
        <v>1200</v>
      </c>
      <c r="O329" s="128">
        <f t="shared" si="58"/>
        <v>4.32</v>
      </c>
      <c r="P329" s="181">
        <f t="shared" si="64"/>
        <v>4.32</v>
      </c>
      <c r="Q329" s="209">
        <f>IF( 'Organized Input Output'!$AF$9 = "y", P329 / ($Q$3 * $Q$4), 0)</f>
        <v>0</v>
      </c>
      <c r="R329" s="209">
        <f t="shared" si="65"/>
        <v>0</v>
      </c>
      <c r="S329" s="43">
        <f>IF( 'Organized Input Output'!$AF$9 = "y", IF(R329= 0, 1, 0), 0)</f>
        <v>0</v>
      </c>
      <c r="T329" s="209">
        <f t="shared" si="67"/>
        <v>0</v>
      </c>
      <c r="U329" s="43">
        <f>IF( 'Organized Input Output'!$AF$9 = "y", IF(T329= 0, 1, 0), 0)</f>
        <v>0</v>
      </c>
      <c r="V329" s="43">
        <f t="shared" si="59"/>
        <v>0</v>
      </c>
      <c r="W329" s="43">
        <f t="shared" si="66"/>
        <v>0</v>
      </c>
      <c r="X329" s="43">
        <f t="shared" si="68"/>
        <v>0</v>
      </c>
      <c r="Y329" s="43">
        <f t="shared" si="69"/>
        <v>0</v>
      </c>
    </row>
    <row r="330" spans="1:25" ht="15" customHeight="1">
      <c r="A330" s="43">
        <v>320</v>
      </c>
      <c r="B330" s="176">
        <v>0</v>
      </c>
      <c r="C330" s="126">
        <f>'Studio Rain System'!J342</f>
        <v>0</v>
      </c>
      <c r="D330" s="104">
        <f>'Studio Rain System'!K342</f>
        <v>0</v>
      </c>
      <c r="E330" s="104">
        <f>'Studio Rain System'!L342</f>
        <v>14.039999999999997</v>
      </c>
      <c r="F330" s="104">
        <f>'Studio Rain System'!M342</f>
        <v>0.745</v>
      </c>
      <c r="G330" s="177">
        <v>125600</v>
      </c>
      <c r="H330" s="178">
        <f t="shared" si="56"/>
        <v>0</v>
      </c>
      <c r="I330" s="128">
        <f t="shared" si="60"/>
        <v>0</v>
      </c>
      <c r="J330" s="193">
        <f>IF( 'Organized Input Output'!$AD$5= "y", $K$4*(D330*1000)/$K$3, 0)</f>
        <v>0</v>
      </c>
      <c r="K330" s="43">
        <f t="shared" si="61"/>
        <v>0</v>
      </c>
      <c r="L330" s="43">
        <f t="shared" si="62"/>
        <v>0</v>
      </c>
      <c r="M330" s="180">
        <f t="shared" si="57"/>
        <v>0</v>
      </c>
      <c r="N330" s="43">
        <f t="shared" si="63"/>
        <v>1200</v>
      </c>
      <c r="O330" s="128">
        <f t="shared" si="58"/>
        <v>4.32</v>
      </c>
      <c r="P330" s="181">
        <f t="shared" si="64"/>
        <v>4.32</v>
      </c>
      <c r="Q330" s="209">
        <f>IF( 'Organized Input Output'!$AF$9 = "y", P330 / ($Q$3 * $Q$4), 0)</f>
        <v>0</v>
      </c>
      <c r="R330" s="209">
        <f t="shared" si="65"/>
        <v>0</v>
      </c>
      <c r="S330" s="43">
        <f>IF( 'Organized Input Output'!$AF$9 = "y", IF(R330= 0, 1, 0), 0)</f>
        <v>0</v>
      </c>
      <c r="T330" s="209">
        <f t="shared" si="67"/>
        <v>0</v>
      </c>
      <c r="U330" s="43">
        <f>IF( 'Organized Input Output'!$AF$9 = "y", IF(T330= 0, 1, 0), 0)</f>
        <v>0</v>
      </c>
      <c r="V330" s="43">
        <f t="shared" si="59"/>
        <v>0</v>
      </c>
      <c r="W330" s="43">
        <f t="shared" si="66"/>
        <v>0</v>
      </c>
      <c r="X330" s="43">
        <f t="shared" si="68"/>
        <v>0</v>
      </c>
      <c r="Y330" s="43">
        <f t="shared" si="69"/>
        <v>0</v>
      </c>
    </row>
    <row r="331" spans="1:25" ht="15" customHeight="1">
      <c r="A331" s="43">
        <v>321</v>
      </c>
      <c r="B331" s="176">
        <v>4.5999999999999996</v>
      </c>
      <c r="C331" s="126">
        <f>'Studio Rain System'!J343</f>
        <v>0</v>
      </c>
      <c r="D331" s="104">
        <f>'Studio Rain System'!K343</f>
        <v>0</v>
      </c>
      <c r="E331" s="104">
        <f>'Studio Rain System'!L343</f>
        <v>13.294999999999998</v>
      </c>
      <c r="F331" s="104">
        <f>'Studio Rain System'!M343</f>
        <v>0.745</v>
      </c>
      <c r="G331" s="177">
        <v>125600</v>
      </c>
      <c r="H331" s="178">
        <f t="shared" ref="H331:H394" si="70">(G331*D331)/$H$3</f>
        <v>0</v>
      </c>
      <c r="I331" s="128">
        <f t="shared" si="60"/>
        <v>0</v>
      </c>
      <c r="J331" s="193">
        <f>IF( 'Organized Input Output'!$AD$5= "y", $K$4*(D331*1000)/$K$3, 0)</f>
        <v>0</v>
      </c>
      <c r="K331" s="43">
        <f t="shared" si="61"/>
        <v>0</v>
      </c>
      <c r="L331" s="43">
        <f t="shared" si="62"/>
        <v>0</v>
      </c>
      <c r="M331" s="180">
        <f t="shared" ref="M331:M375" si="71">IF(A331 &lt; 32, 0, $K$5*K331)</f>
        <v>0</v>
      </c>
      <c r="N331" s="43">
        <f t="shared" si="63"/>
        <v>1200</v>
      </c>
      <c r="O331" s="128">
        <f t="shared" ref="O331:O394" si="72" xml:space="preserve"> IF(A331 &lt; 31, 0, (N331 * 3600 / 1000000))</f>
        <v>4.32</v>
      </c>
      <c r="P331" s="181">
        <f t="shared" si="64"/>
        <v>4.32</v>
      </c>
      <c r="Q331" s="209">
        <f>IF( 'Organized Input Output'!$AF$9 = "y", P331 / ($Q$3 * $Q$4), 0)</f>
        <v>0</v>
      </c>
      <c r="R331" s="209">
        <f t="shared" si="65"/>
        <v>0</v>
      </c>
      <c r="S331" s="43">
        <f>IF( 'Organized Input Output'!$AF$9 = "y", IF(R331= 0, 1, 0), 0)</f>
        <v>0</v>
      </c>
      <c r="T331" s="209">
        <f t="shared" si="67"/>
        <v>0</v>
      </c>
      <c r="U331" s="43">
        <f>IF( 'Organized Input Output'!$AF$9 = "y", IF(T331= 0, 1, 0), 0)</f>
        <v>0</v>
      </c>
      <c r="V331" s="43">
        <f t="shared" ref="V331:V394" si="73">W$4*(D331*1000)*(1/$W$3)</f>
        <v>0</v>
      </c>
      <c r="W331" s="43">
        <f t="shared" si="66"/>
        <v>0</v>
      </c>
      <c r="X331" s="43">
        <f t="shared" si="68"/>
        <v>0</v>
      </c>
      <c r="Y331" s="43">
        <f t="shared" si="69"/>
        <v>0</v>
      </c>
    </row>
    <row r="332" spans="1:25" ht="15" customHeight="1">
      <c r="A332" s="43">
        <v>322</v>
      </c>
      <c r="B332" s="176">
        <v>0</v>
      </c>
      <c r="C332" s="126">
        <f>'Studio Rain System'!J344</f>
        <v>0</v>
      </c>
      <c r="D332" s="104">
        <f>'Studio Rain System'!K344</f>
        <v>0</v>
      </c>
      <c r="E332" s="104">
        <f>'Studio Rain System'!L344</f>
        <v>12.549999999999999</v>
      </c>
      <c r="F332" s="104">
        <f>'Studio Rain System'!M344</f>
        <v>0.745</v>
      </c>
      <c r="G332" s="177">
        <v>125600</v>
      </c>
      <c r="H332" s="178">
        <f t="shared" si="70"/>
        <v>0</v>
      </c>
      <c r="I332" s="128">
        <f t="shared" ref="I332:I375" si="74">H332/10^6</f>
        <v>0</v>
      </c>
      <c r="J332" s="193">
        <f>IF( 'Organized Input Output'!$AD$5= "y", $K$4*(D332*1000)/$K$3, 0)</f>
        <v>0</v>
      </c>
      <c r="K332" s="43">
        <f t="shared" ref="K332:K375" si="75">J332/1000</f>
        <v>0</v>
      </c>
      <c r="L332" s="43">
        <f t="shared" ref="L332:L375" si="76">M332*1000000</f>
        <v>0</v>
      </c>
      <c r="M332" s="180">
        <f t="shared" si="71"/>
        <v>0</v>
      </c>
      <c r="N332" s="43">
        <f t="shared" ref="N332:N375" si="77" xml:space="preserve"> $N$3 * 24</f>
        <v>1200</v>
      </c>
      <c r="O332" s="128">
        <f t="shared" si="72"/>
        <v>4.32</v>
      </c>
      <c r="P332" s="181">
        <f t="shared" ref="P332:P375" si="78">I332 + M332 + O332</f>
        <v>4.32</v>
      </c>
      <c r="Q332" s="209">
        <f>IF( 'Organized Input Output'!$AF$9 = "y", P332 / ($Q$3 * $Q$4), 0)</f>
        <v>0</v>
      </c>
      <c r="R332" s="209">
        <f t="shared" ref="R332:R375" si="79">IF(R331+Q332 &gt; 100, 0, R331+Q332 )</f>
        <v>0</v>
      </c>
      <c r="S332" s="43">
        <f>IF( 'Organized Input Output'!$AF$9 = "y", IF(R332= 0, 1, 0), 0)</f>
        <v>0</v>
      </c>
      <c r="T332" s="209">
        <f t="shared" si="67"/>
        <v>0</v>
      </c>
      <c r="U332" s="43">
        <f>IF( 'Organized Input Output'!$AF$9 = "y", IF(T332= 0, 1, 0), 0)</f>
        <v>0</v>
      </c>
      <c r="V332" s="43">
        <f t="shared" si="73"/>
        <v>0</v>
      </c>
      <c r="W332" s="43">
        <f t="shared" ref="W332:W375" si="80">V332/1000000</f>
        <v>0</v>
      </c>
      <c r="X332" s="43">
        <f t="shared" si="68"/>
        <v>0</v>
      </c>
      <c r="Y332" s="43">
        <f t="shared" si="69"/>
        <v>0</v>
      </c>
    </row>
    <row r="333" spans="1:25" ht="15" customHeight="1">
      <c r="A333" s="43">
        <v>323</v>
      </c>
      <c r="B333" s="176">
        <v>0</v>
      </c>
      <c r="C333" s="126">
        <f>'Studio Rain System'!J345</f>
        <v>3.4</v>
      </c>
      <c r="D333" s="104">
        <f>'Studio Rain System'!K345</f>
        <v>3.7399999999999998</v>
      </c>
      <c r="E333" s="104">
        <f>'Studio Rain System'!L345</f>
        <v>15.545</v>
      </c>
      <c r="F333" s="104">
        <f>'Studio Rain System'!M345</f>
        <v>0.745</v>
      </c>
      <c r="G333" s="177">
        <v>125600</v>
      </c>
      <c r="H333" s="178">
        <f t="shared" si="70"/>
        <v>671062.85714285716</v>
      </c>
      <c r="I333" s="128">
        <f t="shared" si="74"/>
        <v>0.67106285714285718</v>
      </c>
      <c r="J333" s="193">
        <f>IF( 'Organized Input Output'!$AD$5= "y", $K$4*(D333*1000)/$K$3, 0)</f>
        <v>18699.999999999996</v>
      </c>
      <c r="K333" s="43">
        <f t="shared" si="75"/>
        <v>18.699999999999996</v>
      </c>
      <c r="L333" s="43">
        <f t="shared" si="76"/>
        <v>37399999.999999993</v>
      </c>
      <c r="M333" s="180">
        <f t="shared" si="71"/>
        <v>37.399999999999991</v>
      </c>
      <c r="N333" s="43">
        <f t="shared" si="77"/>
        <v>1200</v>
      </c>
      <c r="O333" s="128">
        <f t="shared" si="72"/>
        <v>4.32</v>
      </c>
      <c r="P333" s="181">
        <f t="shared" si="78"/>
        <v>42.391062857142849</v>
      </c>
      <c r="Q333" s="209">
        <f>IF( 'Organized Input Output'!$AF$9 = "y", P333 / ($Q$3 * $Q$4), 0)</f>
        <v>0</v>
      </c>
      <c r="R333" s="209">
        <f t="shared" si="79"/>
        <v>0</v>
      </c>
      <c r="S333" s="43">
        <f>IF( 'Organized Input Output'!$AF$9 = "y", IF(R333= 0, 1, 0), 0)</f>
        <v>0</v>
      </c>
      <c r="T333" s="209">
        <f t="shared" ref="T333:T375" si="81">IF(T332+Q333 &gt; 250, 0, T332+Q333 )</f>
        <v>0</v>
      </c>
      <c r="U333" s="43">
        <f>IF( 'Organized Input Output'!$AF$9 = "y", IF(T333= 0, 1, 0), 0)</f>
        <v>0</v>
      </c>
      <c r="V333" s="43">
        <f t="shared" si="73"/>
        <v>0</v>
      </c>
      <c r="W333" s="43">
        <f t="shared" si="80"/>
        <v>0</v>
      </c>
      <c r="X333" s="43">
        <f t="shared" ref="X333:X375" si="82">IF(X332+W333 &gt;= 4.4, 0, X332+W333 )</f>
        <v>0</v>
      </c>
      <c r="Y333" s="43">
        <f t="shared" ref="Y333:Y375" si="83">IF( V333 +X333+ W333 = 0, 0, IF(X333= 0, 1, 0))</f>
        <v>0</v>
      </c>
    </row>
    <row r="334" spans="1:25" ht="15" customHeight="1">
      <c r="A334" s="43">
        <v>324</v>
      </c>
      <c r="B334" s="176">
        <v>0</v>
      </c>
      <c r="C334" s="126">
        <f>'Studio Rain System'!J346</f>
        <v>29.4</v>
      </c>
      <c r="D334" s="104">
        <f>'Studio Rain System'!K346</f>
        <v>32.339999999999996</v>
      </c>
      <c r="E334" s="104">
        <f>'Studio Rain System'!L346</f>
        <v>20</v>
      </c>
      <c r="F334" s="104">
        <f>'Studio Rain System'!M346</f>
        <v>0.745</v>
      </c>
      <c r="G334" s="177">
        <v>125600</v>
      </c>
      <c r="H334" s="178">
        <f t="shared" si="70"/>
        <v>5802720</v>
      </c>
      <c r="I334" s="128">
        <f t="shared" si="74"/>
        <v>5.8027199999999999</v>
      </c>
      <c r="J334" s="193">
        <f>IF( 'Organized Input Output'!$AD$5= "y", $K$4*(D334*1000)/$K$3, 0)</f>
        <v>161699.99999999997</v>
      </c>
      <c r="K334" s="43">
        <f t="shared" si="75"/>
        <v>161.69999999999996</v>
      </c>
      <c r="L334" s="43">
        <f t="shared" si="76"/>
        <v>323399999.99999994</v>
      </c>
      <c r="M334" s="180">
        <f t="shared" si="71"/>
        <v>323.39999999999992</v>
      </c>
      <c r="N334" s="43">
        <f t="shared" si="77"/>
        <v>1200</v>
      </c>
      <c r="O334" s="128">
        <f t="shared" si="72"/>
        <v>4.32</v>
      </c>
      <c r="P334" s="181">
        <f t="shared" si="78"/>
        <v>333.52271999999994</v>
      </c>
      <c r="Q334" s="209">
        <f>IF( 'Organized Input Output'!$AF$9 = "y", P334 / ($Q$3 * $Q$4), 0)</f>
        <v>0</v>
      </c>
      <c r="R334" s="209">
        <f t="shared" si="79"/>
        <v>0</v>
      </c>
      <c r="S334" s="43">
        <f>IF( 'Organized Input Output'!$AF$9 = "y", IF(R334= 0, 1, 0), 0)</f>
        <v>0</v>
      </c>
      <c r="T334" s="209">
        <f t="shared" si="81"/>
        <v>0</v>
      </c>
      <c r="U334" s="43">
        <f>IF( 'Organized Input Output'!$AF$9 = "y", IF(T334= 0, 1, 0), 0)</f>
        <v>0</v>
      </c>
      <c r="V334" s="43">
        <f t="shared" si="73"/>
        <v>0</v>
      </c>
      <c r="W334" s="43">
        <f t="shared" si="80"/>
        <v>0</v>
      </c>
      <c r="X334" s="43">
        <f t="shared" si="82"/>
        <v>0</v>
      </c>
      <c r="Y334" s="43">
        <f t="shared" si="83"/>
        <v>0</v>
      </c>
    </row>
    <row r="335" spans="1:25" ht="15" customHeight="1">
      <c r="A335" s="43">
        <v>325</v>
      </c>
      <c r="B335" s="176">
        <v>0.6</v>
      </c>
      <c r="C335" s="126">
        <f>'Studio Rain System'!J347</f>
        <v>32.799999999999997</v>
      </c>
      <c r="D335" s="104">
        <f>'Studio Rain System'!K347</f>
        <v>36.08</v>
      </c>
      <c r="E335" s="104">
        <f>'Studio Rain System'!L347</f>
        <v>20</v>
      </c>
      <c r="F335" s="104">
        <f>'Studio Rain System'!M347</f>
        <v>0.745</v>
      </c>
      <c r="G335" s="177">
        <v>125600</v>
      </c>
      <c r="H335" s="178">
        <f t="shared" si="70"/>
        <v>6473782.8571428573</v>
      </c>
      <c r="I335" s="128">
        <f t="shared" si="74"/>
        <v>6.4737828571428571</v>
      </c>
      <c r="J335" s="193">
        <f>IF( 'Organized Input Output'!$AD$5= "y", $K$4*(D335*1000)/$K$3, 0)</f>
        <v>180400</v>
      </c>
      <c r="K335" s="43">
        <f t="shared" si="75"/>
        <v>180.4</v>
      </c>
      <c r="L335" s="43">
        <f t="shared" si="76"/>
        <v>360800000</v>
      </c>
      <c r="M335" s="180">
        <f t="shared" si="71"/>
        <v>360.8</v>
      </c>
      <c r="N335" s="43">
        <f t="shared" si="77"/>
        <v>1200</v>
      </c>
      <c r="O335" s="128">
        <f t="shared" si="72"/>
        <v>4.32</v>
      </c>
      <c r="P335" s="181">
        <f t="shared" si="78"/>
        <v>371.59378285714286</v>
      </c>
      <c r="Q335" s="209">
        <f>IF( 'Organized Input Output'!$AF$9 = "y", P335 / ($Q$3 * $Q$4), 0)</f>
        <v>0</v>
      </c>
      <c r="R335" s="209">
        <f t="shared" si="79"/>
        <v>0</v>
      </c>
      <c r="S335" s="43">
        <f>IF( 'Organized Input Output'!$AF$9 = "y", IF(R335= 0, 1, 0), 0)</f>
        <v>0</v>
      </c>
      <c r="T335" s="209">
        <f t="shared" si="81"/>
        <v>0</v>
      </c>
      <c r="U335" s="43">
        <f>IF( 'Organized Input Output'!$AF$9 = "y", IF(T335= 0, 1, 0), 0)</f>
        <v>0</v>
      </c>
      <c r="V335" s="43">
        <f t="shared" si="73"/>
        <v>0</v>
      </c>
      <c r="W335" s="43">
        <f t="shared" si="80"/>
        <v>0</v>
      </c>
      <c r="X335" s="43">
        <f t="shared" si="82"/>
        <v>0</v>
      </c>
      <c r="Y335" s="43">
        <f t="shared" si="83"/>
        <v>0</v>
      </c>
    </row>
    <row r="336" spans="1:25" ht="15" customHeight="1">
      <c r="A336" s="43">
        <v>326</v>
      </c>
      <c r="B336" s="176">
        <v>0</v>
      </c>
      <c r="C336" s="126">
        <f>'Studio Rain System'!J348</f>
        <v>25.6</v>
      </c>
      <c r="D336" s="104">
        <f>'Studio Rain System'!K348</f>
        <v>28.16</v>
      </c>
      <c r="E336" s="104">
        <f>'Studio Rain System'!L348</f>
        <v>20</v>
      </c>
      <c r="F336" s="104">
        <f>'Studio Rain System'!M348</f>
        <v>0.745</v>
      </c>
      <c r="G336" s="177">
        <v>125600</v>
      </c>
      <c r="H336" s="178">
        <f t="shared" si="70"/>
        <v>5052708.5714285718</v>
      </c>
      <c r="I336" s="128">
        <f t="shared" si="74"/>
        <v>5.052708571428572</v>
      </c>
      <c r="J336" s="193">
        <f>IF( 'Organized Input Output'!$AD$5= "y", $K$4*(D336*1000)/$K$3, 0)</f>
        <v>140800</v>
      </c>
      <c r="K336" s="43">
        <f t="shared" si="75"/>
        <v>140.80000000000001</v>
      </c>
      <c r="L336" s="43">
        <f t="shared" si="76"/>
        <v>281600000</v>
      </c>
      <c r="M336" s="180">
        <f t="shared" si="71"/>
        <v>281.60000000000002</v>
      </c>
      <c r="N336" s="43">
        <f t="shared" si="77"/>
        <v>1200</v>
      </c>
      <c r="O336" s="128">
        <f t="shared" si="72"/>
        <v>4.32</v>
      </c>
      <c r="P336" s="181">
        <f t="shared" si="78"/>
        <v>290.9727085714286</v>
      </c>
      <c r="Q336" s="209">
        <f>IF( 'Organized Input Output'!$AF$9 = "y", P336 / ($Q$3 * $Q$4), 0)</f>
        <v>0</v>
      </c>
      <c r="R336" s="209">
        <f t="shared" si="79"/>
        <v>0</v>
      </c>
      <c r="S336" s="43">
        <f>IF( 'Organized Input Output'!$AF$9 = "y", IF(R336= 0, 1, 0), 0)</f>
        <v>0</v>
      </c>
      <c r="T336" s="209">
        <f t="shared" si="81"/>
        <v>0</v>
      </c>
      <c r="U336" s="43">
        <f>IF( 'Organized Input Output'!$AF$9 = "y", IF(T336= 0, 1, 0), 0)</f>
        <v>0</v>
      </c>
      <c r="V336" s="43">
        <f t="shared" si="73"/>
        <v>0</v>
      </c>
      <c r="W336" s="43">
        <f t="shared" si="80"/>
        <v>0</v>
      </c>
      <c r="X336" s="43">
        <f t="shared" si="82"/>
        <v>0</v>
      </c>
      <c r="Y336" s="43">
        <f t="shared" si="83"/>
        <v>0</v>
      </c>
    </row>
    <row r="337" spans="1:25" ht="15" customHeight="1">
      <c r="A337" s="43">
        <v>327</v>
      </c>
      <c r="B337" s="176">
        <v>5</v>
      </c>
      <c r="C337" s="126">
        <f>'Studio Rain System'!J349</f>
        <v>15.2</v>
      </c>
      <c r="D337" s="104">
        <f>'Studio Rain System'!K349</f>
        <v>16.72</v>
      </c>
      <c r="E337" s="104">
        <f>'Studio Rain System'!L349</f>
        <v>20</v>
      </c>
      <c r="F337" s="104">
        <f>'Studio Rain System'!M349</f>
        <v>0.745</v>
      </c>
      <c r="G337" s="177">
        <v>125600</v>
      </c>
      <c r="H337" s="178">
        <f t="shared" si="70"/>
        <v>3000045.7142857146</v>
      </c>
      <c r="I337" s="128">
        <f t="shared" si="74"/>
        <v>3.0000457142857146</v>
      </c>
      <c r="J337" s="193">
        <f>IF( 'Organized Input Output'!$AD$5= "y", $K$4*(D337*1000)/$K$3, 0)</f>
        <v>83600</v>
      </c>
      <c r="K337" s="43">
        <f t="shared" si="75"/>
        <v>83.6</v>
      </c>
      <c r="L337" s="43">
        <f t="shared" si="76"/>
        <v>167200000</v>
      </c>
      <c r="M337" s="180">
        <f t="shared" si="71"/>
        <v>167.2</v>
      </c>
      <c r="N337" s="43">
        <f t="shared" si="77"/>
        <v>1200</v>
      </c>
      <c r="O337" s="128">
        <f t="shared" si="72"/>
        <v>4.32</v>
      </c>
      <c r="P337" s="181">
        <f t="shared" si="78"/>
        <v>174.52004571428569</v>
      </c>
      <c r="Q337" s="209">
        <f>IF( 'Organized Input Output'!$AF$9 = "y", P337 / ($Q$3 * $Q$4), 0)</f>
        <v>0</v>
      </c>
      <c r="R337" s="209">
        <f t="shared" si="79"/>
        <v>0</v>
      </c>
      <c r="S337" s="43">
        <f>IF( 'Organized Input Output'!$AF$9 = "y", IF(R337= 0, 1, 0), 0)</f>
        <v>0</v>
      </c>
      <c r="T337" s="209">
        <f t="shared" si="81"/>
        <v>0</v>
      </c>
      <c r="U337" s="43">
        <f>IF( 'Organized Input Output'!$AF$9 = "y", IF(T337= 0, 1, 0), 0)</f>
        <v>0</v>
      </c>
      <c r="V337" s="43">
        <f t="shared" si="73"/>
        <v>0</v>
      </c>
      <c r="W337" s="43">
        <f t="shared" si="80"/>
        <v>0</v>
      </c>
      <c r="X337" s="43">
        <f t="shared" si="82"/>
        <v>0</v>
      </c>
      <c r="Y337" s="43">
        <f t="shared" si="83"/>
        <v>0</v>
      </c>
    </row>
    <row r="338" spans="1:25" ht="15" customHeight="1">
      <c r="A338" s="43">
        <v>328</v>
      </c>
      <c r="B338" s="176">
        <v>4.4000000000000004</v>
      </c>
      <c r="C338" s="126">
        <f>'Studio Rain System'!J350</f>
        <v>60.6</v>
      </c>
      <c r="D338" s="104">
        <f>'Studio Rain System'!K350</f>
        <v>66.66</v>
      </c>
      <c r="E338" s="104">
        <f>'Studio Rain System'!L350</f>
        <v>20</v>
      </c>
      <c r="F338" s="104">
        <f>'Studio Rain System'!M350</f>
        <v>0.745</v>
      </c>
      <c r="G338" s="177">
        <v>125600</v>
      </c>
      <c r="H338" s="178">
        <f t="shared" si="70"/>
        <v>11960708.571428573</v>
      </c>
      <c r="I338" s="128">
        <f t="shared" si="74"/>
        <v>11.960708571428572</v>
      </c>
      <c r="J338" s="193">
        <f>IF( 'Organized Input Output'!$AD$5= "y", $K$4*(D338*1000)/$K$3, 0)</f>
        <v>333300</v>
      </c>
      <c r="K338" s="43">
        <f t="shared" si="75"/>
        <v>333.3</v>
      </c>
      <c r="L338" s="43">
        <f t="shared" si="76"/>
        <v>666600000</v>
      </c>
      <c r="M338" s="180">
        <f t="shared" si="71"/>
        <v>666.6</v>
      </c>
      <c r="N338" s="43">
        <f t="shared" si="77"/>
        <v>1200</v>
      </c>
      <c r="O338" s="128">
        <f t="shared" si="72"/>
        <v>4.32</v>
      </c>
      <c r="P338" s="181">
        <f t="shared" si="78"/>
        <v>682.88070857142861</v>
      </c>
      <c r="Q338" s="209">
        <f>IF( 'Organized Input Output'!$AF$9 = "y", P338 / ($Q$3 * $Q$4), 0)</f>
        <v>0</v>
      </c>
      <c r="R338" s="209">
        <f t="shared" si="79"/>
        <v>0</v>
      </c>
      <c r="S338" s="43">
        <f>IF( 'Organized Input Output'!$AF$9 = "y", IF(R338= 0, 1, 0), 0)</f>
        <v>0</v>
      </c>
      <c r="T338" s="209">
        <f t="shared" si="81"/>
        <v>0</v>
      </c>
      <c r="U338" s="43">
        <f>IF( 'Organized Input Output'!$AF$9 = "y", IF(T338= 0, 1, 0), 0)</f>
        <v>0</v>
      </c>
      <c r="V338" s="43">
        <f t="shared" si="73"/>
        <v>0</v>
      </c>
      <c r="W338" s="43">
        <f t="shared" si="80"/>
        <v>0</v>
      </c>
      <c r="X338" s="43">
        <f t="shared" si="82"/>
        <v>0</v>
      </c>
      <c r="Y338" s="43">
        <f t="shared" si="83"/>
        <v>0</v>
      </c>
    </row>
    <row r="339" spans="1:25" ht="15" customHeight="1">
      <c r="A339" s="43">
        <v>329</v>
      </c>
      <c r="B339" s="176">
        <v>0</v>
      </c>
      <c r="C339" s="126">
        <f>'Studio Rain System'!J351</f>
        <v>15</v>
      </c>
      <c r="D339" s="104">
        <f>'Studio Rain System'!K351</f>
        <v>16.5</v>
      </c>
      <c r="E339" s="104">
        <f>'Studio Rain System'!L351</f>
        <v>20</v>
      </c>
      <c r="F339" s="104">
        <f>'Studio Rain System'!M351</f>
        <v>0.745</v>
      </c>
      <c r="G339" s="177">
        <v>125600</v>
      </c>
      <c r="H339" s="178">
        <f t="shared" si="70"/>
        <v>2960571.4285714286</v>
      </c>
      <c r="I339" s="128">
        <f t="shared" si="74"/>
        <v>2.9605714285714289</v>
      </c>
      <c r="J339" s="193">
        <f>IF( 'Organized Input Output'!$AD$5= "y", $K$4*(D339*1000)/$K$3, 0)</f>
        <v>82500</v>
      </c>
      <c r="K339" s="43">
        <f t="shared" si="75"/>
        <v>82.5</v>
      </c>
      <c r="L339" s="43">
        <f t="shared" si="76"/>
        <v>165000000</v>
      </c>
      <c r="M339" s="180">
        <f t="shared" si="71"/>
        <v>165</v>
      </c>
      <c r="N339" s="43">
        <f t="shared" si="77"/>
        <v>1200</v>
      </c>
      <c r="O339" s="128">
        <f t="shared" si="72"/>
        <v>4.32</v>
      </c>
      <c r="P339" s="181">
        <f t="shared" si="78"/>
        <v>172.28057142857142</v>
      </c>
      <c r="Q339" s="209">
        <f>IF( 'Organized Input Output'!$AF$9 = "y", P339 / ($Q$3 * $Q$4), 0)</f>
        <v>0</v>
      </c>
      <c r="R339" s="209">
        <f t="shared" si="79"/>
        <v>0</v>
      </c>
      <c r="S339" s="43">
        <f>IF( 'Organized Input Output'!$AF$9 = "y", IF(R339= 0, 1, 0), 0)</f>
        <v>0</v>
      </c>
      <c r="T339" s="209">
        <f>IF(T338+Q339 &gt; 250, 0, T338+Q339 )</f>
        <v>0</v>
      </c>
      <c r="U339" s="43">
        <f>IF( 'Organized Input Output'!$AF$9 = "y", IF(T339= 0, 1, 0), 0)</f>
        <v>0</v>
      </c>
      <c r="V339" s="43">
        <f t="shared" si="73"/>
        <v>0</v>
      </c>
      <c r="W339" s="43">
        <f t="shared" si="80"/>
        <v>0</v>
      </c>
      <c r="X339" s="43">
        <f t="shared" si="82"/>
        <v>0</v>
      </c>
      <c r="Y339" s="43">
        <f t="shared" si="83"/>
        <v>0</v>
      </c>
    </row>
    <row r="340" spans="1:25" ht="15" customHeight="1">
      <c r="A340" s="43">
        <v>330</v>
      </c>
      <c r="B340" s="176">
        <v>0.2</v>
      </c>
      <c r="C340" s="126">
        <f>'Studio Rain System'!J352</f>
        <v>43</v>
      </c>
      <c r="D340" s="104">
        <f>'Studio Rain System'!K352</f>
        <v>47.3</v>
      </c>
      <c r="E340" s="104">
        <f>'Studio Rain System'!L352</f>
        <v>20</v>
      </c>
      <c r="F340" s="104">
        <f>'Studio Rain System'!M352</f>
        <v>0.745</v>
      </c>
      <c r="G340" s="177">
        <v>125600</v>
      </c>
      <c r="H340" s="178">
        <f t="shared" si="70"/>
        <v>8486971.4285714291</v>
      </c>
      <c r="I340" s="128">
        <f t="shared" si="74"/>
        <v>8.4869714285714295</v>
      </c>
      <c r="J340" s="193">
        <f>IF( 'Organized Input Output'!$AD$5= "y", $K$4*(D340*1000)/$K$3, 0)</f>
        <v>236500</v>
      </c>
      <c r="K340" s="43">
        <f t="shared" si="75"/>
        <v>236.5</v>
      </c>
      <c r="L340" s="43">
        <f t="shared" si="76"/>
        <v>473000000</v>
      </c>
      <c r="M340" s="180">
        <f t="shared" si="71"/>
        <v>473</v>
      </c>
      <c r="N340" s="43">
        <f t="shared" si="77"/>
        <v>1200</v>
      </c>
      <c r="O340" s="128">
        <f t="shared" si="72"/>
        <v>4.32</v>
      </c>
      <c r="P340" s="181">
        <f t="shared" si="78"/>
        <v>485.80697142857144</v>
      </c>
      <c r="Q340" s="209">
        <f>IF( 'Organized Input Output'!$AF$9 = "y", P340 / ($Q$3 * $Q$4), 0)</f>
        <v>0</v>
      </c>
      <c r="R340" s="209">
        <f t="shared" si="79"/>
        <v>0</v>
      </c>
      <c r="S340" s="43">
        <f>IF( 'Organized Input Output'!$AF$9 = "y", IF(R340= 0, 1, 0), 0)</f>
        <v>0</v>
      </c>
      <c r="T340" s="209">
        <f t="shared" si="81"/>
        <v>0</v>
      </c>
      <c r="U340" s="43">
        <f>IF( 'Organized Input Output'!$AF$9 = "y", IF(T340= 0, 1, 0), 0)</f>
        <v>0</v>
      </c>
      <c r="V340" s="43">
        <f t="shared" si="73"/>
        <v>0</v>
      </c>
      <c r="W340" s="43">
        <f t="shared" si="80"/>
        <v>0</v>
      </c>
      <c r="X340" s="43">
        <f t="shared" si="82"/>
        <v>0</v>
      </c>
      <c r="Y340" s="43">
        <f t="shared" si="83"/>
        <v>0</v>
      </c>
    </row>
    <row r="341" spans="1:25" ht="15" customHeight="1">
      <c r="A341" s="43">
        <v>331</v>
      </c>
      <c r="B341" s="176">
        <v>3.6</v>
      </c>
      <c r="C341" s="126">
        <f>'Studio Rain System'!J353</f>
        <v>15</v>
      </c>
      <c r="D341" s="104">
        <f>'Studio Rain System'!K353</f>
        <v>16.5</v>
      </c>
      <c r="E341" s="104">
        <f>'Studio Rain System'!L353</f>
        <v>20</v>
      </c>
      <c r="F341" s="104">
        <f>'Studio Rain System'!M353</f>
        <v>0.745</v>
      </c>
      <c r="G341" s="177">
        <v>125600</v>
      </c>
      <c r="H341" s="178">
        <f t="shared" si="70"/>
        <v>2960571.4285714286</v>
      </c>
      <c r="I341" s="128">
        <f t="shared" si="74"/>
        <v>2.9605714285714289</v>
      </c>
      <c r="J341" s="193">
        <f>IF( 'Organized Input Output'!$AD$5= "y", $K$4*(D341*1000)/$K$3, 0)</f>
        <v>82500</v>
      </c>
      <c r="K341" s="43">
        <f t="shared" si="75"/>
        <v>82.5</v>
      </c>
      <c r="L341" s="43">
        <f t="shared" si="76"/>
        <v>165000000</v>
      </c>
      <c r="M341" s="180">
        <f t="shared" si="71"/>
        <v>165</v>
      </c>
      <c r="N341" s="43">
        <f t="shared" si="77"/>
        <v>1200</v>
      </c>
      <c r="O341" s="128">
        <f t="shared" si="72"/>
        <v>4.32</v>
      </c>
      <c r="P341" s="181">
        <f t="shared" si="78"/>
        <v>172.28057142857142</v>
      </c>
      <c r="Q341" s="209">
        <f>IF( 'Organized Input Output'!$AF$9 = "y", P341 / ($Q$3 * $Q$4), 0)</f>
        <v>0</v>
      </c>
      <c r="R341" s="209">
        <f t="shared" si="79"/>
        <v>0</v>
      </c>
      <c r="S341" s="43">
        <f>IF( 'Organized Input Output'!$AF$9 = "y", IF(R341= 0, 1, 0), 0)</f>
        <v>0</v>
      </c>
      <c r="T341" s="209">
        <f t="shared" si="81"/>
        <v>0</v>
      </c>
      <c r="U341" s="43">
        <f>IF( 'Organized Input Output'!$AF$9 = "y", IF(T341= 0, 1, 0), 0)</f>
        <v>0</v>
      </c>
      <c r="V341" s="43">
        <f t="shared" si="73"/>
        <v>0</v>
      </c>
      <c r="W341" s="43">
        <f t="shared" si="80"/>
        <v>0</v>
      </c>
      <c r="X341" s="43">
        <f t="shared" si="82"/>
        <v>0</v>
      </c>
      <c r="Y341" s="43">
        <f t="shared" si="83"/>
        <v>0</v>
      </c>
    </row>
    <row r="342" spans="1:25" ht="15" customHeight="1">
      <c r="A342" s="43">
        <v>332</v>
      </c>
      <c r="B342" s="176">
        <v>2.4</v>
      </c>
      <c r="C342" s="126">
        <f>'Studio Rain System'!J354</f>
        <v>0</v>
      </c>
      <c r="D342" s="104">
        <f>'Studio Rain System'!K354</f>
        <v>0</v>
      </c>
      <c r="E342" s="104">
        <f>'Studio Rain System'!L354</f>
        <v>19.254999999999999</v>
      </c>
      <c r="F342" s="104">
        <f>'Studio Rain System'!M354</f>
        <v>0.745</v>
      </c>
      <c r="G342" s="177">
        <v>125600</v>
      </c>
      <c r="H342" s="178">
        <f t="shared" si="70"/>
        <v>0</v>
      </c>
      <c r="I342" s="128">
        <f t="shared" si="74"/>
        <v>0</v>
      </c>
      <c r="J342" s="193">
        <f>IF( 'Organized Input Output'!$AD$5= "y", $K$4*(D342*1000)/$K$3, 0)</f>
        <v>0</v>
      </c>
      <c r="K342" s="43">
        <f t="shared" si="75"/>
        <v>0</v>
      </c>
      <c r="L342" s="43">
        <f t="shared" si="76"/>
        <v>0</v>
      </c>
      <c r="M342" s="180">
        <f t="shared" si="71"/>
        <v>0</v>
      </c>
      <c r="N342" s="43">
        <f t="shared" si="77"/>
        <v>1200</v>
      </c>
      <c r="O342" s="128">
        <f t="shared" si="72"/>
        <v>4.32</v>
      </c>
      <c r="P342" s="181">
        <f t="shared" si="78"/>
        <v>4.32</v>
      </c>
      <c r="Q342" s="209">
        <f>IF( 'Organized Input Output'!$AF$9 = "y", P342 / ($Q$3 * $Q$4), 0)</f>
        <v>0</v>
      </c>
      <c r="R342" s="209">
        <f t="shared" si="79"/>
        <v>0</v>
      </c>
      <c r="S342" s="43">
        <f>IF( 'Organized Input Output'!$AF$9 = "y", IF(R342= 0, 1, 0), 0)</f>
        <v>0</v>
      </c>
      <c r="T342" s="209">
        <f t="shared" si="81"/>
        <v>0</v>
      </c>
      <c r="U342" s="43">
        <f>IF( 'Organized Input Output'!$AF$9 = "y", IF(T342= 0, 1, 0), 0)</f>
        <v>0</v>
      </c>
      <c r="V342" s="43">
        <f t="shared" si="73"/>
        <v>0</v>
      </c>
      <c r="W342" s="43">
        <f t="shared" si="80"/>
        <v>0</v>
      </c>
      <c r="X342" s="43">
        <f t="shared" si="82"/>
        <v>0</v>
      </c>
      <c r="Y342" s="43">
        <f t="shared" si="83"/>
        <v>0</v>
      </c>
    </row>
    <row r="343" spans="1:25" ht="15" customHeight="1">
      <c r="A343" s="43">
        <v>333</v>
      </c>
      <c r="B343" s="176">
        <v>10.199999999999999</v>
      </c>
      <c r="C343" s="126">
        <f>'Studio Rain System'!J355</f>
        <v>0</v>
      </c>
      <c r="D343" s="104">
        <f>'Studio Rain System'!K355</f>
        <v>0</v>
      </c>
      <c r="E343" s="104">
        <f>'Studio Rain System'!L355</f>
        <v>18.509999999999998</v>
      </c>
      <c r="F343" s="104">
        <f>'Studio Rain System'!M355</f>
        <v>0.745</v>
      </c>
      <c r="G343" s="177">
        <v>125600</v>
      </c>
      <c r="H343" s="178">
        <f t="shared" si="70"/>
        <v>0</v>
      </c>
      <c r="I343" s="128">
        <f t="shared" si="74"/>
        <v>0</v>
      </c>
      <c r="J343" s="193">
        <f>IF( 'Organized Input Output'!$AD$5= "y", $K$4*(D343*1000)/$K$3, 0)</f>
        <v>0</v>
      </c>
      <c r="K343" s="43">
        <f t="shared" si="75"/>
        <v>0</v>
      </c>
      <c r="L343" s="43">
        <f t="shared" si="76"/>
        <v>0</v>
      </c>
      <c r="M343" s="180">
        <f t="shared" si="71"/>
        <v>0</v>
      </c>
      <c r="N343" s="43">
        <f t="shared" si="77"/>
        <v>1200</v>
      </c>
      <c r="O343" s="128">
        <f t="shared" si="72"/>
        <v>4.32</v>
      </c>
      <c r="P343" s="181">
        <f t="shared" si="78"/>
        <v>4.32</v>
      </c>
      <c r="Q343" s="209">
        <f>IF( 'Organized Input Output'!$AF$9 = "y", P343 / ($Q$3 * $Q$4), 0)</f>
        <v>0</v>
      </c>
      <c r="R343" s="209">
        <f t="shared" si="79"/>
        <v>0</v>
      </c>
      <c r="S343" s="43">
        <f>IF( 'Organized Input Output'!$AF$9 = "y", IF(R343= 0, 1, 0), 0)</f>
        <v>0</v>
      </c>
      <c r="T343" s="209">
        <f t="shared" si="81"/>
        <v>0</v>
      </c>
      <c r="U343" s="43">
        <f>IF( 'Organized Input Output'!$AF$9 = "y", IF(T343= 0, 1, 0), 0)</f>
        <v>0</v>
      </c>
      <c r="V343" s="43">
        <f t="shared" si="73"/>
        <v>0</v>
      </c>
      <c r="W343" s="43">
        <f t="shared" si="80"/>
        <v>0</v>
      </c>
      <c r="X343" s="43">
        <f t="shared" si="82"/>
        <v>0</v>
      </c>
      <c r="Y343" s="43">
        <f t="shared" si="83"/>
        <v>0</v>
      </c>
    </row>
    <row r="344" spans="1:25" ht="15" customHeight="1">
      <c r="A344" s="43">
        <v>334</v>
      </c>
      <c r="B344" s="176">
        <v>26.6</v>
      </c>
      <c r="C344" s="126">
        <f>'Studio Rain System'!J356</f>
        <v>0</v>
      </c>
      <c r="D344" s="104">
        <f>'Studio Rain System'!K356</f>
        <v>0</v>
      </c>
      <c r="E344" s="104">
        <f>'Studio Rain System'!L356</f>
        <v>17.764999999999997</v>
      </c>
      <c r="F344" s="104">
        <f>'Studio Rain System'!M356</f>
        <v>0.745</v>
      </c>
      <c r="G344" s="177">
        <v>125600</v>
      </c>
      <c r="H344" s="178">
        <f t="shared" si="70"/>
        <v>0</v>
      </c>
      <c r="I344" s="128">
        <f t="shared" si="74"/>
        <v>0</v>
      </c>
      <c r="J344" s="193">
        <f>IF( 'Organized Input Output'!$AD$5= "y", $K$4*(D344*1000)/$K$3, 0)</f>
        <v>0</v>
      </c>
      <c r="K344" s="43">
        <f t="shared" si="75"/>
        <v>0</v>
      </c>
      <c r="L344" s="43">
        <f t="shared" si="76"/>
        <v>0</v>
      </c>
      <c r="M344" s="180">
        <f t="shared" si="71"/>
        <v>0</v>
      </c>
      <c r="N344" s="43">
        <f t="shared" si="77"/>
        <v>1200</v>
      </c>
      <c r="O344" s="128">
        <f t="shared" si="72"/>
        <v>4.32</v>
      </c>
      <c r="P344" s="181">
        <f t="shared" si="78"/>
        <v>4.32</v>
      </c>
      <c r="Q344" s="209">
        <f>IF( 'Organized Input Output'!$AF$9 = "y", P344 / ($Q$3 * $Q$4), 0)</f>
        <v>0</v>
      </c>
      <c r="R344" s="209">
        <f t="shared" si="79"/>
        <v>0</v>
      </c>
      <c r="S344" s="43">
        <f>IF( 'Organized Input Output'!$AF$9 = "y", IF(R344= 0, 1, 0), 0)</f>
        <v>0</v>
      </c>
      <c r="T344" s="209">
        <f t="shared" si="81"/>
        <v>0</v>
      </c>
      <c r="U344" s="43">
        <f>IF( 'Organized Input Output'!$AF$9 = "y", IF(T344= 0, 1, 0), 0)</f>
        <v>0</v>
      </c>
      <c r="V344" s="43">
        <f t="shared" si="73"/>
        <v>0</v>
      </c>
      <c r="W344" s="43">
        <f t="shared" si="80"/>
        <v>0</v>
      </c>
      <c r="X344" s="43">
        <f t="shared" si="82"/>
        <v>0</v>
      </c>
      <c r="Y344" s="43">
        <f t="shared" si="83"/>
        <v>0</v>
      </c>
    </row>
    <row r="345" spans="1:25" ht="15" customHeight="1">
      <c r="A345" s="43">
        <v>335</v>
      </c>
      <c r="B345" s="176">
        <v>5.4</v>
      </c>
      <c r="C345" s="126">
        <f>'Studio Rain System'!J357</f>
        <v>0</v>
      </c>
      <c r="D345" s="104">
        <f>'Studio Rain System'!K357</f>
        <v>0</v>
      </c>
      <c r="E345" s="104">
        <f>'Studio Rain System'!L357</f>
        <v>17.019999999999996</v>
      </c>
      <c r="F345" s="104">
        <f>'Studio Rain System'!M357</f>
        <v>0.745</v>
      </c>
      <c r="G345" s="177">
        <v>125600</v>
      </c>
      <c r="H345" s="178">
        <f t="shared" si="70"/>
        <v>0</v>
      </c>
      <c r="I345" s="128">
        <f t="shared" si="74"/>
        <v>0</v>
      </c>
      <c r="J345" s="193">
        <f>IF( 'Organized Input Output'!$AD$5= "y", $K$4*(D345*1000)/$K$3, 0)</f>
        <v>0</v>
      </c>
      <c r="K345" s="43">
        <f t="shared" si="75"/>
        <v>0</v>
      </c>
      <c r="L345" s="43">
        <f t="shared" si="76"/>
        <v>0</v>
      </c>
      <c r="M345" s="180">
        <f t="shared" si="71"/>
        <v>0</v>
      </c>
      <c r="N345" s="43">
        <f t="shared" si="77"/>
        <v>1200</v>
      </c>
      <c r="O345" s="128">
        <f t="shared" si="72"/>
        <v>4.32</v>
      </c>
      <c r="P345" s="181">
        <f t="shared" si="78"/>
        <v>4.32</v>
      </c>
      <c r="Q345" s="209">
        <f>IF( 'Organized Input Output'!$AF$9 = "y", P345 / ($Q$3 * $Q$4), 0)</f>
        <v>0</v>
      </c>
      <c r="R345" s="209">
        <f t="shared" si="79"/>
        <v>0</v>
      </c>
      <c r="S345" s="43">
        <f>IF( 'Organized Input Output'!$AF$9 = "y", IF(R345= 0, 1, 0), 0)</f>
        <v>0</v>
      </c>
      <c r="T345" s="209">
        <f t="shared" si="81"/>
        <v>0</v>
      </c>
      <c r="U345" s="43">
        <f>IF( 'Organized Input Output'!$AF$9 = "y", IF(T345= 0, 1, 0), 0)</f>
        <v>0</v>
      </c>
      <c r="V345" s="43">
        <f t="shared" si="73"/>
        <v>0</v>
      </c>
      <c r="W345" s="43">
        <f t="shared" si="80"/>
        <v>0</v>
      </c>
      <c r="X345" s="43">
        <f t="shared" si="82"/>
        <v>0</v>
      </c>
      <c r="Y345" s="43">
        <f t="shared" si="83"/>
        <v>0</v>
      </c>
    </row>
    <row r="346" spans="1:25" ht="15" customHeight="1">
      <c r="A346" s="43">
        <v>336</v>
      </c>
      <c r="B346" s="176">
        <v>0</v>
      </c>
      <c r="C346" s="126">
        <f>'Studio Rain System'!J358</f>
        <v>0</v>
      </c>
      <c r="D346" s="104">
        <f>'Studio Rain System'!K358</f>
        <v>0</v>
      </c>
      <c r="E346" s="104">
        <f>'Studio Rain System'!L358</f>
        <v>16.274999999999995</v>
      </c>
      <c r="F346" s="104">
        <f>'Studio Rain System'!M358</f>
        <v>0.745</v>
      </c>
      <c r="G346" s="177">
        <v>125600</v>
      </c>
      <c r="H346" s="178">
        <f t="shared" si="70"/>
        <v>0</v>
      </c>
      <c r="I346" s="128">
        <f t="shared" si="74"/>
        <v>0</v>
      </c>
      <c r="J346" s="193">
        <f>IF( 'Organized Input Output'!$AD$5= "y", $K$4*(D346*1000)/$K$3, 0)</f>
        <v>0</v>
      </c>
      <c r="K346" s="43">
        <f t="shared" si="75"/>
        <v>0</v>
      </c>
      <c r="L346" s="43">
        <f t="shared" si="76"/>
        <v>0</v>
      </c>
      <c r="M346" s="180">
        <f t="shared" si="71"/>
        <v>0</v>
      </c>
      <c r="N346" s="43">
        <f t="shared" si="77"/>
        <v>1200</v>
      </c>
      <c r="O346" s="128">
        <f t="shared" si="72"/>
        <v>4.32</v>
      </c>
      <c r="P346" s="181">
        <f t="shared" si="78"/>
        <v>4.32</v>
      </c>
      <c r="Q346" s="209">
        <f>IF( 'Organized Input Output'!$AF$9 = "y", P346 / ($Q$3 * $Q$4), 0)</f>
        <v>0</v>
      </c>
      <c r="R346" s="209">
        <f t="shared" si="79"/>
        <v>0</v>
      </c>
      <c r="S346" s="43">
        <f>IF( 'Organized Input Output'!$AF$9 = "y", IF(R346= 0, 1, 0), 0)</f>
        <v>0</v>
      </c>
      <c r="T346" s="209">
        <f t="shared" si="81"/>
        <v>0</v>
      </c>
      <c r="U346" s="43">
        <f>IF( 'Organized Input Output'!$AF$9 = "y", IF(T346= 0, 1, 0), 0)</f>
        <v>0</v>
      </c>
      <c r="V346" s="43">
        <f t="shared" si="73"/>
        <v>0</v>
      </c>
      <c r="W346" s="43">
        <f t="shared" si="80"/>
        <v>0</v>
      </c>
      <c r="X346" s="43">
        <f t="shared" si="82"/>
        <v>0</v>
      </c>
      <c r="Y346" s="43">
        <f t="shared" si="83"/>
        <v>0</v>
      </c>
    </row>
    <row r="347" spans="1:25" ht="15" customHeight="1">
      <c r="A347" s="43">
        <v>337</v>
      </c>
      <c r="B347" s="176">
        <v>0</v>
      </c>
      <c r="C347" s="126">
        <f>'Studio Rain System'!J359</f>
        <v>0</v>
      </c>
      <c r="D347" s="104">
        <f>'Studio Rain System'!K359</f>
        <v>0</v>
      </c>
      <c r="E347" s="104">
        <f>'Studio Rain System'!L359</f>
        <v>15.529999999999996</v>
      </c>
      <c r="F347" s="104">
        <f>'Studio Rain System'!M359</f>
        <v>0.745</v>
      </c>
      <c r="G347" s="177">
        <v>125600</v>
      </c>
      <c r="H347" s="178">
        <f t="shared" si="70"/>
        <v>0</v>
      </c>
      <c r="I347" s="128">
        <f t="shared" si="74"/>
        <v>0</v>
      </c>
      <c r="J347" s="193">
        <f>IF( 'Organized Input Output'!$AD$5= "y", $K$4*(D347*1000)/$K$3, 0)</f>
        <v>0</v>
      </c>
      <c r="K347" s="43">
        <f t="shared" si="75"/>
        <v>0</v>
      </c>
      <c r="L347" s="43">
        <f t="shared" si="76"/>
        <v>0</v>
      </c>
      <c r="M347" s="180">
        <f t="shared" si="71"/>
        <v>0</v>
      </c>
      <c r="N347" s="43">
        <f t="shared" si="77"/>
        <v>1200</v>
      </c>
      <c r="O347" s="128">
        <f t="shared" si="72"/>
        <v>4.32</v>
      </c>
      <c r="P347" s="181">
        <f t="shared" si="78"/>
        <v>4.32</v>
      </c>
      <c r="Q347" s="209">
        <f>IF( 'Organized Input Output'!$AF$9 = "y", P347 / ($Q$3 * $Q$4), 0)</f>
        <v>0</v>
      </c>
      <c r="R347" s="209">
        <f t="shared" si="79"/>
        <v>0</v>
      </c>
      <c r="S347" s="43">
        <f>IF( 'Organized Input Output'!$AF$9 = "y", IF(R347= 0, 1, 0), 0)</f>
        <v>0</v>
      </c>
      <c r="T347" s="209">
        <f t="shared" si="81"/>
        <v>0</v>
      </c>
      <c r="U347" s="43">
        <f>IF( 'Organized Input Output'!$AF$9 = "y", IF(T347= 0, 1, 0), 0)</f>
        <v>0</v>
      </c>
      <c r="V347" s="43">
        <f t="shared" si="73"/>
        <v>0</v>
      </c>
      <c r="W347" s="43">
        <f t="shared" si="80"/>
        <v>0</v>
      </c>
      <c r="X347" s="43">
        <f t="shared" si="82"/>
        <v>0</v>
      </c>
      <c r="Y347" s="43">
        <f t="shared" si="83"/>
        <v>0</v>
      </c>
    </row>
    <row r="348" spans="1:25" ht="15" customHeight="1">
      <c r="A348" s="43">
        <v>338</v>
      </c>
      <c r="B348" s="176">
        <v>0</v>
      </c>
      <c r="C348" s="126">
        <f>'Studio Rain System'!J360</f>
        <v>1.2</v>
      </c>
      <c r="D348" s="104">
        <f>'Studio Rain System'!K360</f>
        <v>1.3199999999999998</v>
      </c>
      <c r="E348" s="104">
        <f>'Studio Rain System'!L360</f>
        <v>16.104999999999993</v>
      </c>
      <c r="F348" s="104">
        <f>'Studio Rain System'!M360</f>
        <v>0.745</v>
      </c>
      <c r="G348" s="177">
        <v>125600</v>
      </c>
      <c r="H348" s="178">
        <f t="shared" si="70"/>
        <v>236845.71428571426</v>
      </c>
      <c r="I348" s="128">
        <f t="shared" si="74"/>
        <v>0.23684571428571427</v>
      </c>
      <c r="J348" s="193">
        <f>IF( 'Organized Input Output'!$AD$5= "y", $K$4*(D348*1000)/$K$3, 0)</f>
        <v>6599.9999999999982</v>
      </c>
      <c r="K348" s="43">
        <f t="shared" si="75"/>
        <v>6.5999999999999979</v>
      </c>
      <c r="L348" s="43">
        <f t="shared" si="76"/>
        <v>13199999.999999996</v>
      </c>
      <c r="M348" s="180">
        <f t="shared" si="71"/>
        <v>13.199999999999996</v>
      </c>
      <c r="N348" s="43">
        <f t="shared" si="77"/>
        <v>1200</v>
      </c>
      <c r="O348" s="128">
        <f t="shared" si="72"/>
        <v>4.32</v>
      </c>
      <c r="P348" s="181">
        <f t="shared" si="78"/>
        <v>17.75684571428571</v>
      </c>
      <c r="Q348" s="209">
        <f>IF( 'Organized Input Output'!$AF$9 = "y", P348 / ($Q$3 * $Q$4), 0)</f>
        <v>0</v>
      </c>
      <c r="R348" s="209">
        <f t="shared" si="79"/>
        <v>0</v>
      </c>
      <c r="S348" s="43">
        <f>IF( 'Organized Input Output'!$AF$9 = "y", IF(R348= 0, 1, 0), 0)</f>
        <v>0</v>
      </c>
      <c r="T348" s="209">
        <f t="shared" si="81"/>
        <v>0</v>
      </c>
      <c r="U348" s="43">
        <f>IF( 'Organized Input Output'!$AF$9 = "y", IF(T348= 0, 1, 0), 0)</f>
        <v>0</v>
      </c>
      <c r="V348" s="43">
        <f t="shared" si="73"/>
        <v>0</v>
      </c>
      <c r="W348" s="43">
        <f t="shared" si="80"/>
        <v>0</v>
      </c>
      <c r="X348" s="43">
        <f t="shared" si="82"/>
        <v>0</v>
      </c>
      <c r="Y348" s="43">
        <f t="shared" si="83"/>
        <v>0</v>
      </c>
    </row>
    <row r="349" spans="1:25" ht="15" customHeight="1">
      <c r="A349" s="43">
        <v>339</v>
      </c>
      <c r="B349" s="176">
        <v>0</v>
      </c>
      <c r="C349" s="126">
        <f>'Studio Rain System'!J361</f>
        <v>45.4</v>
      </c>
      <c r="D349" s="104">
        <f>'Studio Rain System'!K361</f>
        <v>49.94</v>
      </c>
      <c r="E349" s="104">
        <f>'Studio Rain System'!L361</f>
        <v>20</v>
      </c>
      <c r="F349" s="104">
        <f>'Studio Rain System'!M361</f>
        <v>0.745</v>
      </c>
      <c r="G349" s="177">
        <v>125600</v>
      </c>
      <c r="H349" s="178">
        <f t="shared" si="70"/>
        <v>8960662.8571428582</v>
      </c>
      <c r="I349" s="128">
        <f t="shared" si="74"/>
        <v>8.960662857142859</v>
      </c>
      <c r="J349" s="193">
        <f>IF( 'Organized Input Output'!$AD$5= "y", $K$4*(D349*1000)/$K$3, 0)</f>
        <v>249700</v>
      </c>
      <c r="K349" s="43">
        <f t="shared" si="75"/>
        <v>249.7</v>
      </c>
      <c r="L349" s="43">
        <f t="shared" si="76"/>
        <v>499400000</v>
      </c>
      <c r="M349" s="180">
        <f t="shared" si="71"/>
        <v>499.4</v>
      </c>
      <c r="N349" s="43">
        <f t="shared" si="77"/>
        <v>1200</v>
      </c>
      <c r="O349" s="128">
        <f t="shared" si="72"/>
        <v>4.32</v>
      </c>
      <c r="P349" s="181">
        <f t="shared" si="78"/>
        <v>512.68066285714281</v>
      </c>
      <c r="Q349" s="209">
        <f>IF( 'Organized Input Output'!$AF$9 = "y", P349 / ($Q$3 * $Q$4), 0)</f>
        <v>0</v>
      </c>
      <c r="R349" s="209">
        <f t="shared" si="79"/>
        <v>0</v>
      </c>
      <c r="S349" s="43">
        <f>IF( 'Organized Input Output'!$AF$9 = "y", IF(R349= 0, 1, 0), 0)</f>
        <v>0</v>
      </c>
      <c r="T349" s="209">
        <f t="shared" si="81"/>
        <v>0</v>
      </c>
      <c r="U349" s="43">
        <f>IF( 'Organized Input Output'!$AF$9 = "y", IF(T349= 0, 1, 0), 0)</f>
        <v>0</v>
      </c>
      <c r="V349" s="43">
        <f t="shared" si="73"/>
        <v>0</v>
      </c>
      <c r="W349" s="43">
        <f t="shared" si="80"/>
        <v>0</v>
      </c>
      <c r="X349" s="43">
        <f t="shared" si="82"/>
        <v>0</v>
      </c>
      <c r="Y349" s="43">
        <f t="shared" si="83"/>
        <v>0</v>
      </c>
    </row>
    <row r="350" spans="1:25" ht="15" customHeight="1">
      <c r="A350" s="43">
        <v>340</v>
      </c>
      <c r="B350" s="176">
        <v>0</v>
      </c>
      <c r="C350" s="126">
        <f>'Studio Rain System'!J362</f>
        <v>0.8</v>
      </c>
      <c r="D350" s="104">
        <f>'Studio Rain System'!K362</f>
        <v>0.88</v>
      </c>
      <c r="E350" s="104">
        <f>'Studio Rain System'!L362</f>
        <v>20</v>
      </c>
      <c r="F350" s="104">
        <f>'Studio Rain System'!M362</f>
        <v>0.745</v>
      </c>
      <c r="G350" s="177">
        <v>125600</v>
      </c>
      <c r="H350" s="178">
        <f t="shared" si="70"/>
        <v>157897.14285714287</v>
      </c>
      <c r="I350" s="128">
        <f t="shared" si="74"/>
        <v>0.15789714285714287</v>
      </c>
      <c r="J350" s="193">
        <f>IF( 'Organized Input Output'!$AD$5= "y", $K$4*(D350*1000)/$K$3, 0)</f>
        <v>4400</v>
      </c>
      <c r="K350" s="43">
        <f t="shared" si="75"/>
        <v>4.4000000000000004</v>
      </c>
      <c r="L350" s="43">
        <f t="shared" si="76"/>
        <v>8800000</v>
      </c>
      <c r="M350" s="180">
        <f t="shared" si="71"/>
        <v>8.8000000000000007</v>
      </c>
      <c r="N350" s="43">
        <f t="shared" si="77"/>
        <v>1200</v>
      </c>
      <c r="O350" s="128">
        <f t="shared" si="72"/>
        <v>4.32</v>
      </c>
      <c r="P350" s="181">
        <f t="shared" si="78"/>
        <v>13.277897142857144</v>
      </c>
      <c r="Q350" s="209">
        <f>IF( 'Organized Input Output'!$AF$9 = "y", P350 / ($Q$3 * $Q$4), 0)</f>
        <v>0</v>
      </c>
      <c r="R350" s="209">
        <f t="shared" si="79"/>
        <v>0</v>
      </c>
      <c r="S350" s="43">
        <f>IF( 'Organized Input Output'!$AF$9 = "y", IF(R350= 0, 1, 0), 0)</f>
        <v>0</v>
      </c>
      <c r="T350" s="209">
        <f t="shared" si="81"/>
        <v>0</v>
      </c>
      <c r="U350" s="43">
        <f>IF( 'Organized Input Output'!$AF$9 = "y", IF(T350= 0, 1, 0), 0)</f>
        <v>0</v>
      </c>
      <c r="V350" s="43">
        <f t="shared" si="73"/>
        <v>0</v>
      </c>
      <c r="W350" s="43">
        <f t="shared" si="80"/>
        <v>0</v>
      </c>
      <c r="X350" s="43">
        <f t="shared" si="82"/>
        <v>0</v>
      </c>
      <c r="Y350" s="43">
        <f t="shared" si="83"/>
        <v>0</v>
      </c>
    </row>
    <row r="351" spans="1:25" ht="15" customHeight="1">
      <c r="A351" s="43">
        <v>341</v>
      </c>
      <c r="B351" s="176">
        <v>0</v>
      </c>
      <c r="C351" s="126">
        <f>'Studio Rain System'!J363</f>
        <v>15.2</v>
      </c>
      <c r="D351" s="104">
        <f>'Studio Rain System'!K363</f>
        <v>16.72</v>
      </c>
      <c r="E351" s="104">
        <f>'Studio Rain System'!L363</f>
        <v>20</v>
      </c>
      <c r="F351" s="104">
        <f>'Studio Rain System'!M363</f>
        <v>0.745</v>
      </c>
      <c r="G351" s="177">
        <v>125600</v>
      </c>
      <c r="H351" s="178">
        <f t="shared" si="70"/>
        <v>3000045.7142857146</v>
      </c>
      <c r="I351" s="128">
        <f t="shared" si="74"/>
        <v>3.0000457142857146</v>
      </c>
      <c r="J351" s="193">
        <f>IF( 'Organized Input Output'!$AD$5= "y", $K$4*(D351*1000)/$K$3, 0)</f>
        <v>83600</v>
      </c>
      <c r="K351" s="43">
        <f t="shared" si="75"/>
        <v>83.6</v>
      </c>
      <c r="L351" s="43">
        <f t="shared" si="76"/>
        <v>167200000</v>
      </c>
      <c r="M351" s="180">
        <f t="shared" si="71"/>
        <v>167.2</v>
      </c>
      <c r="N351" s="43">
        <f t="shared" si="77"/>
        <v>1200</v>
      </c>
      <c r="O351" s="128">
        <f t="shared" si="72"/>
        <v>4.32</v>
      </c>
      <c r="P351" s="181">
        <f t="shared" si="78"/>
        <v>174.52004571428569</v>
      </c>
      <c r="Q351" s="209">
        <f>IF( 'Organized Input Output'!$AF$9 = "y", P351 / ($Q$3 * $Q$4), 0)</f>
        <v>0</v>
      </c>
      <c r="R351" s="209">
        <f t="shared" si="79"/>
        <v>0</v>
      </c>
      <c r="S351" s="43">
        <f>IF( 'Organized Input Output'!$AF$9 = "y", IF(R351= 0, 1, 0), 0)</f>
        <v>0</v>
      </c>
      <c r="T351" s="209">
        <f t="shared" si="81"/>
        <v>0</v>
      </c>
      <c r="U351" s="43">
        <f>IF( 'Organized Input Output'!$AF$9 = "y", IF(T351= 0, 1, 0), 0)</f>
        <v>0</v>
      </c>
      <c r="V351" s="43">
        <f t="shared" si="73"/>
        <v>0</v>
      </c>
      <c r="W351" s="43">
        <f t="shared" si="80"/>
        <v>0</v>
      </c>
      <c r="X351" s="43">
        <f t="shared" si="82"/>
        <v>0</v>
      </c>
      <c r="Y351" s="43">
        <f t="shared" si="83"/>
        <v>0</v>
      </c>
    </row>
    <row r="352" spans="1:25" ht="15" customHeight="1">
      <c r="A352" s="43">
        <v>342</v>
      </c>
      <c r="B352" s="176">
        <v>0</v>
      </c>
      <c r="C352" s="126">
        <f>'Studio Rain System'!J364</f>
        <v>48.6</v>
      </c>
      <c r="D352" s="104">
        <f>'Studio Rain System'!K364</f>
        <v>53.460000000000008</v>
      </c>
      <c r="E352" s="104">
        <f>'Studio Rain System'!L364</f>
        <v>20</v>
      </c>
      <c r="F352" s="104">
        <f>'Studio Rain System'!M364</f>
        <v>0.745</v>
      </c>
      <c r="G352" s="177">
        <v>125600</v>
      </c>
      <c r="H352" s="178">
        <f t="shared" si="70"/>
        <v>9592251.428571431</v>
      </c>
      <c r="I352" s="128">
        <f t="shared" si="74"/>
        <v>9.5922514285714318</v>
      </c>
      <c r="J352" s="193">
        <f>IF( 'Organized Input Output'!$AD$5= "y", $K$4*(D352*1000)/$K$3, 0)</f>
        <v>267300.00000000006</v>
      </c>
      <c r="K352" s="43">
        <f t="shared" si="75"/>
        <v>267.30000000000007</v>
      </c>
      <c r="L352" s="43">
        <f t="shared" si="76"/>
        <v>534600000.00000012</v>
      </c>
      <c r="M352" s="180">
        <f t="shared" si="71"/>
        <v>534.60000000000014</v>
      </c>
      <c r="N352" s="43">
        <f t="shared" si="77"/>
        <v>1200</v>
      </c>
      <c r="O352" s="128">
        <f t="shared" si="72"/>
        <v>4.32</v>
      </c>
      <c r="P352" s="181">
        <f t="shared" si="78"/>
        <v>548.51225142857163</v>
      </c>
      <c r="Q352" s="209">
        <f>IF( 'Organized Input Output'!$AF$9 = "y", P352 / ($Q$3 * $Q$4), 0)</f>
        <v>0</v>
      </c>
      <c r="R352" s="209">
        <f t="shared" si="79"/>
        <v>0</v>
      </c>
      <c r="S352" s="43">
        <f>IF( 'Organized Input Output'!$AF$9 = "y", IF(R352= 0, 1, 0), 0)</f>
        <v>0</v>
      </c>
      <c r="T352" s="209">
        <f t="shared" si="81"/>
        <v>0</v>
      </c>
      <c r="U352" s="43">
        <f>IF( 'Organized Input Output'!$AF$9 = "y", IF(T352= 0, 1, 0), 0)</f>
        <v>0</v>
      </c>
      <c r="V352" s="43">
        <f t="shared" si="73"/>
        <v>0</v>
      </c>
      <c r="W352" s="43">
        <f t="shared" si="80"/>
        <v>0</v>
      </c>
      <c r="X352" s="43">
        <f t="shared" si="82"/>
        <v>0</v>
      </c>
      <c r="Y352" s="43">
        <f t="shared" si="83"/>
        <v>0</v>
      </c>
    </row>
    <row r="353" spans="1:25" ht="15" customHeight="1">
      <c r="A353" s="43">
        <v>343</v>
      </c>
      <c r="B353" s="176">
        <v>0</v>
      </c>
      <c r="C353" s="126">
        <f>'Studio Rain System'!J365</f>
        <v>34.200000000000003</v>
      </c>
      <c r="D353" s="104">
        <f>'Studio Rain System'!K365</f>
        <v>37.620000000000005</v>
      </c>
      <c r="E353" s="104">
        <f>'Studio Rain System'!L365</f>
        <v>20</v>
      </c>
      <c r="F353" s="104">
        <f>'Studio Rain System'!M365</f>
        <v>0.745</v>
      </c>
      <c r="G353" s="177">
        <v>125600</v>
      </c>
      <c r="H353" s="178">
        <f t="shared" si="70"/>
        <v>6750102.8571428591</v>
      </c>
      <c r="I353" s="128">
        <f t="shared" si="74"/>
        <v>6.750102857142859</v>
      </c>
      <c r="J353" s="193">
        <f>IF( 'Organized Input Output'!$AD$5= "y", $K$4*(D353*1000)/$K$3, 0)</f>
        <v>188100.00000000006</v>
      </c>
      <c r="K353" s="43">
        <f t="shared" si="75"/>
        <v>188.10000000000005</v>
      </c>
      <c r="L353" s="43">
        <f t="shared" si="76"/>
        <v>376200000.00000012</v>
      </c>
      <c r="M353" s="180">
        <f t="shared" si="71"/>
        <v>376.2000000000001</v>
      </c>
      <c r="N353" s="43">
        <f t="shared" si="77"/>
        <v>1200</v>
      </c>
      <c r="O353" s="128">
        <f t="shared" si="72"/>
        <v>4.32</v>
      </c>
      <c r="P353" s="181">
        <f t="shared" si="78"/>
        <v>387.27010285714294</v>
      </c>
      <c r="Q353" s="209">
        <f>IF( 'Organized Input Output'!$AF$9 = "y", P353 / ($Q$3 * $Q$4), 0)</f>
        <v>0</v>
      </c>
      <c r="R353" s="209">
        <f t="shared" si="79"/>
        <v>0</v>
      </c>
      <c r="S353" s="43">
        <f>IF( 'Organized Input Output'!$AF$9 = "y", IF(R353= 0, 1, 0), 0)</f>
        <v>0</v>
      </c>
      <c r="T353" s="209">
        <f t="shared" si="81"/>
        <v>0</v>
      </c>
      <c r="U353" s="43">
        <f>IF( 'Organized Input Output'!$AF$9 = "y", IF(T353= 0, 1, 0), 0)</f>
        <v>0</v>
      </c>
      <c r="V353" s="43">
        <f t="shared" si="73"/>
        <v>0</v>
      </c>
      <c r="W353" s="43">
        <f t="shared" si="80"/>
        <v>0</v>
      </c>
      <c r="X353" s="43">
        <f t="shared" si="82"/>
        <v>0</v>
      </c>
      <c r="Y353" s="43">
        <f t="shared" si="83"/>
        <v>0</v>
      </c>
    </row>
    <row r="354" spans="1:25" ht="15" customHeight="1">
      <c r="A354" s="43">
        <v>344</v>
      </c>
      <c r="B354" s="176">
        <v>0</v>
      </c>
      <c r="C354" s="126">
        <f>'Studio Rain System'!J366</f>
        <v>4.4000000000000004</v>
      </c>
      <c r="D354" s="104">
        <f>'Studio Rain System'!K366</f>
        <v>4.84</v>
      </c>
      <c r="E354" s="104">
        <f>'Studio Rain System'!L366</f>
        <v>20</v>
      </c>
      <c r="F354" s="104">
        <f>'Studio Rain System'!M366</f>
        <v>0.745</v>
      </c>
      <c r="G354" s="177">
        <v>125600</v>
      </c>
      <c r="H354" s="178">
        <f t="shared" si="70"/>
        <v>868434.2857142858</v>
      </c>
      <c r="I354" s="128">
        <f t="shared" si="74"/>
        <v>0.86843428571428583</v>
      </c>
      <c r="J354" s="193">
        <f>IF( 'Organized Input Output'!$AD$5= "y", $K$4*(D354*1000)/$K$3, 0)</f>
        <v>24200</v>
      </c>
      <c r="K354" s="43">
        <f t="shared" si="75"/>
        <v>24.2</v>
      </c>
      <c r="L354" s="43">
        <f t="shared" si="76"/>
        <v>48400000</v>
      </c>
      <c r="M354" s="180">
        <f t="shared" si="71"/>
        <v>48.4</v>
      </c>
      <c r="N354" s="43">
        <f t="shared" si="77"/>
        <v>1200</v>
      </c>
      <c r="O354" s="128">
        <f t="shared" si="72"/>
        <v>4.32</v>
      </c>
      <c r="P354" s="181">
        <f t="shared" si="78"/>
        <v>53.588434285714285</v>
      </c>
      <c r="Q354" s="209">
        <f>IF( 'Organized Input Output'!$AF$9 = "y", P354 / ($Q$3 * $Q$4), 0)</f>
        <v>0</v>
      </c>
      <c r="R354" s="209">
        <f t="shared" si="79"/>
        <v>0</v>
      </c>
      <c r="S354" s="43">
        <f>IF( 'Organized Input Output'!$AF$9 = "y", IF(R354= 0, 1, 0), 0)</f>
        <v>0</v>
      </c>
      <c r="T354" s="209">
        <f t="shared" si="81"/>
        <v>0</v>
      </c>
      <c r="U354" s="43">
        <f>IF( 'Organized Input Output'!$AF$9 = "y", IF(T354= 0, 1, 0), 0)</f>
        <v>0</v>
      </c>
      <c r="V354" s="43">
        <f t="shared" si="73"/>
        <v>0</v>
      </c>
      <c r="W354" s="43">
        <f t="shared" si="80"/>
        <v>0</v>
      </c>
      <c r="X354" s="43">
        <f t="shared" si="82"/>
        <v>0</v>
      </c>
      <c r="Y354" s="43">
        <f t="shared" si="83"/>
        <v>0</v>
      </c>
    </row>
    <row r="355" spans="1:25" ht="15" customHeight="1">
      <c r="A355" s="43">
        <v>345</v>
      </c>
      <c r="B355" s="176">
        <v>3.2</v>
      </c>
      <c r="C355" s="126">
        <f>'Studio Rain System'!J367</f>
        <v>17.8</v>
      </c>
      <c r="D355" s="104">
        <f>'Studio Rain System'!K367</f>
        <v>19.579999999999998</v>
      </c>
      <c r="E355" s="104">
        <f>'Studio Rain System'!L367</f>
        <v>20</v>
      </c>
      <c r="F355" s="104">
        <f>'Studio Rain System'!M367</f>
        <v>0.745</v>
      </c>
      <c r="G355" s="177">
        <v>125600</v>
      </c>
      <c r="H355" s="178">
        <f t="shared" si="70"/>
        <v>3513211.4285714286</v>
      </c>
      <c r="I355" s="128">
        <f t="shared" si="74"/>
        <v>3.5132114285714287</v>
      </c>
      <c r="J355" s="193">
        <f>IF( 'Organized Input Output'!$AD$5= "y", $K$4*(D355*1000)/$K$3, 0)</f>
        <v>97900</v>
      </c>
      <c r="K355" s="43">
        <f t="shared" si="75"/>
        <v>97.9</v>
      </c>
      <c r="L355" s="43">
        <f t="shared" si="76"/>
        <v>195800000</v>
      </c>
      <c r="M355" s="180">
        <f t="shared" si="71"/>
        <v>195.8</v>
      </c>
      <c r="N355" s="43">
        <f t="shared" si="77"/>
        <v>1200</v>
      </c>
      <c r="O355" s="128">
        <f t="shared" si="72"/>
        <v>4.32</v>
      </c>
      <c r="P355" s="181">
        <f t="shared" si="78"/>
        <v>203.63321142857143</v>
      </c>
      <c r="Q355" s="209">
        <f>IF( 'Organized Input Output'!$AF$9 = "y", P355 / ($Q$3 * $Q$4), 0)</f>
        <v>0</v>
      </c>
      <c r="R355" s="209">
        <f t="shared" si="79"/>
        <v>0</v>
      </c>
      <c r="S355" s="43">
        <f>IF( 'Organized Input Output'!$AF$9 = "y", IF(R355= 0, 1, 0), 0)</f>
        <v>0</v>
      </c>
      <c r="T355" s="209">
        <f t="shared" si="81"/>
        <v>0</v>
      </c>
      <c r="U355" s="43">
        <f>IF( 'Organized Input Output'!$AF$9 = "y", IF(T355= 0, 1, 0), 0)</f>
        <v>0</v>
      </c>
      <c r="V355" s="43">
        <f t="shared" si="73"/>
        <v>0</v>
      </c>
      <c r="W355" s="43">
        <f t="shared" si="80"/>
        <v>0</v>
      </c>
      <c r="X355" s="43">
        <f t="shared" si="82"/>
        <v>0</v>
      </c>
      <c r="Y355" s="43">
        <f t="shared" si="83"/>
        <v>0</v>
      </c>
    </row>
    <row r="356" spans="1:25" ht="15" customHeight="1">
      <c r="A356" s="43">
        <v>346</v>
      </c>
      <c r="B356" s="176">
        <v>1.8</v>
      </c>
      <c r="C356" s="126">
        <f>'Studio Rain System'!J368</f>
        <v>1.4</v>
      </c>
      <c r="D356" s="104">
        <f>'Studio Rain System'!K368</f>
        <v>1.54</v>
      </c>
      <c r="E356" s="104">
        <f>'Studio Rain System'!L368</f>
        <v>20</v>
      </c>
      <c r="F356" s="104">
        <f>'Studio Rain System'!M368</f>
        <v>0.745</v>
      </c>
      <c r="G356" s="177">
        <v>125600</v>
      </c>
      <c r="H356" s="178">
        <f t="shared" si="70"/>
        <v>276320</v>
      </c>
      <c r="I356" s="128">
        <f t="shared" si="74"/>
        <v>0.27632000000000001</v>
      </c>
      <c r="J356" s="193">
        <f>IF( 'Organized Input Output'!$AD$5= "y", $K$4*(D356*1000)/$K$3, 0)</f>
        <v>7700</v>
      </c>
      <c r="K356" s="43">
        <f t="shared" si="75"/>
        <v>7.7</v>
      </c>
      <c r="L356" s="43">
        <f t="shared" si="76"/>
        <v>15400000</v>
      </c>
      <c r="M356" s="180">
        <f t="shared" si="71"/>
        <v>15.4</v>
      </c>
      <c r="N356" s="43">
        <f t="shared" si="77"/>
        <v>1200</v>
      </c>
      <c r="O356" s="128">
        <f t="shared" si="72"/>
        <v>4.32</v>
      </c>
      <c r="P356" s="181">
        <f t="shared" si="78"/>
        <v>19.996320000000001</v>
      </c>
      <c r="Q356" s="209">
        <f>IF( 'Organized Input Output'!$AF$9 = "y", P356 / ($Q$3 * $Q$4), 0)</f>
        <v>0</v>
      </c>
      <c r="R356" s="209">
        <f t="shared" si="79"/>
        <v>0</v>
      </c>
      <c r="S356" s="43">
        <f>IF( 'Organized Input Output'!$AF$9 = "y", IF(R356= 0, 1, 0), 0)</f>
        <v>0</v>
      </c>
      <c r="T356" s="209">
        <f t="shared" si="81"/>
        <v>0</v>
      </c>
      <c r="U356" s="43">
        <f>IF( 'Organized Input Output'!$AF$9 = "y", IF(T356= 0, 1, 0), 0)</f>
        <v>0</v>
      </c>
      <c r="V356" s="43">
        <f t="shared" si="73"/>
        <v>0</v>
      </c>
      <c r="W356" s="43">
        <f t="shared" si="80"/>
        <v>0</v>
      </c>
      <c r="X356" s="43">
        <f t="shared" si="82"/>
        <v>0</v>
      </c>
      <c r="Y356" s="43">
        <f t="shared" si="83"/>
        <v>0</v>
      </c>
    </row>
    <row r="357" spans="1:25" ht="15" customHeight="1">
      <c r="A357" s="43">
        <v>347</v>
      </c>
      <c r="B357" s="176">
        <v>10.4</v>
      </c>
      <c r="C357" s="126">
        <f>'Studio Rain System'!J369</f>
        <v>1</v>
      </c>
      <c r="D357" s="104">
        <f>'Studio Rain System'!K369</f>
        <v>1.1000000000000001</v>
      </c>
      <c r="E357" s="104">
        <f>'Studio Rain System'!L369</f>
        <v>20</v>
      </c>
      <c r="F357" s="104">
        <f>'Studio Rain System'!M369</f>
        <v>0.745</v>
      </c>
      <c r="G357" s="177">
        <v>125600</v>
      </c>
      <c r="H357" s="178">
        <f t="shared" si="70"/>
        <v>197371.42857142858</v>
      </c>
      <c r="I357" s="128">
        <f t="shared" si="74"/>
        <v>0.19737142857142859</v>
      </c>
      <c r="J357" s="193">
        <f>IF( 'Organized Input Output'!$AD$5= "y", $K$4*(D357*1000)/$K$3, 0)</f>
        <v>5500</v>
      </c>
      <c r="K357" s="43">
        <f t="shared" si="75"/>
        <v>5.5</v>
      </c>
      <c r="L357" s="43">
        <f t="shared" si="76"/>
        <v>11000000</v>
      </c>
      <c r="M357" s="180">
        <f t="shared" si="71"/>
        <v>11</v>
      </c>
      <c r="N357" s="43">
        <f t="shared" si="77"/>
        <v>1200</v>
      </c>
      <c r="O357" s="128">
        <f t="shared" si="72"/>
        <v>4.32</v>
      </c>
      <c r="P357" s="181">
        <f t="shared" si="78"/>
        <v>15.51737142857143</v>
      </c>
      <c r="Q357" s="209">
        <f>IF( 'Organized Input Output'!$AF$9 = "y", P357 / ($Q$3 * $Q$4), 0)</f>
        <v>0</v>
      </c>
      <c r="R357" s="209">
        <f t="shared" si="79"/>
        <v>0</v>
      </c>
      <c r="S357" s="43">
        <f>IF( 'Organized Input Output'!$AF$9 = "y", IF(R357= 0, 1, 0), 0)</f>
        <v>0</v>
      </c>
      <c r="T357" s="209">
        <f t="shared" si="81"/>
        <v>0</v>
      </c>
      <c r="U357" s="43">
        <f>IF( 'Organized Input Output'!$AF$9 = "y", IF(T357= 0, 1, 0), 0)</f>
        <v>0</v>
      </c>
      <c r="V357" s="43">
        <f t="shared" si="73"/>
        <v>0</v>
      </c>
      <c r="W357" s="43">
        <f t="shared" si="80"/>
        <v>0</v>
      </c>
      <c r="X357" s="43">
        <f t="shared" si="82"/>
        <v>0</v>
      </c>
      <c r="Y357" s="43">
        <f t="shared" si="83"/>
        <v>0</v>
      </c>
    </row>
    <row r="358" spans="1:25" ht="15" customHeight="1">
      <c r="A358" s="43">
        <v>348</v>
      </c>
      <c r="B358" s="176">
        <v>26</v>
      </c>
      <c r="C358" s="126">
        <f>'Studio Rain System'!J370</f>
        <v>0</v>
      </c>
      <c r="D358" s="104">
        <f>'Studio Rain System'!K370</f>
        <v>0</v>
      </c>
      <c r="E358" s="104">
        <f>'Studio Rain System'!L370</f>
        <v>19.254999999999999</v>
      </c>
      <c r="F358" s="104">
        <f>'Studio Rain System'!M370</f>
        <v>0.745</v>
      </c>
      <c r="G358" s="177">
        <v>125600</v>
      </c>
      <c r="H358" s="178">
        <f t="shared" si="70"/>
        <v>0</v>
      </c>
      <c r="I358" s="128">
        <f t="shared" si="74"/>
        <v>0</v>
      </c>
      <c r="J358" s="193">
        <f>IF( 'Organized Input Output'!$AD$5= "y", $K$4*(D358*1000)/$K$3, 0)</f>
        <v>0</v>
      </c>
      <c r="K358" s="43">
        <f t="shared" si="75"/>
        <v>0</v>
      </c>
      <c r="L358" s="43">
        <f t="shared" si="76"/>
        <v>0</v>
      </c>
      <c r="M358" s="180">
        <f t="shared" si="71"/>
        <v>0</v>
      </c>
      <c r="N358" s="43">
        <f t="shared" si="77"/>
        <v>1200</v>
      </c>
      <c r="O358" s="128">
        <f t="shared" si="72"/>
        <v>4.32</v>
      </c>
      <c r="P358" s="181">
        <f t="shared" si="78"/>
        <v>4.32</v>
      </c>
      <c r="Q358" s="209">
        <f>IF( 'Organized Input Output'!$AF$9 = "y", P358 / ($Q$3 * $Q$4), 0)</f>
        <v>0</v>
      </c>
      <c r="R358" s="209">
        <f t="shared" si="79"/>
        <v>0</v>
      </c>
      <c r="S358" s="43">
        <f>IF( 'Organized Input Output'!$AF$9 = "y", IF(R358= 0, 1, 0), 0)</f>
        <v>0</v>
      </c>
      <c r="T358" s="209">
        <f t="shared" si="81"/>
        <v>0</v>
      </c>
      <c r="U358" s="43">
        <f>IF( 'Organized Input Output'!$AF$9 = "y", IF(T358= 0, 1, 0), 0)</f>
        <v>0</v>
      </c>
      <c r="V358" s="43">
        <f t="shared" si="73"/>
        <v>0</v>
      </c>
      <c r="W358" s="43">
        <f t="shared" si="80"/>
        <v>0</v>
      </c>
      <c r="X358" s="43">
        <f t="shared" si="82"/>
        <v>0</v>
      </c>
      <c r="Y358" s="43">
        <f t="shared" si="83"/>
        <v>0</v>
      </c>
    </row>
    <row r="359" spans="1:25" ht="15" customHeight="1">
      <c r="A359" s="43">
        <v>349</v>
      </c>
      <c r="B359" s="176">
        <v>0.8</v>
      </c>
      <c r="C359" s="126">
        <f>'Studio Rain System'!J371</f>
        <v>9</v>
      </c>
      <c r="D359" s="104">
        <f>'Studio Rain System'!K371</f>
        <v>9.8999999999999986</v>
      </c>
      <c r="E359" s="104">
        <f>'Studio Rain System'!L371</f>
        <v>20</v>
      </c>
      <c r="F359" s="104">
        <f>'Studio Rain System'!M371</f>
        <v>0.745</v>
      </c>
      <c r="G359" s="177">
        <v>125600</v>
      </c>
      <c r="H359" s="178">
        <f t="shared" si="70"/>
        <v>1776342.8571428568</v>
      </c>
      <c r="I359" s="128">
        <f t="shared" si="74"/>
        <v>1.7763428571428568</v>
      </c>
      <c r="J359" s="193">
        <f>IF( 'Organized Input Output'!$AD$5= "y", $K$4*(D359*1000)/$K$3, 0)</f>
        <v>49499.999999999985</v>
      </c>
      <c r="K359" s="43">
        <f t="shared" si="75"/>
        <v>49.499999999999986</v>
      </c>
      <c r="L359" s="43">
        <f t="shared" si="76"/>
        <v>98999999.99999997</v>
      </c>
      <c r="M359" s="180">
        <f t="shared" si="71"/>
        <v>98.999999999999972</v>
      </c>
      <c r="N359" s="43">
        <f t="shared" si="77"/>
        <v>1200</v>
      </c>
      <c r="O359" s="128">
        <f t="shared" si="72"/>
        <v>4.32</v>
      </c>
      <c r="P359" s="181">
        <f t="shared" si="78"/>
        <v>105.09634285714282</v>
      </c>
      <c r="Q359" s="209">
        <f>IF( 'Organized Input Output'!$AF$9 = "y", P359 / ($Q$3 * $Q$4), 0)</f>
        <v>0</v>
      </c>
      <c r="R359" s="209">
        <f t="shared" si="79"/>
        <v>0</v>
      </c>
      <c r="S359" s="43">
        <f>IF( 'Organized Input Output'!$AF$9 = "y", IF(R359= 0, 1, 0), 0)</f>
        <v>0</v>
      </c>
      <c r="T359" s="209">
        <f t="shared" si="81"/>
        <v>0</v>
      </c>
      <c r="U359" s="43">
        <f>IF( 'Organized Input Output'!$AF$9 = "y", IF(T359= 0, 1, 0), 0)</f>
        <v>0</v>
      </c>
      <c r="V359" s="43">
        <f t="shared" si="73"/>
        <v>0</v>
      </c>
      <c r="W359" s="43">
        <f t="shared" si="80"/>
        <v>0</v>
      </c>
      <c r="X359" s="43">
        <f t="shared" si="82"/>
        <v>0</v>
      </c>
      <c r="Y359" s="43">
        <f t="shared" si="83"/>
        <v>0</v>
      </c>
    </row>
    <row r="360" spans="1:25" ht="15" customHeight="1">
      <c r="A360" s="43">
        <v>350</v>
      </c>
      <c r="B360" s="176">
        <v>11.8</v>
      </c>
      <c r="C360" s="126">
        <f>'Studio Rain System'!J372</f>
        <v>20.2</v>
      </c>
      <c r="D360" s="104">
        <f>'Studio Rain System'!K372</f>
        <v>22.22</v>
      </c>
      <c r="E360" s="104">
        <f>'Studio Rain System'!L372</f>
        <v>20</v>
      </c>
      <c r="F360" s="104">
        <f>'Studio Rain System'!M372</f>
        <v>0.745</v>
      </c>
      <c r="G360" s="177">
        <v>125600</v>
      </c>
      <c r="H360" s="178">
        <f t="shared" si="70"/>
        <v>3986902.8571428573</v>
      </c>
      <c r="I360" s="128">
        <f t="shared" si="74"/>
        <v>3.9869028571428573</v>
      </c>
      <c r="J360" s="193">
        <f>IF( 'Organized Input Output'!$AD$5= "y", $K$4*(D360*1000)/$K$3, 0)</f>
        <v>111100</v>
      </c>
      <c r="K360" s="43">
        <f t="shared" si="75"/>
        <v>111.1</v>
      </c>
      <c r="L360" s="43">
        <f t="shared" si="76"/>
        <v>222200000</v>
      </c>
      <c r="M360" s="180">
        <f t="shared" si="71"/>
        <v>222.2</v>
      </c>
      <c r="N360" s="43">
        <f t="shared" si="77"/>
        <v>1200</v>
      </c>
      <c r="O360" s="128">
        <f t="shared" si="72"/>
        <v>4.32</v>
      </c>
      <c r="P360" s="181">
        <f t="shared" si="78"/>
        <v>230.50690285714285</v>
      </c>
      <c r="Q360" s="209">
        <f>IF( 'Organized Input Output'!$AF$9 = "y", P360 / ($Q$3 * $Q$4), 0)</f>
        <v>0</v>
      </c>
      <c r="R360" s="209">
        <f t="shared" si="79"/>
        <v>0</v>
      </c>
      <c r="S360" s="43">
        <f>IF( 'Organized Input Output'!$AF$9 = "y", IF(R360= 0, 1, 0), 0)</f>
        <v>0</v>
      </c>
      <c r="T360" s="209">
        <f t="shared" si="81"/>
        <v>0</v>
      </c>
      <c r="U360" s="43">
        <f>IF( 'Organized Input Output'!$AF$9 = "y", IF(T360= 0, 1, 0), 0)</f>
        <v>0</v>
      </c>
      <c r="V360" s="43">
        <f t="shared" si="73"/>
        <v>0</v>
      </c>
      <c r="W360" s="43">
        <f t="shared" si="80"/>
        <v>0</v>
      </c>
      <c r="X360" s="43">
        <f t="shared" si="82"/>
        <v>0</v>
      </c>
      <c r="Y360" s="43">
        <f t="shared" si="83"/>
        <v>0</v>
      </c>
    </row>
    <row r="361" spans="1:25" ht="15" customHeight="1">
      <c r="A361" s="43">
        <v>351</v>
      </c>
      <c r="B361" s="176">
        <v>4.5999999999999996</v>
      </c>
      <c r="C361" s="126">
        <f>'Studio Rain System'!J373</f>
        <v>0.8</v>
      </c>
      <c r="D361" s="104">
        <f>'Studio Rain System'!K373</f>
        <v>0.88</v>
      </c>
      <c r="E361" s="104">
        <f>'Studio Rain System'!L373</f>
        <v>20</v>
      </c>
      <c r="F361" s="104">
        <f>'Studio Rain System'!M373</f>
        <v>0.745</v>
      </c>
      <c r="G361" s="177">
        <v>125600</v>
      </c>
      <c r="H361" s="178">
        <f t="shared" si="70"/>
        <v>157897.14285714287</v>
      </c>
      <c r="I361" s="128">
        <f t="shared" si="74"/>
        <v>0.15789714285714287</v>
      </c>
      <c r="J361" s="193">
        <f>IF( 'Organized Input Output'!$AD$5= "y", $K$4*(D361*1000)/$K$3, 0)</f>
        <v>4400</v>
      </c>
      <c r="K361" s="43">
        <f t="shared" si="75"/>
        <v>4.4000000000000004</v>
      </c>
      <c r="L361" s="43">
        <f t="shared" si="76"/>
        <v>8800000</v>
      </c>
      <c r="M361" s="180">
        <f t="shared" si="71"/>
        <v>8.8000000000000007</v>
      </c>
      <c r="N361" s="43">
        <f t="shared" si="77"/>
        <v>1200</v>
      </c>
      <c r="O361" s="128">
        <f t="shared" si="72"/>
        <v>4.32</v>
      </c>
      <c r="P361" s="181">
        <f t="shared" si="78"/>
        <v>13.277897142857144</v>
      </c>
      <c r="Q361" s="209">
        <f>IF( 'Organized Input Output'!$AF$9 = "y", P361 / ($Q$3 * $Q$4), 0)</f>
        <v>0</v>
      </c>
      <c r="R361" s="209">
        <f t="shared" si="79"/>
        <v>0</v>
      </c>
      <c r="S361" s="43">
        <f>IF( 'Organized Input Output'!$AF$9 = "y", IF(R361= 0, 1, 0), 0)</f>
        <v>0</v>
      </c>
      <c r="T361" s="209">
        <f t="shared" si="81"/>
        <v>0</v>
      </c>
      <c r="U361" s="43">
        <f>IF( 'Organized Input Output'!$AF$9 = "y", IF(T361= 0, 1, 0), 0)</f>
        <v>0</v>
      </c>
      <c r="V361" s="43">
        <f t="shared" si="73"/>
        <v>0</v>
      </c>
      <c r="W361" s="43">
        <f t="shared" si="80"/>
        <v>0</v>
      </c>
      <c r="X361" s="43">
        <f t="shared" si="82"/>
        <v>0</v>
      </c>
      <c r="Y361" s="43">
        <f t="shared" si="83"/>
        <v>0</v>
      </c>
    </row>
    <row r="362" spans="1:25" ht="15" customHeight="1">
      <c r="A362" s="43">
        <v>352</v>
      </c>
      <c r="B362" s="176">
        <v>0</v>
      </c>
      <c r="C362" s="126">
        <f>'Studio Rain System'!J374</f>
        <v>24.6</v>
      </c>
      <c r="D362" s="104">
        <f>'Studio Rain System'!K374</f>
        <v>27.06</v>
      </c>
      <c r="E362" s="104">
        <f>'Studio Rain System'!L374</f>
        <v>20</v>
      </c>
      <c r="F362" s="104">
        <f>'Studio Rain System'!M374</f>
        <v>0.745</v>
      </c>
      <c r="G362" s="177">
        <v>125600</v>
      </c>
      <c r="H362" s="178">
        <f t="shared" si="70"/>
        <v>4855337.1428571427</v>
      </c>
      <c r="I362" s="128">
        <f t="shared" si="74"/>
        <v>4.8553371428571426</v>
      </c>
      <c r="J362" s="193">
        <f>IF( 'Organized Input Output'!$AD$5= "y", $K$4*(D362*1000)/$K$3, 0)</f>
        <v>135300</v>
      </c>
      <c r="K362" s="43">
        <f t="shared" si="75"/>
        <v>135.30000000000001</v>
      </c>
      <c r="L362" s="43">
        <f t="shared" si="76"/>
        <v>270600000</v>
      </c>
      <c r="M362" s="180">
        <f t="shared" si="71"/>
        <v>270.60000000000002</v>
      </c>
      <c r="N362" s="43">
        <f t="shared" si="77"/>
        <v>1200</v>
      </c>
      <c r="O362" s="128">
        <f t="shared" si="72"/>
        <v>4.32</v>
      </c>
      <c r="P362" s="181">
        <f t="shared" si="78"/>
        <v>279.77533714285715</v>
      </c>
      <c r="Q362" s="209">
        <f>IF( 'Organized Input Output'!$AF$9 = "y", P362 / ($Q$3 * $Q$4), 0)</f>
        <v>0</v>
      </c>
      <c r="R362" s="209">
        <f t="shared" si="79"/>
        <v>0</v>
      </c>
      <c r="S362" s="43">
        <f>IF( 'Organized Input Output'!$AF$9 = "y", IF(R362= 0, 1, 0), 0)</f>
        <v>0</v>
      </c>
      <c r="T362" s="209">
        <f t="shared" si="81"/>
        <v>0</v>
      </c>
      <c r="U362" s="43">
        <f>IF( 'Organized Input Output'!$AF$9 = "y", IF(T362= 0, 1, 0), 0)</f>
        <v>0</v>
      </c>
      <c r="V362" s="43">
        <f t="shared" si="73"/>
        <v>0</v>
      </c>
      <c r="W362" s="43">
        <f t="shared" si="80"/>
        <v>0</v>
      </c>
      <c r="X362" s="43">
        <f t="shared" si="82"/>
        <v>0</v>
      </c>
      <c r="Y362" s="43">
        <f t="shared" si="83"/>
        <v>0</v>
      </c>
    </row>
    <row r="363" spans="1:25" ht="15" customHeight="1">
      <c r="A363" s="43">
        <v>353</v>
      </c>
      <c r="B363" s="176">
        <v>0</v>
      </c>
      <c r="C363" s="126">
        <f>'Studio Rain System'!J375</f>
        <v>0</v>
      </c>
      <c r="D363" s="104">
        <f>'Studio Rain System'!K375</f>
        <v>0</v>
      </c>
      <c r="E363" s="104">
        <f>'Studio Rain System'!L375</f>
        <v>19.254999999999999</v>
      </c>
      <c r="F363" s="104">
        <f>'Studio Rain System'!M375</f>
        <v>0.745</v>
      </c>
      <c r="G363" s="177">
        <v>125600</v>
      </c>
      <c r="H363" s="178">
        <f t="shared" si="70"/>
        <v>0</v>
      </c>
      <c r="I363" s="128">
        <f t="shared" si="74"/>
        <v>0</v>
      </c>
      <c r="J363" s="193">
        <f>IF( 'Organized Input Output'!$AD$5= "y", $K$4*(D363*1000)/$K$3, 0)</f>
        <v>0</v>
      </c>
      <c r="K363" s="43">
        <f t="shared" si="75"/>
        <v>0</v>
      </c>
      <c r="L363" s="43">
        <f t="shared" si="76"/>
        <v>0</v>
      </c>
      <c r="M363" s="180">
        <f t="shared" si="71"/>
        <v>0</v>
      </c>
      <c r="N363" s="43">
        <f t="shared" si="77"/>
        <v>1200</v>
      </c>
      <c r="O363" s="128">
        <f t="shared" si="72"/>
        <v>4.32</v>
      </c>
      <c r="P363" s="181">
        <f t="shared" si="78"/>
        <v>4.32</v>
      </c>
      <c r="Q363" s="209">
        <f>IF( 'Organized Input Output'!$AF$9 = "y", P363 / ($Q$3 * $Q$4), 0)</f>
        <v>0</v>
      </c>
      <c r="R363" s="209">
        <f t="shared" si="79"/>
        <v>0</v>
      </c>
      <c r="S363" s="43">
        <f>IF( 'Organized Input Output'!$AF$9 = "y", IF(R363= 0, 1, 0), 0)</f>
        <v>0</v>
      </c>
      <c r="T363" s="209">
        <f t="shared" si="81"/>
        <v>0</v>
      </c>
      <c r="U363" s="43">
        <f>IF( 'Organized Input Output'!$AF$9 = "y", IF(T363= 0, 1, 0), 0)</f>
        <v>0</v>
      </c>
      <c r="V363" s="43">
        <f t="shared" si="73"/>
        <v>0</v>
      </c>
      <c r="W363" s="43">
        <f t="shared" si="80"/>
        <v>0</v>
      </c>
      <c r="X363" s="43">
        <f t="shared" si="82"/>
        <v>0</v>
      </c>
      <c r="Y363" s="43">
        <f t="shared" si="83"/>
        <v>0</v>
      </c>
    </row>
    <row r="364" spans="1:25" ht="15" customHeight="1">
      <c r="A364" s="43">
        <v>354</v>
      </c>
      <c r="B364" s="176">
        <v>3.8</v>
      </c>
      <c r="C364" s="126">
        <f>'Studio Rain System'!J376</f>
        <v>0</v>
      </c>
      <c r="D364" s="104">
        <f>'Studio Rain System'!K376</f>
        <v>0</v>
      </c>
      <c r="E364" s="104">
        <f>'Studio Rain System'!L376</f>
        <v>18.509999999999998</v>
      </c>
      <c r="F364" s="104">
        <f>'Studio Rain System'!M376</f>
        <v>0.745</v>
      </c>
      <c r="G364" s="177">
        <v>125600</v>
      </c>
      <c r="H364" s="178">
        <f t="shared" si="70"/>
        <v>0</v>
      </c>
      <c r="I364" s="128">
        <f t="shared" si="74"/>
        <v>0</v>
      </c>
      <c r="J364" s="193">
        <f>IF( 'Organized Input Output'!$AD$5= "y", $K$4*(D364*1000)/$K$3, 0)</f>
        <v>0</v>
      </c>
      <c r="K364" s="43">
        <f t="shared" si="75"/>
        <v>0</v>
      </c>
      <c r="L364" s="43">
        <f t="shared" si="76"/>
        <v>0</v>
      </c>
      <c r="M364" s="180">
        <f t="shared" si="71"/>
        <v>0</v>
      </c>
      <c r="N364" s="43">
        <f t="shared" si="77"/>
        <v>1200</v>
      </c>
      <c r="O364" s="128">
        <f t="shared" si="72"/>
        <v>4.32</v>
      </c>
      <c r="P364" s="181">
        <f t="shared" si="78"/>
        <v>4.32</v>
      </c>
      <c r="Q364" s="209">
        <f>IF( 'Organized Input Output'!$AF$9 = "y", P364 / ($Q$3 * $Q$4), 0)</f>
        <v>0</v>
      </c>
      <c r="R364" s="209">
        <f t="shared" si="79"/>
        <v>0</v>
      </c>
      <c r="S364" s="43">
        <f>IF( 'Organized Input Output'!$AF$9 = "y", IF(R364= 0, 1, 0), 0)</f>
        <v>0</v>
      </c>
      <c r="T364" s="209">
        <f t="shared" si="81"/>
        <v>0</v>
      </c>
      <c r="U364" s="43">
        <f>IF( 'Organized Input Output'!$AF$9 = "y", IF(T364= 0, 1, 0), 0)</f>
        <v>0</v>
      </c>
      <c r="V364" s="43">
        <f t="shared" si="73"/>
        <v>0</v>
      </c>
      <c r="W364" s="43">
        <f t="shared" si="80"/>
        <v>0</v>
      </c>
      <c r="X364" s="43">
        <f t="shared" si="82"/>
        <v>0</v>
      </c>
      <c r="Y364" s="43">
        <f t="shared" si="83"/>
        <v>0</v>
      </c>
    </row>
    <row r="365" spans="1:25" ht="15" customHeight="1">
      <c r="A365" s="43">
        <v>355</v>
      </c>
      <c r="B365" s="176">
        <v>7.6</v>
      </c>
      <c r="C365" s="126">
        <f>'Studio Rain System'!J377</f>
        <v>8.8000000000000007</v>
      </c>
      <c r="D365" s="104">
        <f>'Studio Rain System'!K377</f>
        <v>9.68</v>
      </c>
      <c r="E365" s="104">
        <f>'Studio Rain System'!L377</f>
        <v>20</v>
      </c>
      <c r="F365" s="104">
        <f>'Studio Rain System'!M377</f>
        <v>0.745</v>
      </c>
      <c r="G365" s="177">
        <v>125600</v>
      </c>
      <c r="H365" s="178">
        <f t="shared" si="70"/>
        <v>1736868.5714285716</v>
      </c>
      <c r="I365" s="128">
        <f t="shared" si="74"/>
        <v>1.7368685714285717</v>
      </c>
      <c r="J365" s="193">
        <f>IF( 'Organized Input Output'!$AD$5= "y", $K$4*(D365*1000)/$K$3, 0)</f>
        <v>48400</v>
      </c>
      <c r="K365" s="43">
        <f t="shared" si="75"/>
        <v>48.4</v>
      </c>
      <c r="L365" s="43">
        <f t="shared" si="76"/>
        <v>96800000</v>
      </c>
      <c r="M365" s="180">
        <f t="shared" si="71"/>
        <v>96.8</v>
      </c>
      <c r="N365" s="43">
        <f t="shared" si="77"/>
        <v>1200</v>
      </c>
      <c r="O365" s="128">
        <f t="shared" si="72"/>
        <v>4.32</v>
      </c>
      <c r="P365" s="181">
        <f t="shared" si="78"/>
        <v>102.85686857142858</v>
      </c>
      <c r="Q365" s="209">
        <f>IF( 'Organized Input Output'!$AF$9 = "y", P365 / ($Q$3 * $Q$4), 0)</f>
        <v>0</v>
      </c>
      <c r="R365" s="209">
        <f t="shared" si="79"/>
        <v>0</v>
      </c>
      <c r="S365" s="43">
        <f>IF( 'Organized Input Output'!$AF$9 = "y", IF(R365= 0, 1, 0), 0)</f>
        <v>0</v>
      </c>
      <c r="T365" s="209">
        <f t="shared" si="81"/>
        <v>0</v>
      </c>
      <c r="U365" s="43">
        <f>IF( 'Organized Input Output'!$AF$9 = "y", IF(T365= 0, 1, 0), 0)</f>
        <v>0</v>
      </c>
      <c r="V365" s="43">
        <f t="shared" si="73"/>
        <v>0</v>
      </c>
      <c r="W365" s="43">
        <f t="shared" si="80"/>
        <v>0</v>
      </c>
      <c r="X365" s="43">
        <f t="shared" si="82"/>
        <v>0</v>
      </c>
      <c r="Y365" s="43">
        <f t="shared" si="83"/>
        <v>0</v>
      </c>
    </row>
    <row r="366" spans="1:25" ht="15" customHeight="1">
      <c r="A366" s="43">
        <v>356</v>
      </c>
      <c r="B366" s="176">
        <v>20.6</v>
      </c>
      <c r="C366" s="126">
        <f>'Studio Rain System'!J378</f>
        <v>11.6</v>
      </c>
      <c r="D366" s="104">
        <f>'Studio Rain System'!K378</f>
        <v>12.76</v>
      </c>
      <c r="E366" s="104">
        <f>'Studio Rain System'!L378</f>
        <v>20</v>
      </c>
      <c r="F366" s="104">
        <f>'Studio Rain System'!M378</f>
        <v>0.745</v>
      </c>
      <c r="G366" s="177">
        <v>125600</v>
      </c>
      <c r="H366" s="178">
        <f t="shared" si="70"/>
        <v>2289508.5714285714</v>
      </c>
      <c r="I366" s="128">
        <f t="shared" si="74"/>
        <v>2.2895085714285712</v>
      </c>
      <c r="J366" s="193">
        <f>IF( 'Organized Input Output'!$AD$5= "y", $K$4*(D366*1000)/$K$3, 0)</f>
        <v>63800</v>
      </c>
      <c r="K366" s="43">
        <f t="shared" si="75"/>
        <v>63.8</v>
      </c>
      <c r="L366" s="43">
        <f t="shared" si="76"/>
        <v>127600000</v>
      </c>
      <c r="M366" s="180">
        <f t="shared" si="71"/>
        <v>127.6</v>
      </c>
      <c r="N366" s="43">
        <f t="shared" si="77"/>
        <v>1200</v>
      </c>
      <c r="O366" s="128">
        <f t="shared" si="72"/>
        <v>4.32</v>
      </c>
      <c r="P366" s="181">
        <f t="shared" si="78"/>
        <v>134.20950857142856</v>
      </c>
      <c r="Q366" s="209">
        <f>IF( 'Organized Input Output'!$AF$9 = "y", P366 / ($Q$3 * $Q$4), 0)</f>
        <v>0</v>
      </c>
      <c r="R366" s="209">
        <f t="shared" si="79"/>
        <v>0</v>
      </c>
      <c r="S366" s="43">
        <f>IF( 'Organized Input Output'!$AF$9 = "y", IF(R366= 0, 1, 0), 0)</f>
        <v>0</v>
      </c>
      <c r="T366" s="209">
        <f t="shared" si="81"/>
        <v>0</v>
      </c>
      <c r="U366" s="43">
        <f>IF( 'Organized Input Output'!$AF$9 = "y", IF(T366= 0, 1, 0), 0)</f>
        <v>0</v>
      </c>
      <c r="V366" s="43">
        <f t="shared" si="73"/>
        <v>0</v>
      </c>
      <c r="W366" s="43">
        <f t="shared" si="80"/>
        <v>0</v>
      </c>
      <c r="X366" s="43">
        <f t="shared" si="82"/>
        <v>0</v>
      </c>
      <c r="Y366" s="43">
        <f t="shared" si="83"/>
        <v>0</v>
      </c>
    </row>
    <row r="367" spans="1:25" ht="15" customHeight="1">
      <c r="A367" s="43">
        <v>357</v>
      </c>
      <c r="B367" s="176">
        <v>1.4</v>
      </c>
      <c r="C367" s="126">
        <f>'Studio Rain System'!J379</f>
        <v>10</v>
      </c>
      <c r="D367" s="104">
        <f>'Studio Rain System'!K379</f>
        <v>11</v>
      </c>
      <c r="E367" s="104">
        <f>'Studio Rain System'!L379</f>
        <v>20</v>
      </c>
      <c r="F367" s="104">
        <f>'Studio Rain System'!M379</f>
        <v>0.745</v>
      </c>
      <c r="G367" s="177">
        <v>125600</v>
      </c>
      <c r="H367" s="178">
        <f t="shared" si="70"/>
        <v>1973714.2857142859</v>
      </c>
      <c r="I367" s="128">
        <f t="shared" si="74"/>
        <v>1.973714285714286</v>
      </c>
      <c r="J367" s="193">
        <f>IF( 'Organized Input Output'!$AD$5= "y", $K$4*(D367*1000)/$K$3, 0)</f>
        <v>55000</v>
      </c>
      <c r="K367" s="43">
        <f t="shared" si="75"/>
        <v>55</v>
      </c>
      <c r="L367" s="43">
        <f t="shared" si="76"/>
        <v>110000000</v>
      </c>
      <c r="M367" s="180">
        <f t="shared" si="71"/>
        <v>110</v>
      </c>
      <c r="N367" s="43">
        <f t="shared" si="77"/>
        <v>1200</v>
      </c>
      <c r="O367" s="128">
        <f t="shared" si="72"/>
        <v>4.32</v>
      </c>
      <c r="P367" s="181">
        <f t="shared" si="78"/>
        <v>116.29371428571429</v>
      </c>
      <c r="Q367" s="209">
        <f>IF( 'Organized Input Output'!$AF$9 = "y", P367 / ($Q$3 * $Q$4), 0)</f>
        <v>0</v>
      </c>
      <c r="R367" s="209">
        <f t="shared" si="79"/>
        <v>0</v>
      </c>
      <c r="S367" s="43">
        <f>IF( 'Organized Input Output'!$AF$9 = "y", IF(R367= 0, 1, 0), 0)</f>
        <v>0</v>
      </c>
      <c r="T367" s="209">
        <f t="shared" si="81"/>
        <v>0</v>
      </c>
      <c r="U367" s="43">
        <f>IF( 'Organized Input Output'!$AF$9 = "y", IF(T367= 0, 1, 0), 0)</f>
        <v>0</v>
      </c>
      <c r="V367" s="43">
        <f t="shared" si="73"/>
        <v>0</v>
      </c>
      <c r="W367" s="43">
        <f t="shared" si="80"/>
        <v>0</v>
      </c>
      <c r="X367" s="43">
        <f t="shared" si="82"/>
        <v>0</v>
      </c>
      <c r="Y367" s="43">
        <f t="shared" si="83"/>
        <v>0</v>
      </c>
    </row>
    <row r="368" spans="1:25" ht="15" customHeight="1">
      <c r="A368" s="43">
        <v>358</v>
      </c>
      <c r="B368" s="176">
        <v>3.8</v>
      </c>
      <c r="C368" s="126">
        <f>'Studio Rain System'!J380</f>
        <v>2.2000000000000002</v>
      </c>
      <c r="D368" s="104">
        <f>'Studio Rain System'!K380</f>
        <v>2.42</v>
      </c>
      <c r="E368" s="104">
        <f>'Studio Rain System'!L380</f>
        <v>20</v>
      </c>
      <c r="F368" s="104">
        <f>'Studio Rain System'!M380</f>
        <v>0.745</v>
      </c>
      <c r="G368" s="177">
        <v>125600</v>
      </c>
      <c r="H368" s="178">
        <f t="shared" si="70"/>
        <v>434217.1428571429</v>
      </c>
      <c r="I368" s="128">
        <f t="shared" si="74"/>
        <v>0.43421714285714291</v>
      </c>
      <c r="J368" s="193">
        <f>IF( 'Organized Input Output'!$AD$5= "y", $K$4*(D368*1000)/$K$3, 0)</f>
        <v>12100</v>
      </c>
      <c r="K368" s="43">
        <f t="shared" si="75"/>
        <v>12.1</v>
      </c>
      <c r="L368" s="43">
        <f t="shared" si="76"/>
        <v>24200000</v>
      </c>
      <c r="M368" s="180">
        <f t="shared" si="71"/>
        <v>24.2</v>
      </c>
      <c r="N368" s="43">
        <f t="shared" si="77"/>
        <v>1200</v>
      </c>
      <c r="O368" s="128">
        <f t="shared" si="72"/>
        <v>4.32</v>
      </c>
      <c r="P368" s="181">
        <f t="shared" si="78"/>
        <v>28.954217142857143</v>
      </c>
      <c r="Q368" s="209">
        <f>IF( 'Organized Input Output'!$AF$9 = "y", P368 / ($Q$3 * $Q$4), 0)</f>
        <v>0</v>
      </c>
      <c r="R368" s="209">
        <f t="shared" si="79"/>
        <v>0</v>
      </c>
      <c r="S368" s="43">
        <f>IF( 'Organized Input Output'!$AF$9 = "y", IF(R368= 0, 1, 0), 0)</f>
        <v>0</v>
      </c>
      <c r="T368" s="209">
        <f t="shared" si="81"/>
        <v>0</v>
      </c>
      <c r="U368" s="43">
        <f>IF( 'Organized Input Output'!$AF$9 = "y", IF(T368= 0, 1, 0), 0)</f>
        <v>0</v>
      </c>
      <c r="V368" s="43">
        <f t="shared" si="73"/>
        <v>0</v>
      </c>
      <c r="W368" s="43">
        <f t="shared" si="80"/>
        <v>0</v>
      </c>
      <c r="X368" s="43">
        <f t="shared" si="82"/>
        <v>0</v>
      </c>
      <c r="Y368" s="43">
        <f t="shared" si="83"/>
        <v>0</v>
      </c>
    </row>
    <row r="369" spans="1:25" ht="15" customHeight="1">
      <c r="A369" s="43">
        <v>359</v>
      </c>
      <c r="B369" s="176">
        <v>25.6</v>
      </c>
      <c r="C369" s="126">
        <f>'Studio Rain System'!J381</f>
        <v>0.6</v>
      </c>
      <c r="D369" s="104">
        <f>'Studio Rain System'!K381</f>
        <v>0.65999999999999992</v>
      </c>
      <c r="E369" s="104">
        <f>'Studio Rain System'!L381</f>
        <v>19.914999999999999</v>
      </c>
      <c r="F369" s="104">
        <f>'Studio Rain System'!M381</f>
        <v>0.745</v>
      </c>
      <c r="G369" s="177">
        <v>125600</v>
      </c>
      <c r="H369" s="178">
        <f t="shared" si="70"/>
        <v>118422.85714285713</v>
      </c>
      <c r="I369" s="128">
        <f t="shared" si="74"/>
        <v>0.11842285714285714</v>
      </c>
      <c r="J369" s="193">
        <f>IF( 'Organized Input Output'!$AD$5= "y", $K$4*(D369*1000)/$K$3, 0)</f>
        <v>3299.9999999999991</v>
      </c>
      <c r="K369" s="43">
        <f t="shared" si="75"/>
        <v>3.2999999999999989</v>
      </c>
      <c r="L369" s="43">
        <f t="shared" si="76"/>
        <v>6599999.9999999981</v>
      </c>
      <c r="M369" s="180">
        <f t="shared" si="71"/>
        <v>6.5999999999999979</v>
      </c>
      <c r="N369" s="43">
        <f t="shared" si="77"/>
        <v>1200</v>
      </c>
      <c r="O369" s="128">
        <f t="shared" si="72"/>
        <v>4.32</v>
      </c>
      <c r="P369" s="181">
        <f t="shared" si="78"/>
        <v>11.038422857142855</v>
      </c>
      <c r="Q369" s="209">
        <f>IF( 'Organized Input Output'!$AF$9 = "y", P369 / ($Q$3 * $Q$4), 0)</f>
        <v>0</v>
      </c>
      <c r="R369" s="209">
        <f t="shared" si="79"/>
        <v>0</v>
      </c>
      <c r="S369" s="43">
        <f>IF( 'Organized Input Output'!$AF$9 = "y", IF(R369= 0, 1, 0), 0)</f>
        <v>0</v>
      </c>
      <c r="T369" s="209">
        <f t="shared" si="81"/>
        <v>0</v>
      </c>
      <c r="U369" s="43">
        <f>IF( 'Organized Input Output'!$AF$9 = "y", IF(T369= 0, 1, 0), 0)</f>
        <v>0</v>
      </c>
      <c r="V369" s="43">
        <f t="shared" si="73"/>
        <v>0</v>
      </c>
      <c r="W369" s="43">
        <f t="shared" si="80"/>
        <v>0</v>
      </c>
      <c r="X369" s="43">
        <f t="shared" si="82"/>
        <v>0</v>
      </c>
      <c r="Y369" s="43">
        <f t="shared" si="83"/>
        <v>0</v>
      </c>
    </row>
    <row r="370" spans="1:25" ht="15" customHeight="1">
      <c r="A370" s="43">
        <v>360</v>
      </c>
      <c r="B370" s="176">
        <v>24.8</v>
      </c>
      <c r="C370" s="126">
        <f>'Studio Rain System'!J382</f>
        <v>10.199999999999999</v>
      </c>
      <c r="D370" s="104">
        <f>'Studio Rain System'!K382</f>
        <v>11.219999999999999</v>
      </c>
      <c r="E370" s="104">
        <f>'Studio Rain System'!L382</f>
        <v>20</v>
      </c>
      <c r="F370" s="104">
        <f>'Studio Rain System'!M382</f>
        <v>0.745</v>
      </c>
      <c r="G370" s="177">
        <v>125600</v>
      </c>
      <c r="H370" s="178">
        <f t="shared" si="70"/>
        <v>2013188.5714285711</v>
      </c>
      <c r="I370" s="128">
        <f t="shared" si="74"/>
        <v>2.0131885714285711</v>
      </c>
      <c r="J370" s="193">
        <f>IF( 'Organized Input Output'!$AD$5= "y", $K$4*(D370*1000)/$K$3, 0)</f>
        <v>56099.999999999985</v>
      </c>
      <c r="K370" s="43">
        <f t="shared" si="75"/>
        <v>56.099999999999987</v>
      </c>
      <c r="L370" s="43">
        <f t="shared" si="76"/>
        <v>112199999.99999997</v>
      </c>
      <c r="M370" s="180">
        <f t="shared" si="71"/>
        <v>112.19999999999997</v>
      </c>
      <c r="N370" s="43">
        <f t="shared" si="77"/>
        <v>1200</v>
      </c>
      <c r="O370" s="128">
        <f t="shared" si="72"/>
        <v>4.32</v>
      </c>
      <c r="P370" s="181">
        <f t="shared" si="78"/>
        <v>118.53318857142855</v>
      </c>
      <c r="Q370" s="209">
        <f>IF( 'Organized Input Output'!$AF$9 = "y", P370 / ($Q$3 * $Q$4), 0)</f>
        <v>0</v>
      </c>
      <c r="R370" s="209">
        <f t="shared" si="79"/>
        <v>0</v>
      </c>
      <c r="S370" s="43">
        <f>IF( 'Organized Input Output'!$AF$9 = "y", IF(R370= 0, 1, 0), 0)</f>
        <v>0</v>
      </c>
      <c r="T370" s="209">
        <f t="shared" si="81"/>
        <v>0</v>
      </c>
      <c r="U370" s="43">
        <f>IF( 'Organized Input Output'!$AF$9 = "y", IF(T370= 0, 1, 0), 0)</f>
        <v>0</v>
      </c>
      <c r="V370" s="43">
        <f t="shared" si="73"/>
        <v>0</v>
      </c>
      <c r="W370" s="43">
        <f t="shared" si="80"/>
        <v>0</v>
      </c>
      <c r="X370" s="43">
        <f t="shared" si="82"/>
        <v>0</v>
      </c>
      <c r="Y370" s="43">
        <f t="shared" si="83"/>
        <v>0</v>
      </c>
    </row>
    <row r="371" spans="1:25" ht="15" customHeight="1">
      <c r="A371" s="43">
        <v>361</v>
      </c>
      <c r="B371" s="176">
        <v>2.2000000000000002</v>
      </c>
      <c r="C371" s="126">
        <f>'Studio Rain System'!J383</f>
        <v>5.4</v>
      </c>
      <c r="D371" s="104">
        <f>'Studio Rain System'!K383</f>
        <v>5.94</v>
      </c>
      <c r="E371" s="104">
        <f>'Studio Rain System'!L383</f>
        <v>20</v>
      </c>
      <c r="F371" s="104">
        <f>'Studio Rain System'!M383</f>
        <v>0.745</v>
      </c>
      <c r="G371" s="177">
        <v>125600</v>
      </c>
      <c r="H371" s="178">
        <f t="shared" si="70"/>
        <v>1065805.7142857143</v>
      </c>
      <c r="I371" s="128">
        <f t="shared" si="74"/>
        <v>1.0658057142857142</v>
      </c>
      <c r="J371" s="193">
        <f>IF( 'Organized Input Output'!$AD$5= "y", $K$4*(D371*1000)/$K$3, 0)</f>
        <v>29700</v>
      </c>
      <c r="K371" s="43">
        <f t="shared" si="75"/>
        <v>29.7</v>
      </c>
      <c r="L371" s="43">
        <f t="shared" si="76"/>
        <v>59400000</v>
      </c>
      <c r="M371" s="180">
        <f t="shared" si="71"/>
        <v>59.4</v>
      </c>
      <c r="N371" s="43">
        <f t="shared" si="77"/>
        <v>1200</v>
      </c>
      <c r="O371" s="128">
        <f t="shared" si="72"/>
        <v>4.32</v>
      </c>
      <c r="P371" s="181">
        <f t="shared" si="78"/>
        <v>64.785805714285715</v>
      </c>
      <c r="Q371" s="209">
        <f>IF( 'Organized Input Output'!$AF$9 = "y", P371 / ($Q$3 * $Q$4), 0)</f>
        <v>0</v>
      </c>
      <c r="R371" s="209">
        <f t="shared" si="79"/>
        <v>0</v>
      </c>
      <c r="S371" s="43">
        <f>IF( 'Organized Input Output'!$AF$9 = "y", IF(R371= 0, 1, 0), 0)</f>
        <v>0</v>
      </c>
      <c r="T371" s="209">
        <f t="shared" si="81"/>
        <v>0</v>
      </c>
      <c r="U371" s="43">
        <f>IF( 'Organized Input Output'!$AF$9 = "y", IF(T371= 0, 1, 0), 0)</f>
        <v>0</v>
      </c>
      <c r="V371" s="43">
        <f t="shared" si="73"/>
        <v>0</v>
      </c>
      <c r="W371" s="43">
        <f t="shared" si="80"/>
        <v>0</v>
      </c>
      <c r="X371" s="43">
        <f t="shared" si="82"/>
        <v>0</v>
      </c>
      <c r="Y371" s="43">
        <f t="shared" si="83"/>
        <v>0</v>
      </c>
    </row>
    <row r="372" spans="1:25" ht="15" customHeight="1">
      <c r="A372" s="43">
        <v>362</v>
      </c>
      <c r="B372" s="176">
        <v>21.8</v>
      </c>
      <c r="C372" s="126">
        <f>'Studio Rain System'!J384</f>
        <v>0</v>
      </c>
      <c r="D372" s="104">
        <f>'Studio Rain System'!K384</f>
        <v>0</v>
      </c>
      <c r="E372" s="104">
        <f>'Studio Rain System'!L384</f>
        <v>19.254999999999999</v>
      </c>
      <c r="F372" s="104">
        <f>'Studio Rain System'!M384</f>
        <v>0.745</v>
      </c>
      <c r="G372" s="177">
        <v>125600</v>
      </c>
      <c r="H372" s="178">
        <f t="shared" si="70"/>
        <v>0</v>
      </c>
      <c r="I372" s="128">
        <f t="shared" si="74"/>
        <v>0</v>
      </c>
      <c r="J372" s="193">
        <f>IF( 'Organized Input Output'!$AD$5= "y", $K$4*(D372*1000)/$K$3, 0)</f>
        <v>0</v>
      </c>
      <c r="K372" s="43">
        <f t="shared" si="75"/>
        <v>0</v>
      </c>
      <c r="L372" s="43">
        <f t="shared" si="76"/>
        <v>0</v>
      </c>
      <c r="M372" s="180">
        <f t="shared" si="71"/>
        <v>0</v>
      </c>
      <c r="N372" s="43">
        <f t="shared" si="77"/>
        <v>1200</v>
      </c>
      <c r="O372" s="128">
        <f t="shared" si="72"/>
        <v>4.32</v>
      </c>
      <c r="P372" s="181">
        <f t="shared" si="78"/>
        <v>4.32</v>
      </c>
      <c r="Q372" s="209">
        <f>IF( 'Organized Input Output'!$AF$9 = "y", P372 / ($Q$3 * $Q$4), 0)</f>
        <v>0</v>
      </c>
      <c r="R372" s="209">
        <f t="shared" si="79"/>
        <v>0</v>
      </c>
      <c r="S372" s="43">
        <f>IF( 'Organized Input Output'!$AF$9 = "y", IF(R372= 0, 1, 0), 0)</f>
        <v>0</v>
      </c>
      <c r="T372" s="209">
        <f t="shared" si="81"/>
        <v>0</v>
      </c>
      <c r="U372" s="43">
        <f>IF( 'Organized Input Output'!$AF$9 = "y", IF(T372= 0, 1, 0), 0)</f>
        <v>0</v>
      </c>
      <c r="V372" s="43">
        <f t="shared" si="73"/>
        <v>0</v>
      </c>
      <c r="W372" s="43">
        <f t="shared" si="80"/>
        <v>0</v>
      </c>
      <c r="X372" s="43">
        <f t="shared" si="82"/>
        <v>0</v>
      </c>
      <c r="Y372" s="43">
        <f t="shared" si="83"/>
        <v>0</v>
      </c>
    </row>
    <row r="373" spans="1:25" ht="15" customHeight="1">
      <c r="A373" s="43">
        <v>363</v>
      </c>
      <c r="B373" s="176">
        <v>2.4</v>
      </c>
      <c r="C373" s="126">
        <f>'Studio Rain System'!J385</f>
        <v>0</v>
      </c>
      <c r="D373" s="104">
        <f>'Studio Rain System'!K385</f>
        <v>0</v>
      </c>
      <c r="E373" s="104">
        <f>'Studio Rain System'!L385</f>
        <v>18.509999999999998</v>
      </c>
      <c r="F373" s="104">
        <f>'Studio Rain System'!M385</f>
        <v>0.745</v>
      </c>
      <c r="G373" s="177">
        <v>125600</v>
      </c>
      <c r="H373" s="178">
        <f t="shared" si="70"/>
        <v>0</v>
      </c>
      <c r="I373" s="128">
        <f t="shared" si="74"/>
        <v>0</v>
      </c>
      <c r="J373" s="193">
        <f>IF( 'Organized Input Output'!$AD$5= "y", $K$4*(D373*1000)/$K$3, 0)</f>
        <v>0</v>
      </c>
      <c r="K373" s="43">
        <f t="shared" si="75"/>
        <v>0</v>
      </c>
      <c r="L373" s="43">
        <f t="shared" si="76"/>
        <v>0</v>
      </c>
      <c r="M373" s="180">
        <f t="shared" si="71"/>
        <v>0</v>
      </c>
      <c r="N373" s="43">
        <f t="shared" si="77"/>
        <v>1200</v>
      </c>
      <c r="O373" s="128">
        <f t="shared" si="72"/>
        <v>4.32</v>
      </c>
      <c r="P373" s="181">
        <f t="shared" si="78"/>
        <v>4.32</v>
      </c>
      <c r="Q373" s="209">
        <f>IF( 'Organized Input Output'!$AF$9 = "y", P373 / ($Q$3 * $Q$4), 0)</f>
        <v>0</v>
      </c>
      <c r="R373" s="209">
        <f t="shared" si="79"/>
        <v>0</v>
      </c>
      <c r="S373" s="43">
        <f>IF( 'Organized Input Output'!$AF$9 = "y", IF(R373= 0, 1, 0), 0)</f>
        <v>0</v>
      </c>
      <c r="T373" s="209">
        <f t="shared" si="81"/>
        <v>0</v>
      </c>
      <c r="U373" s="43">
        <f>IF( 'Organized Input Output'!$AF$9 = "y", IF(T373= 0, 1, 0), 0)</f>
        <v>0</v>
      </c>
      <c r="V373" s="43">
        <f t="shared" si="73"/>
        <v>0</v>
      </c>
      <c r="W373" s="43">
        <f t="shared" si="80"/>
        <v>0</v>
      </c>
      <c r="X373" s="43">
        <f t="shared" si="82"/>
        <v>0</v>
      </c>
      <c r="Y373" s="43">
        <f t="shared" si="83"/>
        <v>0</v>
      </c>
    </row>
    <row r="374" spans="1:25" ht="15" customHeight="1">
      <c r="A374" s="43">
        <v>364</v>
      </c>
      <c r="B374" s="176">
        <v>2.8</v>
      </c>
      <c r="C374" s="126">
        <f>'Studio Rain System'!J386</f>
        <v>0</v>
      </c>
      <c r="D374" s="104">
        <f>'Studio Rain System'!K386</f>
        <v>0</v>
      </c>
      <c r="E374" s="104">
        <f>'Studio Rain System'!L386</f>
        <v>17.764999999999997</v>
      </c>
      <c r="F374" s="104">
        <f>'Studio Rain System'!M386</f>
        <v>0.745</v>
      </c>
      <c r="G374" s="177">
        <v>125600</v>
      </c>
      <c r="H374" s="178">
        <f t="shared" si="70"/>
        <v>0</v>
      </c>
      <c r="I374" s="128">
        <f t="shared" si="74"/>
        <v>0</v>
      </c>
      <c r="J374" s="193">
        <f>IF( 'Organized Input Output'!$AD$5= "y", $K$4*(D374*1000)/$K$3, 0)</f>
        <v>0</v>
      </c>
      <c r="K374" s="43">
        <f t="shared" si="75"/>
        <v>0</v>
      </c>
      <c r="L374" s="43">
        <f t="shared" si="76"/>
        <v>0</v>
      </c>
      <c r="M374" s="180">
        <f t="shared" si="71"/>
        <v>0</v>
      </c>
      <c r="N374" s="43">
        <f t="shared" si="77"/>
        <v>1200</v>
      </c>
      <c r="O374" s="128">
        <f t="shared" si="72"/>
        <v>4.32</v>
      </c>
      <c r="P374" s="181">
        <f t="shared" si="78"/>
        <v>4.32</v>
      </c>
      <c r="Q374" s="209">
        <f>IF( 'Organized Input Output'!$AF$9 = "y", P374 / ($Q$3 * $Q$4), 0)</f>
        <v>0</v>
      </c>
      <c r="R374" s="209">
        <f t="shared" si="79"/>
        <v>0</v>
      </c>
      <c r="S374" s="43">
        <f>IF( 'Organized Input Output'!$AF$9 = "y", IF(R374= 0, 1, 0), 0)</f>
        <v>0</v>
      </c>
      <c r="T374" s="209">
        <f t="shared" si="81"/>
        <v>0</v>
      </c>
      <c r="U374" s="43">
        <f>IF( 'Organized Input Output'!$AF$9 = "y", IF(T374= 0, 1, 0), 0)</f>
        <v>0</v>
      </c>
      <c r="V374" s="43">
        <f t="shared" si="73"/>
        <v>0</v>
      </c>
      <c r="W374" s="43">
        <f t="shared" si="80"/>
        <v>0</v>
      </c>
      <c r="X374" s="43">
        <f t="shared" si="82"/>
        <v>0</v>
      </c>
      <c r="Y374" s="43">
        <f t="shared" si="83"/>
        <v>0</v>
      </c>
    </row>
    <row r="375" spans="1:25" ht="15" customHeight="1">
      <c r="A375" s="43">
        <v>365</v>
      </c>
      <c r="B375" s="176">
        <v>0.2</v>
      </c>
      <c r="C375" s="126">
        <f>'Studio Rain System'!J387</f>
        <v>0</v>
      </c>
      <c r="D375" s="104">
        <f>'Studio Rain System'!K387</f>
        <v>0</v>
      </c>
      <c r="E375" s="104">
        <f>'Studio Rain System'!L387</f>
        <v>17.019999999999996</v>
      </c>
      <c r="F375" s="104">
        <f>'Studio Rain System'!M387</f>
        <v>0.745</v>
      </c>
      <c r="G375" s="177">
        <v>125600</v>
      </c>
      <c r="H375" s="178">
        <f t="shared" si="70"/>
        <v>0</v>
      </c>
      <c r="I375" s="128">
        <f t="shared" si="74"/>
        <v>0</v>
      </c>
      <c r="J375" s="193">
        <f>IF( 'Organized Input Output'!$AD$5= "y", $K$4*(D375*1000)/$K$3, 0)</f>
        <v>0</v>
      </c>
      <c r="K375" s="43">
        <f t="shared" si="75"/>
        <v>0</v>
      </c>
      <c r="L375" s="43">
        <f t="shared" si="76"/>
        <v>0</v>
      </c>
      <c r="M375" s="180">
        <f t="shared" si="71"/>
        <v>0</v>
      </c>
      <c r="N375" s="43">
        <f t="shared" si="77"/>
        <v>1200</v>
      </c>
      <c r="O375" s="128">
        <f t="shared" si="72"/>
        <v>4.32</v>
      </c>
      <c r="P375" s="181">
        <f t="shared" si="78"/>
        <v>4.32</v>
      </c>
      <c r="Q375" s="209">
        <f>IF( 'Organized Input Output'!$AF$9 = "y", P375 / ($Q$3 * $Q$4), 0)</f>
        <v>0</v>
      </c>
      <c r="R375" s="209">
        <f t="shared" si="79"/>
        <v>0</v>
      </c>
      <c r="S375" s="43">
        <f>IF( 'Organized Input Output'!$AF$9 = "y", IF(R375= 0, 1, 0), 0)</f>
        <v>0</v>
      </c>
      <c r="T375" s="209">
        <f t="shared" si="81"/>
        <v>0</v>
      </c>
      <c r="U375" s="43">
        <f>IF( 'Organized Input Output'!$AF$9 = "y", IF(T375= 0, 1, 0), 0)</f>
        <v>0</v>
      </c>
      <c r="V375" s="43">
        <f t="shared" si="73"/>
        <v>0</v>
      </c>
      <c r="W375" s="43">
        <f t="shared" si="80"/>
        <v>0</v>
      </c>
      <c r="X375" s="43">
        <f t="shared" si="82"/>
        <v>0</v>
      </c>
      <c r="Y375" s="43">
        <f t="shared" si="83"/>
        <v>0</v>
      </c>
    </row>
    <row r="376" spans="1:25" ht="15" customHeight="1">
      <c r="B376" s="176"/>
      <c r="O376" s="128"/>
    </row>
    <row r="377" spans="1:25" ht="15" customHeight="1">
      <c r="B377" s="176"/>
    </row>
    <row r="378" spans="1:25" ht="15" customHeight="1">
      <c r="B378" s="176"/>
    </row>
    <row r="379" spans="1:25" ht="15" customHeight="1">
      <c r="B379" s="176"/>
    </row>
    <row r="380" spans="1:25" ht="15" customHeight="1">
      <c r="B380" s="176"/>
    </row>
    <row r="381" spans="1:25" ht="15" customHeight="1">
      <c r="B381" s="176"/>
    </row>
    <row r="382" spans="1:25" ht="15" customHeight="1">
      <c r="B382" s="176"/>
    </row>
    <row r="383" spans="1:25" ht="15" customHeight="1">
      <c r="B383" s="176"/>
    </row>
    <row r="384" spans="1:25" ht="15" customHeight="1">
      <c r="B384" s="176"/>
    </row>
    <row r="385" spans="2:2" ht="15" customHeight="1">
      <c r="B385" s="176"/>
    </row>
  </sheetData>
  <mergeCells count="4">
    <mergeCell ref="C9:C10"/>
    <mergeCell ref="D9:D10"/>
    <mergeCell ref="E9:E10"/>
    <mergeCell ref="F9:F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1DEB3-390F-4EFD-8D57-2546EA7BC227}">
  <dimension ref="B1:AM75"/>
  <sheetViews>
    <sheetView topLeftCell="A7" workbookViewId="0">
      <selection activeCell="I20" sqref="I20"/>
    </sheetView>
  </sheetViews>
  <sheetFormatPr defaultColWidth="9.140625" defaultRowHeight="15" customHeight="1"/>
  <cols>
    <col min="1" max="1" width="9.140625" style="43"/>
    <col min="2" max="2" width="10.28515625" style="43" customWidth="1"/>
    <col min="3" max="3" width="25" style="43" customWidth="1"/>
    <col min="4" max="4" width="13.7109375" style="43" customWidth="1"/>
    <col min="5" max="5" width="14.140625" style="43" customWidth="1"/>
    <col min="6" max="6" width="14.7109375" style="43" customWidth="1"/>
    <col min="7" max="7" width="15.28515625" style="43" customWidth="1"/>
    <col min="8" max="8" width="9.140625" style="43" bestFit="1" customWidth="1"/>
    <col min="9" max="9" width="10.42578125" style="43" customWidth="1"/>
    <col min="10" max="10" width="24.140625" style="43" customWidth="1"/>
    <col min="11" max="11" width="15.28515625" style="43" customWidth="1"/>
    <col min="12" max="12" width="13.42578125" style="43" customWidth="1"/>
    <col min="13" max="13" width="14.140625" style="43" customWidth="1"/>
    <col min="14" max="14" width="15.7109375" style="43" customWidth="1"/>
    <col min="15" max="17" width="9.140625" style="43"/>
    <col min="18" max="18" width="12.42578125" style="43" bestFit="1" customWidth="1"/>
    <col min="19" max="16384" width="9.140625" style="43"/>
  </cols>
  <sheetData>
    <row r="1" spans="2:39" ht="14.45">
      <c r="B1" s="255" t="s">
        <v>0</v>
      </c>
    </row>
    <row r="2" spans="2:39" ht="14.45">
      <c r="B2" s="1" t="s">
        <v>3</v>
      </c>
    </row>
    <row r="3" spans="2:39" ht="14.45">
      <c r="C3" s="144" t="s">
        <v>376</v>
      </c>
      <c r="D3" s="144">
        <v>1</v>
      </c>
    </row>
    <row r="4" spans="2:39">
      <c r="C4" s="144" t="s">
        <v>377</v>
      </c>
      <c r="D4" s="144">
        <v>24</v>
      </c>
    </row>
    <row r="5" spans="2:39"/>
    <row r="6" spans="2:39" ht="41.25" customHeight="1">
      <c r="B6" s="338" t="s">
        <v>378</v>
      </c>
      <c r="C6" s="338"/>
      <c r="D6" s="340" t="s">
        <v>379</v>
      </c>
      <c r="E6" s="340"/>
      <c r="F6" s="340"/>
      <c r="G6" s="340"/>
      <c r="I6" s="338" t="s">
        <v>380</v>
      </c>
      <c r="J6" s="338"/>
      <c r="K6" s="340" t="s">
        <v>379</v>
      </c>
      <c r="L6" s="340"/>
      <c r="M6" s="340"/>
      <c r="N6" s="340"/>
    </row>
    <row r="7" spans="2:39" ht="60" customHeight="1">
      <c r="B7" s="338"/>
      <c r="C7" s="338"/>
      <c r="D7" s="39" t="s">
        <v>381</v>
      </c>
      <c r="E7" s="39" t="s">
        <v>382</v>
      </c>
      <c r="F7" s="39" t="s">
        <v>383</v>
      </c>
      <c r="G7" s="39" t="s">
        <v>384</v>
      </c>
      <c r="I7" s="338"/>
      <c r="J7" s="338"/>
      <c r="K7" s="39" t="s">
        <v>385</v>
      </c>
      <c r="L7" s="39" t="s">
        <v>386</v>
      </c>
      <c r="M7" s="39" t="s">
        <v>387</v>
      </c>
      <c r="N7" s="39" t="s">
        <v>388</v>
      </c>
    </row>
    <row r="8" spans="2:39" ht="29.25">
      <c r="B8" s="339" t="s">
        <v>389</v>
      </c>
      <c r="C8" s="39" t="s">
        <v>390</v>
      </c>
      <c r="D8" s="40">
        <v>4</v>
      </c>
      <c r="E8" s="41">
        <v>8</v>
      </c>
      <c r="F8" s="42">
        <v>12</v>
      </c>
      <c r="G8" s="42">
        <v>16</v>
      </c>
      <c r="I8" s="339" t="s">
        <v>389</v>
      </c>
      <c r="J8" s="39" t="s">
        <v>390</v>
      </c>
      <c r="K8" s="40">
        <v>4</v>
      </c>
      <c r="L8" s="41">
        <v>8</v>
      </c>
      <c r="M8" s="42">
        <v>12</v>
      </c>
      <c r="N8" s="42">
        <v>16</v>
      </c>
      <c r="AG8" s="43" t="s">
        <v>391</v>
      </c>
      <c r="AH8" s="43" t="s">
        <v>379</v>
      </c>
      <c r="AI8" s="43" t="s">
        <v>389</v>
      </c>
      <c r="AK8" s="43" t="s">
        <v>392</v>
      </c>
    </row>
    <row r="9" spans="2:39" ht="29.25">
      <c r="B9" s="339"/>
      <c r="C9" s="39" t="s">
        <v>393</v>
      </c>
      <c r="D9" s="40">
        <v>3</v>
      </c>
      <c r="E9" s="41">
        <v>6</v>
      </c>
      <c r="F9" s="42">
        <v>9</v>
      </c>
      <c r="G9" s="42">
        <v>12</v>
      </c>
      <c r="I9" s="339"/>
      <c r="J9" s="39" t="s">
        <v>393</v>
      </c>
      <c r="K9" s="40">
        <v>3</v>
      </c>
      <c r="L9" s="41">
        <v>6</v>
      </c>
      <c r="M9" s="42">
        <v>9</v>
      </c>
      <c r="N9" s="42">
        <v>12</v>
      </c>
      <c r="AF9" s="43" t="s">
        <v>47</v>
      </c>
      <c r="AG9" s="43">
        <f>'Ozone-Energy'!U4-'Ozone-Energy'!U6</f>
        <v>0</v>
      </c>
      <c r="AH9" s="43">
        <v>2</v>
      </c>
      <c r="AI9" s="43">
        <f>IF(AG9= 0, 0, 4-(0.5)*LN(AG9))</f>
        <v>0</v>
      </c>
      <c r="AK9" s="43">
        <f>AH9*AI9+AH10*AI10</f>
        <v>0</v>
      </c>
    </row>
    <row r="10" spans="2:39" ht="29.25">
      <c r="B10" s="339"/>
      <c r="C10" s="39" t="s">
        <v>394</v>
      </c>
      <c r="D10" s="40">
        <v>2</v>
      </c>
      <c r="E10" s="40">
        <v>4</v>
      </c>
      <c r="F10" s="41">
        <v>6</v>
      </c>
      <c r="G10" s="41">
        <v>8</v>
      </c>
      <c r="I10" s="339"/>
      <c r="J10" s="39" t="s">
        <v>394</v>
      </c>
      <c r="K10" s="40">
        <v>2</v>
      </c>
      <c r="L10" s="40">
        <v>4</v>
      </c>
      <c r="M10" s="41">
        <v>6</v>
      </c>
      <c r="N10" s="41">
        <v>8</v>
      </c>
      <c r="AF10" s="43" t="s">
        <v>8</v>
      </c>
      <c r="AG10" s="43">
        <f>'Ozone-Energy'!Z5</f>
        <v>0</v>
      </c>
      <c r="AH10" s="43">
        <v>4</v>
      </c>
      <c r="AI10" s="43">
        <f>IF(AG10= 0, 0, 4-(0.5)*LN(AG10))</f>
        <v>0</v>
      </c>
      <c r="AM10" s="43" t="s">
        <v>395</v>
      </c>
    </row>
    <row r="11" spans="2:39" ht="29.25">
      <c r="B11" s="339"/>
      <c r="C11" s="39" t="s">
        <v>396</v>
      </c>
      <c r="D11" s="40">
        <v>1</v>
      </c>
      <c r="E11" s="40">
        <v>2</v>
      </c>
      <c r="F11" s="40">
        <v>3</v>
      </c>
      <c r="G11" s="40">
        <v>4</v>
      </c>
      <c r="I11" s="339"/>
      <c r="J11" s="39" t="s">
        <v>396</v>
      </c>
      <c r="K11" s="40">
        <v>1</v>
      </c>
      <c r="L11" s="40">
        <v>2</v>
      </c>
      <c r="M11" s="40">
        <v>3</v>
      </c>
      <c r="N11" s="40">
        <v>4</v>
      </c>
      <c r="AM11" s="43">
        <f>AK9+AK18</f>
        <v>0</v>
      </c>
    </row>
    <row r="12" spans="2:39"/>
    <row r="13" spans="2:39" ht="15" customHeight="1">
      <c r="AF13"/>
    </row>
    <row r="14" spans="2:39" ht="14.45">
      <c r="D14" s="320" t="s">
        <v>392</v>
      </c>
      <c r="E14" s="320"/>
      <c r="F14" s="320"/>
      <c r="G14" s="320"/>
      <c r="K14" s="320" t="s">
        <v>397</v>
      </c>
      <c r="L14" s="320"/>
      <c r="M14" s="320"/>
      <c r="N14" s="320"/>
    </row>
    <row r="15" spans="2:39" ht="14.45">
      <c r="D15" s="255" t="s">
        <v>398</v>
      </c>
      <c r="E15" s="255" t="s">
        <v>379</v>
      </c>
      <c r="F15" s="255" t="s">
        <v>389</v>
      </c>
      <c r="G15" s="255" t="s">
        <v>399</v>
      </c>
      <c r="K15" s="255" t="s">
        <v>398</v>
      </c>
      <c r="L15" s="255" t="s">
        <v>379</v>
      </c>
      <c r="M15" s="255" t="s">
        <v>389</v>
      </c>
      <c r="N15" s="255" t="s">
        <v>399</v>
      </c>
    </row>
    <row r="16" spans="2:39" ht="14.45">
      <c r="D16" s="43">
        <v>1</v>
      </c>
      <c r="E16" s="43">
        <f t="shared" ref="E16:E47" si="0">4-(LN($D16)/2)</f>
        <v>4</v>
      </c>
      <c r="F16" s="43">
        <v>1</v>
      </c>
      <c r="G16" s="43">
        <f t="shared" ref="G16:G47" si="1">$E16*$F16</f>
        <v>4</v>
      </c>
      <c r="K16" s="43">
        <v>1</v>
      </c>
      <c r="L16" s="43">
        <f t="shared" ref="L16:L47" si="2">4-(LN($D16)/2)</f>
        <v>4</v>
      </c>
      <c r="M16" s="43">
        <v>1</v>
      </c>
      <c r="N16" s="43">
        <f t="shared" ref="N16:N47" si="3">$E16*$F16</f>
        <v>4</v>
      </c>
    </row>
    <row r="17" spans="4:37" ht="14.45">
      <c r="D17" s="43">
        <f t="shared" ref="D17:D48" si="4">D16+1</f>
        <v>2</v>
      </c>
      <c r="E17" s="43">
        <f t="shared" si="0"/>
        <v>3.6534264097200273</v>
      </c>
      <c r="G17" s="43">
        <f t="shared" si="1"/>
        <v>0</v>
      </c>
      <c r="K17" s="43">
        <f t="shared" ref="K17:K48" si="5">K16+1</f>
        <v>2</v>
      </c>
      <c r="L17" s="43">
        <f t="shared" si="2"/>
        <v>3.6534264097200273</v>
      </c>
      <c r="N17" s="43">
        <f t="shared" si="3"/>
        <v>0</v>
      </c>
      <c r="AG17" s="43" t="s">
        <v>391</v>
      </c>
      <c r="AH17" s="43" t="s">
        <v>379</v>
      </c>
      <c r="AI17" s="43" t="s">
        <v>389</v>
      </c>
      <c r="AK17" s="43" t="s">
        <v>400</v>
      </c>
    </row>
    <row r="18" spans="4:37" ht="14.45">
      <c r="D18" s="43">
        <f t="shared" si="4"/>
        <v>3</v>
      </c>
      <c r="E18" s="43">
        <f t="shared" si="0"/>
        <v>3.450693855665945</v>
      </c>
      <c r="G18" s="43">
        <f t="shared" si="1"/>
        <v>0</v>
      </c>
      <c r="K18" s="43">
        <f t="shared" si="5"/>
        <v>3</v>
      </c>
      <c r="L18" s="43">
        <f t="shared" si="2"/>
        <v>3.450693855665945</v>
      </c>
      <c r="N18" s="43">
        <f t="shared" si="3"/>
        <v>0</v>
      </c>
      <c r="AF18" s="43" t="s">
        <v>47</v>
      </c>
      <c r="AG18" s="43">
        <f>AG9</f>
        <v>0</v>
      </c>
      <c r="AH18" s="43">
        <v>3</v>
      </c>
      <c r="AI18" s="43">
        <f>IF(AG18= 0, 0, 4-(0.5)*LN(AG18))</f>
        <v>0</v>
      </c>
      <c r="AK18" s="43">
        <f>AH18*AI18+AH19*AI19</f>
        <v>0</v>
      </c>
    </row>
    <row r="19" spans="4:37" ht="14.45">
      <c r="D19" s="43">
        <f t="shared" si="4"/>
        <v>4</v>
      </c>
      <c r="E19" s="43">
        <f t="shared" si="0"/>
        <v>3.3068528194400546</v>
      </c>
      <c r="G19" s="43">
        <f t="shared" si="1"/>
        <v>0</v>
      </c>
      <c r="K19" s="43">
        <f t="shared" si="5"/>
        <v>4</v>
      </c>
      <c r="L19" s="43">
        <f t="shared" si="2"/>
        <v>3.3068528194400546</v>
      </c>
      <c r="N19" s="43">
        <f t="shared" si="3"/>
        <v>0</v>
      </c>
      <c r="AF19" s="43" t="s">
        <v>8</v>
      </c>
      <c r="AG19" s="43">
        <f>AG10</f>
        <v>0</v>
      </c>
      <c r="AH19" s="43">
        <v>3</v>
      </c>
      <c r="AI19" s="43">
        <f>IF(AG19= 0, 0, 4-(0.5)*LN(AG19))</f>
        <v>0</v>
      </c>
    </row>
    <row r="20" spans="4:37" ht="14.45">
      <c r="D20" s="43">
        <f t="shared" si="4"/>
        <v>5</v>
      </c>
      <c r="E20" s="43">
        <f t="shared" si="0"/>
        <v>3.1952810437829497</v>
      </c>
      <c r="G20" s="43">
        <f t="shared" si="1"/>
        <v>0</v>
      </c>
      <c r="K20" s="43">
        <f t="shared" si="5"/>
        <v>5</v>
      </c>
      <c r="L20" s="43">
        <f t="shared" si="2"/>
        <v>3.1952810437829497</v>
      </c>
      <c r="N20" s="43">
        <f t="shared" si="3"/>
        <v>0</v>
      </c>
    </row>
    <row r="21" spans="4:37" ht="14.45">
      <c r="D21" s="43">
        <f t="shared" si="4"/>
        <v>6</v>
      </c>
      <c r="E21" s="43">
        <f t="shared" si="0"/>
        <v>3.1041202653859727</v>
      </c>
      <c r="G21" s="43">
        <f t="shared" si="1"/>
        <v>0</v>
      </c>
      <c r="K21" s="43">
        <f t="shared" si="5"/>
        <v>6</v>
      </c>
      <c r="L21" s="43">
        <f t="shared" si="2"/>
        <v>3.1041202653859727</v>
      </c>
      <c r="N21" s="43">
        <f t="shared" si="3"/>
        <v>0</v>
      </c>
    </row>
    <row r="22" spans="4:37" ht="14.45">
      <c r="D22" s="43">
        <f t="shared" si="4"/>
        <v>7</v>
      </c>
      <c r="E22" s="43">
        <f t="shared" si="0"/>
        <v>3.0270449254723433</v>
      </c>
      <c r="G22" s="43">
        <f t="shared" si="1"/>
        <v>0</v>
      </c>
      <c r="K22" s="43">
        <f t="shared" si="5"/>
        <v>7</v>
      </c>
      <c r="L22" s="43">
        <f t="shared" si="2"/>
        <v>3.0270449254723433</v>
      </c>
      <c r="N22" s="43">
        <f t="shared" si="3"/>
        <v>0</v>
      </c>
    </row>
    <row r="23" spans="4:37" ht="14.45">
      <c r="D23" s="43">
        <f t="shared" si="4"/>
        <v>8</v>
      </c>
      <c r="E23" s="43">
        <f t="shared" si="0"/>
        <v>2.9602792291600819</v>
      </c>
      <c r="G23" s="43">
        <f t="shared" si="1"/>
        <v>0</v>
      </c>
      <c r="K23" s="43">
        <f t="shared" si="5"/>
        <v>8</v>
      </c>
      <c r="L23" s="43">
        <f t="shared" si="2"/>
        <v>2.9602792291600819</v>
      </c>
      <c r="N23" s="43">
        <f t="shared" si="3"/>
        <v>0</v>
      </c>
    </row>
    <row r="24" spans="4:37" ht="14.45">
      <c r="D24" s="43">
        <f t="shared" si="4"/>
        <v>9</v>
      </c>
      <c r="E24" s="43">
        <f t="shared" si="0"/>
        <v>2.90138771133189</v>
      </c>
      <c r="G24" s="43">
        <f t="shared" si="1"/>
        <v>0</v>
      </c>
      <c r="K24" s="43">
        <f t="shared" si="5"/>
        <v>9</v>
      </c>
      <c r="L24" s="43">
        <f t="shared" si="2"/>
        <v>2.90138771133189</v>
      </c>
      <c r="N24" s="43">
        <f t="shared" si="3"/>
        <v>0</v>
      </c>
    </row>
    <row r="25" spans="4:37" ht="14.45">
      <c r="D25" s="43">
        <f t="shared" si="4"/>
        <v>10</v>
      </c>
      <c r="E25" s="43">
        <f t="shared" si="0"/>
        <v>2.848707453502977</v>
      </c>
      <c r="G25" s="43">
        <f t="shared" si="1"/>
        <v>0</v>
      </c>
      <c r="K25" s="43">
        <f t="shared" si="5"/>
        <v>10</v>
      </c>
      <c r="L25" s="43">
        <f t="shared" si="2"/>
        <v>2.848707453502977</v>
      </c>
      <c r="N25" s="43">
        <f t="shared" si="3"/>
        <v>0</v>
      </c>
    </row>
    <row r="26" spans="4:37" ht="14.45">
      <c r="D26" s="43">
        <f t="shared" si="4"/>
        <v>11</v>
      </c>
      <c r="E26" s="43">
        <f t="shared" si="0"/>
        <v>2.8010523636008147</v>
      </c>
      <c r="G26" s="43">
        <f t="shared" si="1"/>
        <v>0</v>
      </c>
      <c r="K26" s="43">
        <f t="shared" si="5"/>
        <v>11</v>
      </c>
      <c r="L26" s="43">
        <f t="shared" si="2"/>
        <v>2.8010523636008147</v>
      </c>
      <c r="N26" s="43">
        <f t="shared" si="3"/>
        <v>0</v>
      </c>
    </row>
    <row r="27" spans="4:37" ht="14.45">
      <c r="D27" s="43">
        <f t="shared" si="4"/>
        <v>12</v>
      </c>
      <c r="E27" s="43">
        <f t="shared" si="0"/>
        <v>2.757546675106</v>
      </c>
      <c r="G27" s="43">
        <f t="shared" si="1"/>
        <v>0</v>
      </c>
      <c r="K27" s="43">
        <f t="shared" si="5"/>
        <v>12</v>
      </c>
      <c r="L27" s="43">
        <f t="shared" si="2"/>
        <v>2.757546675106</v>
      </c>
      <c r="N27" s="43">
        <f t="shared" si="3"/>
        <v>0</v>
      </c>
    </row>
    <row r="28" spans="4:37" ht="14.45">
      <c r="D28" s="43">
        <f t="shared" si="4"/>
        <v>13</v>
      </c>
      <c r="E28" s="43">
        <f t="shared" si="0"/>
        <v>2.7175253212692319</v>
      </c>
      <c r="G28" s="43">
        <f t="shared" si="1"/>
        <v>0</v>
      </c>
      <c r="K28" s="43">
        <f t="shared" si="5"/>
        <v>13</v>
      </c>
      <c r="L28" s="43">
        <f t="shared" si="2"/>
        <v>2.7175253212692319</v>
      </c>
      <c r="N28" s="43">
        <f t="shared" si="3"/>
        <v>0</v>
      </c>
    </row>
    <row r="29" spans="4:37" ht="14.45">
      <c r="D29" s="43">
        <f t="shared" si="4"/>
        <v>14</v>
      </c>
      <c r="E29" s="43">
        <f t="shared" si="0"/>
        <v>2.6804713351923706</v>
      </c>
      <c r="G29" s="43">
        <f t="shared" si="1"/>
        <v>0</v>
      </c>
      <c r="K29" s="43">
        <f t="shared" si="5"/>
        <v>14</v>
      </c>
      <c r="L29" s="43">
        <f t="shared" si="2"/>
        <v>2.6804713351923706</v>
      </c>
      <c r="N29" s="43">
        <f t="shared" si="3"/>
        <v>0</v>
      </c>
    </row>
    <row r="30" spans="4:37" ht="14.45">
      <c r="D30" s="43">
        <f t="shared" si="4"/>
        <v>15</v>
      </c>
      <c r="E30" s="43">
        <f t="shared" si="0"/>
        <v>2.6459748994488947</v>
      </c>
      <c r="G30" s="43">
        <f t="shared" si="1"/>
        <v>0</v>
      </c>
      <c r="K30" s="43">
        <f t="shared" si="5"/>
        <v>15</v>
      </c>
      <c r="L30" s="43">
        <f t="shared" si="2"/>
        <v>2.6459748994488947</v>
      </c>
      <c r="N30" s="43">
        <f t="shared" si="3"/>
        <v>0</v>
      </c>
    </row>
    <row r="31" spans="4:37" ht="14.45">
      <c r="D31" s="43">
        <f t="shared" si="4"/>
        <v>16</v>
      </c>
      <c r="E31" s="43">
        <f t="shared" si="0"/>
        <v>2.6137056388801092</v>
      </c>
      <c r="G31" s="43">
        <f t="shared" si="1"/>
        <v>0</v>
      </c>
      <c r="K31" s="43">
        <f t="shared" si="5"/>
        <v>16</v>
      </c>
      <c r="L31" s="43">
        <f t="shared" si="2"/>
        <v>2.6137056388801092</v>
      </c>
      <c r="N31" s="43">
        <f t="shared" si="3"/>
        <v>0</v>
      </c>
    </row>
    <row r="32" spans="4:37" ht="14.45">
      <c r="D32" s="43">
        <f t="shared" si="4"/>
        <v>17</v>
      </c>
      <c r="E32" s="43">
        <f t="shared" si="0"/>
        <v>2.5833933279718919</v>
      </c>
      <c r="G32" s="43">
        <f t="shared" si="1"/>
        <v>0</v>
      </c>
      <c r="K32" s="43">
        <f t="shared" si="5"/>
        <v>17</v>
      </c>
      <c r="L32" s="43">
        <f t="shared" si="2"/>
        <v>2.5833933279718919</v>
      </c>
      <c r="N32" s="43">
        <f t="shared" si="3"/>
        <v>0</v>
      </c>
    </row>
    <row r="33" spans="4:14" ht="14.45">
      <c r="D33" s="43">
        <f t="shared" si="4"/>
        <v>18</v>
      </c>
      <c r="E33" s="43">
        <f t="shared" si="0"/>
        <v>2.5548141210519177</v>
      </c>
      <c r="G33" s="43">
        <f t="shared" si="1"/>
        <v>0</v>
      </c>
      <c r="K33" s="43">
        <f t="shared" si="5"/>
        <v>18</v>
      </c>
      <c r="L33" s="43">
        <f t="shared" si="2"/>
        <v>2.5548141210519177</v>
      </c>
      <c r="N33" s="43">
        <f t="shared" si="3"/>
        <v>0</v>
      </c>
    </row>
    <row r="34" spans="4:14" ht="14.45">
      <c r="D34" s="43">
        <f t="shared" si="4"/>
        <v>19</v>
      </c>
      <c r="E34" s="43">
        <f t="shared" si="0"/>
        <v>2.5277805104167799</v>
      </c>
      <c r="G34" s="43">
        <f t="shared" si="1"/>
        <v>0</v>
      </c>
      <c r="K34" s="43">
        <f t="shared" si="5"/>
        <v>19</v>
      </c>
      <c r="L34" s="43">
        <f t="shared" si="2"/>
        <v>2.5277805104167799</v>
      </c>
      <c r="N34" s="43">
        <f t="shared" si="3"/>
        <v>0</v>
      </c>
    </row>
    <row r="35" spans="4:14" ht="14.45">
      <c r="D35" s="43">
        <f t="shared" si="4"/>
        <v>20</v>
      </c>
      <c r="E35" s="43">
        <f t="shared" si="0"/>
        <v>2.5021338632230048</v>
      </c>
      <c r="G35" s="43">
        <f t="shared" si="1"/>
        <v>0</v>
      </c>
      <c r="K35" s="43">
        <f t="shared" si="5"/>
        <v>20</v>
      </c>
      <c r="L35" s="43">
        <f t="shared" si="2"/>
        <v>2.5021338632230048</v>
      </c>
      <c r="N35" s="43">
        <f t="shared" si="3"/>
        <v>0</v>
      </c>
    </row>
    <row r="36" spans="4:14" ht="14.45">
      <c r="D36" s="43">
        <f t="shared" si="4"/>
        <v>21</v>
      </c>
      <c r="E36" s="43">
        <f t="shared" si="0"/>
        <v>2.4777387811382887</v>
      </c>
      <c r="G36" s="43">
        <f t="shared" si="1"/>
        <v>0</v>
      </c>
      <c r="K36" s="43">
        <f t="shared" si="5"/>
        <v>21</v>
      </c>
      <c r="L36" s="43">
        <f t="shared" si="2"/>
        <v>2.4777387811382887</v>
      </c>
      <c r="N36" s="43">
        <f t="shared" si="3"/>
        <v>0</v>
      </c>
    </row>
    <row r="37" spans="4:14" ht="14.45">
      <c r="D37" s="43">
        <f t="shared" si="4"/>
        <v>22</v>
      </c>
      <c r="E37" s="43">
        <f t="shared" si="0"/>
        <v>2.454478773320842</v>
      </c>
      <c r="G37" s="43">
        <f t="shared" si="1"/>
        <v>0</v>
      </c>
      <c r="K37" s="43">
        <f t="shared" si="5"/>
        <v>22</v>
      </c>
      <c r="L37" s="43">
        <f t="shared" si="2"/>
        <v>2.454478773320842</v>
      </c>
      <c r="N37" s="43">
        <f t="shared" si="3"/>
        <v>0</v>
      </c>
    </row>
    <row r="38" spans="4:14" ht="14.45">
      <c r="D38" s="43">
        <f t="shared" si="4"/>
        <v>23</v>
      </c>
      <c r="E38" s="43">
        <f t="shared" si="0"/>
        <v>2.4322528920354252</v>
      </c>
      <c r="G38" s="43">
        <f t="shared" si="1"/>
        <v>0</v>
      </c>
      <c r="K38" s="43">
        <f t="shared" si="5"/>
        <v>23</v>
      </c>
      <c r="L38" s="43">
        <f t="shared" si="2"/>
        <v>2.4322528920354252</v>
      </c>
      <c r="N38" s="43">
        <f t="shared" si="3"/>
        <v>0</v>
      </c>
    </row>
    <row r="39" spans="4:14" ht="15" customHeight="1">
      <c r="D39" s="43">
        <f t="shared" si="4"/>
        <v>24</v>
      </c>
      <c r="E39" s="43">
        <f t="shared" si="0"/>
        <v>2.4109730848260273</v>
      </c>
      <c r="G39" s="43">
        <f t="shared" si="1"/>
        <v>0</v>
      </c>
      <c r="K39" s="43">
        <f t="shared" si="5"/>
        <v>24</v>
      </c>
      <c r="L39" s="43">
        <f t="shared" si="2"/>
        <v>2.4109730848260273</v>
      </c>
      <c r="N39" s="43">
        <f t="shared" si="3"/>
        <v>0</v>
      </c>
    </row>
    <row r="40" spans="4:14" ht="15" customHeight="1">
      <c r="D40" s="43">
        <f t="shared" si="4"/>
        <v>25</v>
      </c>
      <c r="E40" s="43">
        <f t="shared" si="0"/>
        <v>2.3905620875658995</v>
      </c>
      <c r="G40" s="43">
        <f t="shared" si="1"/>
        <v>0</v>
      </c>
      <c r="K40" s="43">
        <f t="shared" si="5"/>
        <v>25</v>
      </c>
      <c r="L40" s="43">
        <f t="shared" si="2"/>
        <v>2.3905620875658995</v>
      </c>
      <c r="N40" s="43">
        <f t="shared" si="3"/>
        <v>0</v>
      </c>
    </row>
    <row r="41" spans="4:14" ht="15" customHeight="1">
      <c r="D41" s="43">
        <f t="shared" si="4"/>
        <v>26</v>
      </c>
      <c r="E41" s="43">
        <f t="shared" si="0"/>
        <v>2.3709517309892592</v>
      </c>
      <c r="G41" s="43">
        <f t="shared" si="1"/>
        <v>0</v>
      </c>
      <c r="K41" s="43">
        <f t="shared" si="5"/>
        <v>26</v>
      </c>
      <c r="L41" s="43">
        <f t="shared" si="2"/>
        <v>2.3709517309892592</v>
      </c>
      <c r="N41" s="43">
        <f t="shared" si="3"/>
        <v>0</v>
      </c>
    </row>
    <row r="42" spans="4:14" ht="15" customHeight="1">
      <c r="D42" s="43">
        <f t="shared" si="4"/>
        <v>27</v>
      </c>
      <c r="E42" s="43">
        <f t="shared" si="0"/>
        <v>2.3520815669978354</v>
      </c>
      <c r="G42" s="43">
        <f t="shared" si="1"/>
        <v>0</v>
      </c>
      <c r="K42" s="43">
        <f t="shared" si="5"/>
        <v>27</v>
      </c>
      <c r="L42" s="43">
        <f t="shared" si="2"/>
        <v>2.3520815669978354</v>
      </c>
      <c r="N42" s="43">
        <f t="shared" si="3"/>
        <v>0</v>
      </c>
    </row>
    <row r="43" spans="4:14" ht="15" customHeight="1">
      <c r="D43" s="43">
        <f t="shared" si="4"/>
        <v>28</v>
      </c>
      <c r="E43" s="43">
        <f t="shared" si="0"/>
        <v>2.3338977449123979</v>
      </c>
      <c r="G43" s="43">
        <f t="shared" si="1"/>
        <v>0</v>
      </c>
      <c r="K43" s="43">
        <f t="shared" si="5"/>
        <v>28</v>
      </c>
      <c r="L43" s="43">
        <f t="shared" si="2"/>
        <v>2.3338977449123979</v>
      </c>
      <c r="N43" s="43">
        <f t="shared" si="3"/>
        <v>0</v>
      </c>
    </row>
    <row r="44" spans="4:14" ht="15" customHeight="1">
      <c r="D44" s="43">
        <f t="shared" si="4"/>
        <v>29</v>
      </c>
      <c r="E44" s="43">
        <f t="shared" si="0"/>
        <v>2.3163520850067627</v>
      </c>
      <c r="G44" s="43">
        <f t="shared" si="1"/>
        <v>0</v>
      </c>
      <c r="K44" s="43">
        <f t="shared" si="5"/>
        <v>29</v>
      </c>
      <c r="L44" s="43">
        <f t="shared" si="2"/>
        <v>2.3163520850067627</v>
      </c>
      <c r="N44" s="43">
        <f t="shared" si="3"/>
        <v>0</v>
      </c>
    </row>
    <row r="45" spans="4:14" ht="15" customHeight="1">
      <c r="D45" s="43">
        <f t="shared" si="4"/>
        <v>30</v>
      </c>
      <c r="E45" s="43">
        <f t="shared" si="0"/>
        <v>2.299401309168922</v>
      </c>
      <c r="G45" s="43">
        <f t="shared" si="1"/>
        <v>0</v>
      </c>
      <c r="K45" s="43">
        <f t="shared" si="5"/>
        <v>30</v>
      </c>
      <c r="L45" s="43">
        <f t="shared" si="2"/>
        <v>2.299401309168922</v>
      </c>
      <c r="N45" s="43">
        <f t="shared" si="3"/>
        <v>0</v>
      </c>
    </row>
    <row r="46" spans="4:14" ht="15" customHeight="1">
      <c r="D46" s="43">
        <f t="shared" si="4"/>
        <v>31</v>
      </c>
      <c r="E46" s="43">
        <f t="shared" si="0"/>
        <v>2.2830063977574269</v>
      </c>
      <c r="G46" s="43">
        <f t="shared" si="1"/>
        <v>0</v>
      </c>
      <c r="K46" s="43">
        <f t="shared" si="5"/>
        <v>31</v>
      </c>
      <c r="L46" s="43">
        <f t="shared" si="2"/>
        <v>2.2830063977574269</v>
      </c>
      <c r="N46" s="43">
        <f t="shared" si="3"/>
        <v>0</v>
      </c>
    </row>
    <row r="47" spans="4:14" ht="15" customHeight="1">
      <c r="D47" s="43">
        <f t="shared" si="4"/>
        <v>32</v>
      </c>
      <c r="E47" s="43">
        <f t="shared" si="0"/>
        <v>2.2671320486001365</v>
      </c>
      <c r="G47" s="43">
        <f t="shared" si="1"/>
        <v>0</v>
      </c>
      <c r="K47" s="43">
        <f t="shared" si="5"/>
        <v>32</v>
      </c>
      <c r="L47" s="43">
        <f t="shared" si="2"/>
        <v>2.2671320486001365</v>
      </c>
      <c r="N47" s="43">
        <f t="shared" si="3"/>
        <v>0</v>
      </c>
    </row>
    <row r="48" spans="4:14" ht="15" customHeight="1">
      <c r="D48" s="43">
        <f t="shared" si="4"/>
        <v>33</v>
      </c>
      <c r="E48" s="43">
        <f t="shared" ref="E48:E75" si="6">4-(LN($D48)/2)</f>
        <v>2.2517462192667601</v>
      </c>
      <c r="G48" s="43">
        <f t="shared" ref="G48:G75" si="7">$E48*$F48</f>
        <v>0</v>
      </c>
      <c r="K48" s="43">
        <f t="shared" si="5"/>
        <v>33</v>
      </c>
      <c r="L48" s="43">
        <f t="shared" ref="L48:L75" si="8">4-(LN($D48)/2)</f>
        <v>2.2517462192667601</v>
      </c>
      <c r="N48" s="43">
        <f t="shared" ref="N48:N75" si="9">$E48*$F48</f>
        <v>0</v>
      </c>
    </row>
    <row r="49" spans="4:14" ht="15" customHeight="1">
      <c r="D49" s="43">
        <f t="shared" ref="D49:D75" si="10">D48+1</f>
        <v>34</v>
      </c>
      <c r="E49" s="43">
        <f t="shared" si="6"/>
        <v>2.2368197376919192</v>
      </c>
      <c r="G49" s="43">
        <f t="shared" si="7"/>
        <v>0</v>
      </c>
      <c r="K49" s="43">
        <f t="shared" ref="K49:K75" si="11">K48+1</f>
        <v>34</v>
      </c>
      <c r="L49" s="43">
        <f t="shared" si="8"/>
        <v>2.2368197376919192</v>
      </c>
      <c r="N49" s="43">
        <f t="shared" si="9"/>
        <v>0</v>
      </c>
    </row>
    <row r="50" spans="4:14" ht="15" customHeight="1">
      <c r="D50" s="43">
        <f t="shared" si="10"/>
        <v>35</v>
      </c>
      <c r="E50" s="43">
        <f t="shared" si="6"/>
        <v>2.2223259692552935</v>
      </c>
      <c r="G50" s="43">
        <f t="shared" si="7"/>
        <v>0</v>
      </c>
      <c r="K50" s="43">
        <f t="shared" si="11"/>
        <v>35</v>
      </c>
      <c r="L50" s="43">
        <f t="shared" si="8"/>
        <v>2.2223259692552935</v>
      </c>
      <c r="N50" s="43">
        <f t="shared" si="9"/>
        <v>0</v>
      </c>
    </row>
    <row r="51" spans="4:14" ht="15" customHeight="1">
      <c r="D51" s="43">
        <f t="shared" si="10"/>
        <v>36</v>
      </c>
      <c r="E51" s="43">
        <f t="shared" si="6"/>
        <v>2.208240530771945</v>
      </c>
      <c r="G51" s="43">
        <f t="shared" si="7"/>
        <v>0</v>
      </c>
      <c r="K51" s="43">
        <f t="shared" si="11"/>
        <v>36</v>
      </c>
      <c r="L51" s="43">
        <f t="shared" si="8"/>
        <v>2.208240530771945</v>
      </c>
      <c r="N51" s="43">
        <f t="shared" si="9"/>
        <v>0</v>
      </c>
    </row>
    <row r="52" spans="4:14" ht="15" customHeight="1">
      <c r="D52" s="43">
        <f t="shared" si="10"/>
        <v>37</v>
      </c>
      <c r="E52" s="43">
        <f t="shared" si="6"/>
        <v>2.194541043677888</v>
      </c>
      <c r="G52" s="43">
        <f t="shared" si="7"/>
        <v>0</v>
      </c>
      <c r="K52" s="43">
        <f t="shared" si="11"/>
        <v>37</v>
      </c>
      <c r="L52" s="43">
        <f t="shared" si="8"/>
        <v>2.194541043677888</v>
      </c>
      <c r="N52" s="43">
        <f t="shared" si="9"/>
        <v>0</v>
      </c>
    </row>
    <row r="53" spans="4:14" ht="15" customHeight="1">
      <c r="D53" s="43">
        <f t="shared" si="10"/>
        <v>38</v>
      </c>
      <c r="E53" s="43">
        <f t="shared" si="6"/>
        <v>2.1812069201368072</v>
      </c>
      <c r="G53" s="43">
        <f t="shared" si="7"/>
        <v>0</v>
      </c>
      <c r="K53" s="43">
        <f t="shared" si="11"/>
        <v>38</v>
      </c>
      <c r="L53" s="43">
        <f t="shared" si="8"/>
        <v>2.1812069201368072</v>
      </c>
      <c r="N53" s="43">
        <f t="shared" si="9"/>
        <v>0</v>
      </c>
    </row>
    <row r="54" spans="4:14" ht="15" customHeight="1">
      <c r="D54" s="43">
        <f t="shared" si="10"/>
        <v>39</v>
      </c>
      <c r="E54" s="43">
        <f t="shared" si="6"/>
        <v>2.1682191769351769</v>
      </c>
      <c r="G54" s="43">
        <f t="shared" si="7"/>
        <v>0</v>
      </c>
      <c r="K54" s="43">
        <f t="shared" si="11"/>
        <v>39</v>
      </c>
      <c r="L54" s="43">
        <f t="shared" si="8"/>
        <v>2.1682191769351769</v>
      </c>
      <c r="N54" s="43">
        <f t="shared" si="9"/>
        <v>0</v>
      </c>
    </row>
    <row r="55" spans="4:14" ht="15" customHeight="1">
      <c r="D55" s="43">
        <f t="shared" si="10"/>
        <v>40</v>
      </c>
      <c r="E55" s="43">
        <f t="shared" si="6"/>
        <v>2.1555602729430321</v>
      </c>
      <c r="G55" s="43">
        <f t="shared" si="7"/>
        <v>0</v>
      </c>
      <c r="K55" s="43">
        <f t="shared" si="11"/>
        <v>40</v>
      </c>
      <c r="L55" s="43">
        <f t="shared" si="8"/>
        <v>2.1555602729430321</v>
      </c>
      <c r="N55" s="43">
        <f t="shared" si="9"/>
        <v>0</v>
      </c>
    </row>
    <row r="56" spans="4:14" ht="15" customHeight="1">
      <c r="D56" s="43">
        <f t="shared" si="10"/>
        <v>41</v>
      </c>
      <c r="E56" s="43">
        <f t="shared" si="6"/>
        <v>2.143213966647846</v>
      </c>
      <c r="G56" s="43">
        <f t="shared" si="7"/>
        <v>0</v>
      </c>
      <c r="K56" s="43">
        <f t="shared" si="11"/>
        <v>41</v>
      </c>
      <c r="L56" s="43">
        <f t="shared" si="8"/>
        <v>2.143213966647846</v>
      </c>
      <c r="N56" s="43">
        <f t="shared" si="9"/>
        <v>0</v>
      </c>
    </row>
    <row r="57" spans="4:14" ht="15" customHeight="1">
      <c r="D57" s="43">
        <f t="shared" si="10"/>
        <v>42</v>
      </c>
      <c r="E57" s="43">
        <f t="shared" si="6"/>
        <v>2.131165190858316</v>
      </c>
      <c r="G57" s="43">
        <f t="shared" si="7"/>
        <v>0</v>
      </c>
      <c r="K57" s="43">
        <f t="shared" si="11"/>
        <v>42</v>
      </c>
      <c r="L57" s="43">
        <f t="shared" si="8"/>
        <v>2.131165190858316</v>
      </c>
      <c r="N57" s="43">
        <f t="shared" si="9"/>
        <v>0</v>
      </c>
    </row>
    <row r="58" spans="4:14" ht="15" customHeight="1">
      <c r="D58" s="43">
        <f t="shared" si="10"/>
        <v>43</v>
      </c>
      <c r="E58" s="43">
        <f t="shared" si="6"/>
        <v>2.119399942153219</v>
      </c>
      <c r="G58" s="43">
        <f t="shared" si="7"/>
        <v>0</v>
      </c>
      <c r="K58" s="43">
        <f t="shared" si="11"/>
        <v>43</v>
      </c>
      <c r="L58" s="43">
        <f t="shared" si="8"/>
        <v>2.119399942153219</v>
      </c>
      <c r="N58" s="43">
        <f t="shared" si="9"/>
        <v>0</v>
      </c>
    </row>
    <row r="59" spans="4:14" ht="15" customHeight="1">
      <c r="D59" s="43">
        <f t="shared" si="10"/>
        <v>44</v>
      </c>
      <c r="E59" s="43">
        <f t="shared" si="6"/>
        <v>2.1079051830408693</v>
      </c>
      <c r="G59" s="43">
        <f t="shared" si="7"/>
        <v>0</v>
      </c>
      <c r="K59" s="43">
        <f t="shared" si="11"/>
        <v>44</v>
      </c>
      <c r="L59" s="43">
        <f t="shared" si="8"/>
        <v>2.1079051830408693</v>
      </c>
      <c r="N59" s="43">
        <f t="shared" si="9"/>
        <v>0</v>
      </c>
    </row>
    <row r="60" spans="4:14" ht="15" customHeight="1">
      <c r="D60" s="43">
        <f t="shared" si="10"/>
        <v>45</v>
      </c>
      <c r="E60" s="43">
        <f t="shared" si="6"/>
        <v>2.0966687551148402</v>
      </c>
      <c r="G60" s="43">
        <f t="shared" si="7"/>
        <v>0</v>
      </c>
      <c r="K60" s="43">
        <f t="shared" si="11"/>
        <v>45</v>
      </c>
      <c r="L60" s="43">
        <f t="shared" si="8"/>
        <v>2.0966687551148402</v>
      </c>
      <c r="N60" s="43">
        <f t="shared" si="9"/>
        <v>0</v>
      </c>
    </row>
    <row r="61" spans="4:14" ht="15" customHeight="1">
      <c r="D61" s="43">
        <f t="shared" si="10"/>
        <v>46</v>
      </c>
      <c r="E61" s="43">
        <f t="shared" si="6"/>
        <v>2.0856793017554525</v>
      </c>
      <c r="G61" s="43">
        <f t="shared" si="7"/>
        <v>0</v>
      </c>
      <c r="K61" s="43">
        <f t="shared" si="11"/>
        <v>46</v>
      </c>
      <c r="L61" s="43">
        <f t="shared" si="8"/>
        <v>2.0856793017554525</v>
      </c>
      <c r="N61" s="43">
        <f t="shared" si="9"/>
        <v>0</v>
      </c>
    </row>
    <row r="62" spans="4:14" ht="15" customHeight="1">
      <c r="D62" s="43">
        <f t="shared" si="10"/>
        <v>47</v>
      </c>
      <c r="E62" s="43">
        <f t="shared" si="6"/>
        <v>2.0749261991449708</v>
      </c>
      <c r="G62" s="43">
        <f t="shared" si="7"/>
        <v>0</v>
      </c>
      <c r="K62" s="43">
        <f t="shared" si="11"/>
        <v>47</v>
      </c>
      <c r="L62" s="43">
        <f t="shared" si="8"/>
        <v>2.0749261991449708</v>
      </c>
      <c r="N62" s="43">
        <f t="shared" si="9"/>
        <v>0</v>
      </c>
    </row>
    <row r="63" spans="4:14" ht="15" customHeight="1">
      <c r="D63" s="43">
        <f t="shared" si="10"/>
        <v>48</v>
      </c>
      <c r="E63" s="43">
        <f t="shared" si="6"/>
        <v>2.0643994945460546</v>
      </c>
      <c r="G63" s="43">
        <f t="shared" si="7"/>
        <v>0</v>
      </c>
      <c r="K63" s="43">
        <f t="shared" si="11"/>
        <v>48</v>
      </c>
      <c r="L63" s="43">
        <f t="shared" si="8"/>
        <v>2.0643994945460546</v>
      </c>
      <c r="N63" s="43">
        <f t="shared" si="9"/>
        <v>0</v>
      </c>
    </row>
    <row r="64" spans="4:14" ht="15" customHeight="1">
      <c r="D64" s="43">
        <f t="shared" si="10"/>
        <v>49</v>
      </c>
      <c r="E64" s="43">
        <f t="shared" si="6"/>
        <v>2.0540898509446865</v>
      </c>
      <c r="G64" s="43">
        <f t="shared" si="7"/>
        <v>0</v>
      </c>
      <c r="K64" s="43">
        <f t="shared" si="11"/>
        <v>49</v>
      </c>
      <c r="L64" s="43">
        <f t="shared" si="8"/>
        <v>2.0540898509446865</v>
      </c>
      <c r="N64" s="43">
        <f t="shared" si="9"/>
        <v>0</v>
      </c>
    </row>
    <row r="65" spans="4:14" ht="15" customHeight="1">
      <c r="D65" s="43">
        <f t="shared" si="10"/>
        <v>50</v>
      </c>
      <c r="E65" s="43">
        <f t="shared" si="6"/>
        <v>2.0439884972859268</v>
      </c>
      <c r="G65" s="43">
        <f t="shared" si="7"/>
        <v>0</v>
      </c>
      <c r="K65" s="43">
        <f t="shared" si="11"/>
        <v>50</v>
      </c>
      <c r="L65" s="43">
        <f t="shared" si="8"/>
        <v>2.0439884972859268</v>
      </c>
      <c r="N65" s="43">
        <f t="shared" si="9"/>
        <v>0</v>
      </c>
    </row>
    <row r="66" spans="4:14" ht="15" customHeight="1">
      <c r="D66" s="43">
        <f t="shared" si="10"/>
        <v>51</v>
      </c>
      <c r="E66" s="43">
        <f t="shared" si="6"/>
        <v>2.0340871836378369</v>
      </c>
      <c r="G66" s="43">
        <f t="shared" si="7"/>
        <v>0</v>
      </c>
      <c r="K66" s="43">
        <f t="shared" si="11"/>
        <v>51</v>
      </c>
      <c r="L66" s="43">
        <f t="shared" si="8"/>
        <v>2.0340871836378369</v>
      </c>
      <c r="N66" s="43">
        <f t="shared" si="9"/>
        <v>0</v>
      </c>
    </row>
    <row r="67" spans="4:14" ht="15" customHeight="1">
      <c r="D67" s="43">
        <f t="shared" si="10"/>
        <v>52</v>
      </c>
      <c r="E67" s="43">
        <f t="shared" si="6"/>
        <v>2.0243781407092865</v>
      </c>
      <c r="G67" s="43">
        <f t="shared" si="7"/>
        <v>0</v>
      </c>
      <c r="K67" s="43">
        <f t="shared" si="11"/>
        <v>52</v>
      </c>
      <c r="L67" s="43">
        <f t="shared" si="8"/>
        <v>2.0243781407092865</v>
      </c>
      <c r="N67" s="43">
        <f t="shared" si="9"/>
        <v>0</v>
      </c>
    </row>
    <row r="68" spans="4:14" ht="15" customHeight="1">
      <c r="D68" s="43">
        <f t="shared" si="10"/>
        <v>53</v>
      </c>
      <c r="E68" s="43">
        <f t="shared" si="6"/>
        <v>2.0148540432239388</v>
      </c>
      <c r="G68" s="43">
        <f t="shared" si="7"/>
        <v>0</v>
      </c>
      <c r="K68" s="43">
        <f t="shared" si="11"/>
        <v>53</v>
      </c>
      <c r="L68" s="43">
        <f t="shared" si="8"/>
        <v>2.0148540432239388</v>
      </c>
      <c r="N68" s="43">
        <f t="shared" si="9"/>
        <v>0</v>
      </c>
    </row>
    <row r="69" spans="4:14" ht="15" customHeight="1">
      <c r="D69" s="43">
        <f t="shared" si="10"/>
        <v>54</v>
      </c>
      <c r="E69" s="43">
        <f t="shared" si="6"/>
        <v>2.0055079767178627</v>
      </c>
      <c r="G69" s="43">
        <f t="shared" si="7"/>
        <v>0</v>
      </c>
      <c r="K69" s="43">
        <f t="shared" si="11"/>
        <v>54</v>
      </c>
      <c r="L69" s="43">
        <f t="shared" si="8"/>
        <v>2.0055079767178627</v>
      </c>
      <c r="N69" s="43">
        <f t="shared" si="9"/>
        <v>0</v>
      </c>
    </row>
    <row r="70" spans="4:14" ht="15" customHeight="1">
      <c r="D70" s="43">
        <f t="shared" si="10"/>
        <v>55</v>
      </c>
      <c r="E70" s="43">
        <f t="shared" si="6"/>
        <v>1.9963334073837644</v>
      </c>
      <c r="G70" s="43">
        <f t="shared" si="7"/>
        <v>0</v>
      </c>
      <c r="K70" s="43">
        <f t="shared" si="11"/>
        <v>55</v>
      </c>
      <c r="L70" s="43">
        <f t="shared" si="8"/>
        <v>1.9963334073837644</v>
      </c>
      <c r="N70" s="43">
        <f t="shared" si="9"/>
        <v>0</v>
      </c>
    </row>
    <row r="71" spans="4:14" ht="15" customHeight="1">
      <c r="D71" s="43">
        <f t="shared" si="10"/>
        <v>56</v>
      </c>
      <c r="E71" s="43">
        <f t="shared" si="6"/>
        <v>1.9873241546324252</v>
      </c>
      <c r="G71" s="43">
        <f t="shared" si="7"/>
        <v>0</v>
      </c>
      <c r="K71" s="43">
        <f t="shared" si="11"/>
        <v>56</v>
      </c>
      <c r="L71" s="43">
        <f t="shared" si="8"/>
        <v>1.9873241546324252</v>
      </c>
      <c r="N71" s="43">
        <f t="shared" si="9"/>
        <v>0</v>
      </c>
    </row>
    <row r="72" spans="4:14" ht="15" customHeight="1">
      <c r="D72" s="43">
        <f t="shared" si="10"/>
        <v>57</v>
      </c>
      <c r="E72" s="43">
        <f t="shared" si="6"/>
        <v>1.9784743660827249</v>
      </c>
      <c r="G72" s="43">
        <f t="shared" si="7"/>
        <v>0</v>
      </c>
      <c r="K72" s="43">
        <f t="shared" si="11"/>
        <v>57</v>
      </c>
      <c r="L72" s="43">
        <f t="shared" si="8"/>
        <v>1.9784743660827249</v>
      </c>
      <c r="N72" s="43">
        <f t="shared" si="9"/>
        <v>0</v>
      </c>
    </row>
    <row r="73" spans="4:14" ht="15" customHeight="1">
      <c r="D73" s="43">
        <f t="shared" si="10"/>
        <v>58</v>
      </c>
      <c r="E73" s="43">
        <f t="shared" si="6"/>
        <v>1.9697784947267905</v>
      </c>
      <c r="G73" s="43">
        <f t="shared" si="7"/>
        <v>0</v>
      </c>
      <c r="K73" s="43">
        <f t="shared" si="11"/>
        <v>58</v>
      </c>
      <c r="L73" s="43">
        <f t="shared" si="8"/>
        <v>1.9697784947267905</v>
      </c>
      <c r="N73" s="43">
        <f t="shared" si="9"/>
        <v>0</v>
      </c>
    </row>
    <row r="74" spans="4:14" ht="15" customHeight="1">
      <c r="D74" s="43">
        <f t="shared" si="10"/>
        <v>59</v>
      </c>
      <c r="E74" s="43">
        <f t="shared" si="6"/>
        <v>1.9612312780471401</v>
      </c>
      <c r="G74" s="43">
        <f t="shared" si="7"/>
        <v>0</v>
      </c>
      <c r="K74" s="43">
        <f t="shared" si="11"/>
        <v>59</v>
      </c>
      <c r="L74" s="43">
        <f t="shared" si="8"/>
        <v>1.9612312780471401</v>
      </c>
      <c r="N74" s="43">
        <f t="shared" si="9"/>
        <v>0</v>
      </c>
    </row>
    <row r="75" spans="4:14" ht="15" customHeight="1">
      <c r="D75" s="43">
        <f t="shared" si="10"/>
        <v>60</v>
      </c>
      <c r="E75" s="43">
        <f t="shared" si="6"/>
        <v>1.9528277188889498</v>
      </c>
      <c r="G75" s="43">
        <f t="shared" si="7"/>
        <v>0</v>
      </c>
      <c r="K75" s="43">
        <f t="shared" si="11"/>
        <v>60</v>
      </c>
      <c r="L75" s="43">
        <f t="shared" si="8"/>
        <v>1.9528277188889498</v>
      </c>
      <c r="N75" s="43">
        <f t="shared" si="9"/>
        <v>0</v>
      </c>
    </row>
  </sheetData>
  <mergeCells count="8">
    <mergeCell ref="I6:J7"/>
    <mergeCell ref="D14:G14"/>
    <mergeCell ref="K14:N14"/>
    <mergeCell ref="B8:B11"/>
    <mergeCell ref="D6:G6"/>
    <mergeCell ref="B6:C7"/>
    <mergeCell ref="I8:I11"/>
    <mergeCell ref="K6:N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43F11-C6CB-4FF1-B75F-0D23FE48668A}">
  <dimension ref="B8:O42"/>
  <sheetViews>
    <sheetView topLeftCell="A4" workbookViewId="0">
      <selection activeCell="H18" sqref="H18"/>
    </sheetView>
  </sheetViews>
  <sheetFormatPr defaultRowHeight="14.45"/>
  <cols>
    <col min="6" max="6" width="12.140625" bestFit="1" customWidth="1"/>
    <col min="9" max="9" width="11.5703125" customWidth="1"/>
    <col min="10" max="10" width="14.140625" customWidth="1"/>
    <col min="11" max="11" width="9.5703125" bestFit="1" customWidth="1"/>
  </cols>
  <sheetData>
    <row r="8" spans="2:14" ht="45.75" customHeight="1">
      <c r="B8" s="341" t="s">
        <v>401</v>
      </c>
      <c r="C8" s="341" t="s">
        <v>402</v>
      </c>
      <c r="D8" s="341" t="s">
        <v>403</v>
      </c>
      <c r="E8" s="341" t="s">
        <v>404</v>
      </c>
      <c r="F8" s="257" t="s">
        <v>405</v>
      </c>
      <c r="G8" s="341" t="s">
        <v>406</v>
      </c>
      <c r="H8" s="257" t="s">
        <v>407</v>
      </c>
      <c r="I8" s="257" t="s">
        <v>245</v>
      </c>
      <c r="J8" s="74" t="s">
        <v>408</v>
      </c>
      <c r="K8" s="81" t="s">
        <v>248</v>
      </c>
    </row>
    <row r="9" spans="2:14">
      <c r="B9" s="342"/>
      <c r="C9" s="342"/>
      <c r="D9" s="342"/>
      <c r="E9" s="342"/>
      <c r="F9" s="258" t="s">
        <v>118</v>
      </c>
      <c r="G9" s="342"/>
      <c r="H9" s="258" t="s">
        <v>409</v>
      </c>
      <c r="I9" s="258" t="s">
        <v>410</v>
      </c>
      <c r="J9" s="75" t="s">
        <v>241</v>
      </c>
      <c r="K9" s="80" t="s">
        <v>117</v>
      </c>
    </row>
    <row r="10" spans="2:14">
      <c r="B10" s="68">
        <v>0</v>
      </c>
      <c r="C10" s="69">
        <v>0</v>
      </c>
      <c r="D10" s="69">
        <v>0</v>
      </c>
      <c r="E10" s="69">
        <v>0</v>
      </c>
      <c r="F10" s="69">
        <v>0</v>
      </c>
      <c r="G10" s="69">
        <v>0</v>
      </c>
      <c r="H10" s="69">
        <v>0</v>
      </c>
      <c r="I10" s="69">
        <v>0</v>
      </c>
      <c r="J10" s="76">
        <v>0</v>
      </c>
      <c r="K10" s="66"/>
    </row>
    <row r="11" spans="2:14">
      <c r="B11" s="68">
        <v>1</v>
      </c>
      <c r="C11" s="70">
        <v>0</v>
      </c>
      <c r="D11" s="71">
        <v>1.3</v>
      </c>
      <c r="E11" s="70">
        <f>C11-D11</f>
        <v>-1.3</v>
      </c>
      <c r="F11" s="70">
        <f>(1000)*9.81*E11</f>
        <v>-12753</v>
      </c>
      <c r="G11" s="71">
        <v>400</v>
      </c>
      <c r="H11" s="71">
        <v>28.23</v>
      </c>
      <c r="I11" s="72">
        <f>(G11 * 60/1000)/H11</f>
        <v>0.85015940488841657</v>
      </c>
      <c r="J11" s="77">
        <f xml:space="preserve"> 4 * (I11/60000) / (PI() * (0.01^2))</f>
        <v>0.18040942893874073</v>
      </c>
      <c r="K11" s="78">
        <f>F11 * (I11/1000/60) / 2.19</f>
        <v>-8.2512046351156595E-2</v>
      </c>
    </row>
    <row r="12" spans="2:14">
      <c r="B12" s="68">
        <v>2</v>
      </c>
      <c r="C12" s="70">
        <v>0</v>
      </c>
      <c r="D12" s="71">
        <v>1.1000000000000001</v>
      </c>
      <c r="E12" s="70">
        <f t="shared" ref="E12:E18" si="0">C12-D12</f>
        <v>-1.1000000000000001</v>
      </c>
      <c r="F12" s="70">
        <f t="shared" ref="F12:F18" si="1">(1000)*9.81*E12</f>
        <v>-10791</v>
      </c>
      <c r="G12" s="71">
        <v>400</v>
      </c>
      <c r="H12" s="71">
        <v>30.64</v>
      </c>
      <c r="I12" s="72">
        <f>(G12 * 60/1000)/H12</f>
        <v>0.78328981723237601</v>
      </c>
      <c r="J12" s="77">
        <f xml:space="preserve"> 4 * (I12/60000) / (PI() * (0.01^2))</f>
        <v>0.16621926171477319</v>
      </c>
      <c r="K12" s="78">
        <f>F12 * (I12/1000/60) / 2.19</f>
        <v>-6.4326334990521844E-2</v>
      </c>
    </row>
    <row r="13" spans="2:14">
      <c r="B13" s="68">
        <v>3</v>
      </c>
      <c r="C13" s="70">
        <v>0</v>
      </c>
      <c r="D13" s="71">
        <v>0.91</v>
      </c>
      <c r="E13" s="70">
        <f t="shared" si="0"/>
        <v>-0.91</v>
      </c>
      <c r="F13" s="70">
        <f t="shared" si="1"/>
        <v>-8927.1</v>
      </c>
      <c r="G13" s="71">
        <v>400</v>
      </c>
      <c r="H13" s="71">
        <v>34.229999999999997</v>
      </c>
      <c r="I13" s="72">
        <f>(G13 * 60/1000)/H13</f>
        <v>0.70113935144609996</v>
      </c>
      <c r="J13" s="77">
        <f xml:space="preserve"> 4 * (I13/60000) / (PI() * (0.01^2))</f>
        <v>0.14878639143852326</v>
      </c>
      <c r="K13" s="78">
        <f>F13 * (I13/1000/60) / 2.19</f>
        <v>-4.763425497941004E-2</v>
      </c>
    </row>
    <row r="14" spans="2:14">
      <c r="B14" s="68">
        <v>4</v>
      </c>
      <c r="C14" s="70">
        <v>0</v>
      </c>
      <c r="D14" s="71">
        <v>0.7</v>
      </c>
      <c r="E14" s="70">
        <f t="shared" si="0"/>
        <v>-0.7</v>
      </c>
      <c r="F14" s="70">
        <f t="shared" si="1"/>
        <v>-6867</v>
      </c>
      <c r="G14" s="71">
        <v>400</v>
      </c>
      <c r="H14" s="71">
        <v>40.270000000000003</v>
      </c>
      <c r="I14" s="72">
        <f>(G14 * 60/1000)/H14</f>
        <v>0.59597715420908859</v>
      </c>
      <c r="J14" s="77">
        <f xml:space="preserve"> 4 * (I14/60000) / (PI() * (0.01^2))</f>
        <v>0.1264702800829563</v>
      </c>
      <c r="K14" s="78">
        <f t="shared" ref="K14:K15" si="2">F14 * (I14/1000/60) / 2.19</f>
        <v>-3.114592936037908E-2</v>
      </c>
    </row>
    <row r="15" spans="2:14">
      <c r="B15" s="68">
        <v>5</v>
      </c>
      <c r="C15" s="70">
        <v>0</v>
      </c>
      <c r="D15" s="71">
        <v>0.499</v>
      </c>
      <c r="E15" s="70">
        <f t="shared" si="0"/>
        <v>-0.499</v>
      </c>
      <c r="F15" s="70">
        <f t="shared" si="1"/>
        <v>-4895.1899999999996</v>
      </c>
      <c r="G15" s="71">
        <v>400</v>
      </c>
      <c r="H15" s="71">
        <v>48.22</v>
      </c>
      <c r="I15" s="72">
        <f>(G15 * 60/1000)/H15</f>
        <v>0.49771878888428039</v>
      </c>
      <c r="J15" s="77">
        <f xml:space="preserve"> 4 * (I15/60000) / (PI() * (0.01^2))</f>
        <v>0.10561920736085963</v>
      </c>
      <c r="K15" s="78">
        <f t="shared" si="2"/>
        <v>-1.8542070305619791E-2</v>
      </c>
    </row>
    <row r="16" spans="2:14">
      <c r="B16" s="68">
        <v>6</v>
      </c>
      <c r="C16" s="109">
        <v>0</v>
      </c>
      <c r="D16" s="110">
        <v>0.03</v>
      </c>
      <c r="E16" s="109">
        <f t="shared" si="0"/>
        <v>-0.03</v>
      </c>
      <c r="F16" s="109">
        <f t="shared" si="1"/>
        <v>-294.3</v>
      </c>
      <c r="G16" s="110">
        <v>193</v>
      </c>
      <c r="H16" s="110">
        <v>9.83</v>
      </c>
      <c r="I16" s="109">
        <f>E16*H16/1000</f>
        <v>-2.9490000000000001E-4</v>
      </c>
      <c r="J16" s="111">
        <f>(4/(PI()*(0.01)^2))*I16</f>
        <v>-3.7547834174239951</v>
      </c>
      <c r="K16" s="112">
        <f>F16*G16/1000</f>
        <v>-56.799900000000001</v>
      </c>
      <c r="L16" s="113">
        <f>K16/H16</f>
        <v>-5.7782197355035603</v>
      </c>
      <c r="M16" s="114">
        <f>L16/2.19</f>
        <v>-2.6384565002299363</v>
      </c>
      <c r="N16" s="113"/>
    </row>
    <row r="17" spans="2:11">
      <c r="B17" s="68">
        <v>7</v>
      </c>
      <c r="C17" s="70">
        <v>0</v>
      </c>
      <c r="D17" s="71"/>
      <c r="E17" s="70">
        <f t="shared" si="0"/>
        <v>0</v>
      </c>
      <c r="F17" s="70">
        <f>(1000)*9.81*E17</f>
        <v>0</v>
      </c>
      <c r="G17" s="71"/>
      <c r="H17" s="71"/>
      <c r="I17" s="72">
        <f t="shared" ref="I17:I18" si="3">E17*H17/1000</f>
        <v>0</v>
      </c>
      <c r="J17" s="77">
        <f>(4/(PI()*(0.01)^2))*I17</f>
        <v>0</v>
      </c>
      <c r="K17" s="78"/>
    </row>
    <row r="18" spans="2:11">
      <c r="B18" s="68">
        <v>8</v>
      </c>
      <c r="C18" s="70">
        <v>0</v>
      </c>
      <c r="D18" s="71"/>
      <c r="E18" s="70">
        <f t="shared" si="0"/>
        <v>0</v>
      </c>
      <c r="F18" s="70">
        <f t="shared" si="1"/>
        <v>0</v>
      </c>
      <c r="G18" s="71"/>
      <c r="H18" s="71"/>
      <c r="I18" s="72">
        <f t="shared" si="3"/>
        <v>0</v>
      </c>
      <c r="J18" s="77">
        <f>(4/(PI()*(0.01)^2))*I18</f>
        <v>0</v>
      </c>
      <c r="K18" s="78"/>
    </row>
    <row r="19" spans="2:11">
      <c r="I19" s="72"/>
    </row>
    <row r="20" spans="2:11">
      <c r="I20" s="72"/>
    </row>
    <row r="37" spans="6:15">
      <c r="N37">
        <v>0.1</v>
      </c>
      <c r="O37">
        <v>1800</v>
      </c>
    </row>
    <row r="38" spans="6:15">
      <c r="N38">
        <v>0.18</v>
      </c>
      <c r="O38">
        <v>4800</v>
      </c>
    </row>
    <row r="39" spans="6:15">
      <c r="N39">
        <v>0.27</v>
      </c>
      <c r="O39">
        <v>7300</v>
      </c>
    </row>
    <row r="40" spans="6:15">
      <c r="N40">
        <v>0.32</v>
      </c>
      <c r="O40">
        <v>11800</v>
      </c>
    </row>
    <row r="41" spans="6:15">
      <c r="N41">
        <v>0.35</v>
      </c>
      <c r="O41">
        <v>13900</v>
      </c>
    </row>
    <row r="42" spans="6:15">
      <c r="F42" s="72"/>
    </row>
  </sheetData>
  <mergeCells count="5">
    <mergeCell ref="B8:B9"/>
    <mergeCell ref="C8:C9"/>
    <mergeCell ref="D8:D9"/>
    <mergeCell ref="E8:E9"/>
    <mergeCell ref="G8:G9"/>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AD77D-6BE2-4610-8272-DCCC0A685198}">
  <dimension ref="A1:F16"/>
  <sheetViews>
    <sheetView workbookViewId="0">
      <selection activeCell="A17" sqref="A17"/>
    </sheetView>
  </sheetViews>
  <sheetFormatPr defaultRowHeight="14.45"/>
  <cols>
    <col min="1" max="1" width="36.5703125" bestFit="1" customWidth="1"/>
  </cols>
  <sheetData>
    <row r="1" spans="1:6" ht="34.5">
      <c r="A1" s="345" t="s">
        <v>411</v>
      </c>
      <c r="B1" s="345"/>
      <c r="C1" s="344" t="s">
        <v>412</v>
      </c>
      <c r="D1" s="344"/>
      <c r="E1" s="344"/>
      <c r="F1" s="344"/>
    </row>
    <row r="2" spans="1:6">
      <c r="A2" t="s">
        <v>413</v>
      </c>
    </row>
    <row r="3" spans="1:6">
      <c r="A3" s="19">
        <f>IF( $B$9&lt;=$B$10,0,IF( $B$10&lt;=$B$9,0.5*( 1-COS( ( ($B$9-$B$10) / ($B$11-$B$10))*PI()) ),1 ) )</f>
        <v>0</v>
      </c>
    </row>
    <row r="4" spans="1:6" ht="29.25" customHeight="1">
      <c r="A4" s="346" t="s">
        <v>101</v>
      </c>
      <c r="B4" s="347"/>
    </row>
    <row r="5" spans="1:6">
      <c r="A5">
        <f>IF(MAX(0,MIN($B$6,L19 + K20 - $D$9))&gt;$B$6, $B$6, MAX(0,MIN($B$6,L19 + K20 - $D$9)))</f>
        <v>0</v>
      </c>
    </row>
    <row r="6" spans="1:6">
      <c r="A6" s="343" t="s">
        <v>101</v>
      </c>
      <c r="B6" s="343"/>
    </row>
    <row r="7" spans="1:6">
      <c r="A7">
        <f>IF(ISNUMBER(MATCH($M$5, I21:I385, 0)), 0, MAX(0, (K21 - L21)))</f>
        <v>0</v>
      </c>
    </row>
    <row r="8" spans="1:6">
      <c r="A8" s="343" t="s">
        <v>100</v>
      </c>
      <c r="B8" s="343"/>
    </row>
    <row r="9" spans="1:6">
      <c r="A9">
        <f>(J21/1000)*$B$5</f>
        <v>0</v>
      </c>
    </row>
    <row r="10" spans="1:6">
      <c r="A10" s="5" t="s">
        <v>339</v>
      </c>
      <c r="B10" s="5">
        <v>136</v>
      </c>
      <c r="C10" s="3" t="s">
        <v>94</v>
      </c>
      <c r="D10" s="3">
        <f>B10/1000</f>
        <v>0.13600000000000001</v>
      </c>
      <c r="E10" s="3" t="s">
        <v>337</v>
      </c>
    </row>
    <row r="11" spans="1:6">
      <c r="A11" s="5" t="s">
        <v>341</v>
      </c>
      <c r="B11" s="5">
        <v>601</v>
      </c>
      <c r="C11" s="3" t="s">
        <v>94</v>
      </c>
      <c r="D11" s="3">
        <f>B11/1000</f>
        <v>0.60099999999999998</v>
      </c>
      <c r="E11" s="3" t="s">
        <v>337</v>
      </c>
    </row>
    <row r="16" spans="1:6">
      <c r="A16" s="50">
        <f>IF($B$21=1,-0.0172,IF($B$21=2,-0.0039,IF($B$21=3,-0.0151,0)))</f>
        <v>0</v>
      </c>
      <c r="B16" s="50">
        <f>IF($B$21=1,-0.3605,IF($B$21=2,-0.096,IF($B$21=3,-0.5516,0)))</f>
        <v>0</v>
      </c>
      <c r="C16" s="50">
        <f>IF($B$21=1,150.9,IF($B$21=2,237.86,IF($B$21=3,356.8,0)))</f>
        <v>0</v>
      </c>
      <c r="D16" s="50">
        <f>IF($B$21=1,0.7,IF($B$21=2,0.094,IF($B$21=3,0.72,0)))</f>
        <v>0</v>
      </c>
      <c r="E16" s="50">
        <f>IF($B$21=1,0.39,IF($B$21=2,0.85,IF($B$21=3,0.55,0)))</f>
        <v>0</v>
      </c>
    </row>
  </sheetData>
  <mergeCells count="5">
    <mergeCell ref="A8:B8"/>
    <mergeCell ref="C1:F1"/>
    <mergeCell ref="A1:B1"/>
    <mergeCell ref="A4:B4"/>
    <mergeCell ref="A6:B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Jack Dvncnzi</dc:creator>
  <cp:keywords/>
  <dc:description/>
  <cp:lastModifiedBy/>
  <cp:revision/>
  <dcterms:created xsi:type="dcterms:W3CDTF">2026-03-04T18:56:41Z</dcterms:created>
  <dcterms:modified xsi:type="dcterms:W3CDTF">2026-04-07T01:05:56Z</dcterms:modified>
  <cp:category/>
  <cp:contentStatus/>
</cp:coreProperties>
</file>